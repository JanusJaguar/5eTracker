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lass Data" sheetId="1" r:id="rId4"/>
    <sheet state="visible" name="SHEETS_PROGRESSION" sheetId="2" r:id="rId5"/>
    <sheet state="visible" name="SHEETS_Features" sheetId="3" r:id="rId6"/>
    <sheet state="visible" name="SHEETS_PROF" sheetId="4" r:id="rId7"/>
    <sheet state="visible" name="SHEETS_BG" sheetId="5" r:id="rId8"/>
    <sheet state="visible" name="SHEET_RACE" sheetId="6" r:id="rId9"/>
    <sheet state="visible" name="SHEET_RESOURCES" sheetId="7" r:id="rId10"/>
    <sheet state="visible" name="ASI_FEAT" sheetId="8" r:id="rId11"/>
    <sheet state="visible" name="SHEET_WEAPONS" sheetId="9" r:id="rId12"/>
    <sheet state="visible" name="SHEET_ARMORS" sheetId="10" r:id="rId13"/>
    <sheet state="visible" name="SHEET_ACCES" sheetId="11" r:id="rId14"/>
    <sheet state="visible" name="SHEET_ITEMS" sheetId="12" r:id="rId15"/>
    <sheet state="visible" name="SHEET_POTIONS" sheetId="13" r:id="rId16"/>
    <sheet state="visible" name="Spell Data" sheetId="14" r:id="rId17"/>
  </sheets>
  <definedNames>
    <definedName name="FullCasterSlots">'Class Data'!$G$74:$O$93</definedName>
    <definedName name="GloomStalkerMagic">SHEETS_Features!$A$308:$B$314</definedName>
    <definedName name="Rage">SHEETS_Features!$H$25:$L$46</definedName>
    <definedName name="GraveDomainSpells">SHEETS_Features!$A$132:$B$138</definedName>
    <definedName name="hit_die">'Class Data'!$Q$2:$Q$11</definedName>
    <definedName name="DiscipleoftheElements">SHEETS_Features!$A$301:$B$306</definedName>
    <definedName name="CantripsKnownClasses">SHEET_RESOURCES!$X$1:$AF$1</definedName>
    <definedName name="HalfCasterSlotLevels">'Class Data'!$B$100:$F$100</definedName>
    <definedName name="WildMagicSurge">SHEETS_Features!$A$349:$B$400</definedName>
    <definedName name="ArtificerSlotLevels">'Class Data'!$O$100:$S$100</definedName>
    <definedName name="QuarterCasterSlots">'Class Data'!$I$101:$J$120</definedName>
    <definedName name="WildShape">SHEETS_Features!$H$71:$K$75</definedName>
    <definedName name="NatureDomainSpells">SHEETS_Features!$A$164:$B$170</definedName>
    <definedName name="WarlockSlots">'Class Data'!$W$166:$AE$185</definedName>
    <definedName name="ZealDomainSpells">SHEETS_Features!$A$236:$B$242</definedName>
    <definedName name="MarkoftheOrdning">SHEETS_Features!$A$340:$C$347</definedName>
    <definedName name="TrickeryDomainSpells">SHEETS_Features!$A$196:$B$202</definedName>
    <definedName name="KnowledgeDomainSpells">SHEETS_Features!$A$140:$B$146</definedName>
    <definedName name="ArcaneTurrets">SHEETS_Features!$A$102:$B$106</definedName>
    <definedName name="LifeDomainSpells">SHEETS_Features!$A$148:$B$154</definedName>
    <definedName name="ProtectionDomainSpells">SHEETS_Features!$A$180:$B$186</definedName>
    <definedName name="HalfCasterSlots">'Class Data'!$B$101:$F$120</definedName>
    <definedName name="PrimevalGuardianMagic">SHEETS_Features!$A$332:$B$338</definedName>
    <definedName name="SpellCasters">'Class Data'!$E$2:$I$14</definedName>
    <definedName name="SubclassFeatures">'Class Data'!$H$127:$M$281</definedName>
    <definedName name="MonkTable">SHEETS_Features!$H$94:$L$115</definedName>
    <definedName name="LightDomainSpells">SHEETS_Features!$A$156:$B$162</definedName>
    <definedName name="ForgeDomainSpells">SHEETS_Features!$A$124:$B$130</definedName>
    <definedName name="ExperimentalElixir">SHEETS_Features!$A$77:$B$84</definedName>
    <definedName name="BattleSmithSpells">SHEETS_Features!$A$86:$B$92</definedName>
    <definedName name="QuarterCasterSlotLevels">'Class Data'!$I$100:$J$100</definedName>
    <definedName name="SpellsKnown">'Class Data'!$X$101:$AD$120</definedName>
    <definedName name="EldritchInvocations">SHEETS_Features!$H$163:$J$212</definedName>
    <definedName name="DestroyUndead">SHEETS_Features!$H$48:$J$69</definedName>
    <definedName name="AmbitionDomainSpells">SHEETS_Features!$A$228:$B$234</definedName>
    <definedName name="InfusedItem">SHEETS_Features!$H$1:$L$22</definedName>
    <definedName name="ArcanaDomainSpells">SHEETS_Features!$A$108:$B$114</definedName>
    <definedName name="CantripsKnown">SHEET_RESOURCES!$X$2:$AF$21</definedName>
    <definedName name="FullCasterSlotLevels">'Class Data'!$G$74:$O$93</definedName>
    <definedName name="FontofMagic">SHEETS_Features!$H$140:$K$161</definedName>
    <definedName name="TempestDomainSpells">SHEETS_Features!$A$188:$B$194</definedName>
    <definedName name="SneakAttack">SHEETS_Features!$H$117:$K$138</definedName>
    <definedName name="WarlockSlotLevels">'Class Data'!$W$165:$AE$165</definedName>
    <definedName name="SporesCircleSpells">SHEETS_Features!$A$294:$B$299</definedName>
    <definedName name="AlchemistSpells">SHEETS_Features!$A$69:$B$75</definedName>
    <definedName name="DeathDomainSpells">SHEETS_Features!$A$116:$B$122</definedName>
    <definedName name="WarDomainSpells">SHEETS_Features!$A$204:$B$210</definedName>
    <definedName name="ArtificerSlots">'Class Data'!$O$101:$S$120</definedName>
    <definedName name="SolidarityDomainSpells">SHEETS_Features!$A$212:$B$218</definedName>
    <definedName name="HorizonWalkerMagic">SHEETS_Features!$A$316:$B$322</definedName>
    <definedName name="ClassFeatures">'Class Data'!$A$127:$F$228</definedName>
    <definedName name="StrengthDomainSpells">SHEETS_Features!$A$220:$B$226</definedName>
    <definedName name="SpellsKnownClasses">'Class Data'!$X$100:$AD$100</definedName>
    <definedName name="OrderDomainSpells">SHEETS_Features!$A$172:$B$178</definedName>
    <definedName name="LandCircleSpells">SHEETS_Features!$A$244:$B$292</definedName>
    <definedName name="MonsterSlayerMagic">SHEETS_Features!$A$324:$B$330</definedName>
    <definedName name="ArtilleristSpells">SHEETS_Features!$A$94:$B$100</definedName>
    <definedName hidden="1" localSheetId="13" name="_xlnm._FilterDatabase">'Spell Data'!$A$1:$P$502</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Primary Stat for: Barbarians, Fighters, Paladins, two-handed Rangers.
Secondary Stat for: Clerics
Associated Skills: Athletics</t>
      </text>
    </comment>
    <comment authorId="0" ref="C1">
      <text>
        <t xml:space="preserve">Primary Stat for: Fighters, Monks, Rangers, Rogues
Secondary Stat for: Bards
Associated Skills: Acrobatics, Sleight of Hand, Stealth</t>
      </text>
    </comment>
    <comment authorId="0" ref="D1">
      <text>
        <t xml:space="preserve">Primary Stat for: None
Secondary Stat for: Barbarians, Clerics, Druids, Fighters, Sorcerers, Warlocks
Associated Skills: None</t>
      </text>
    </comment>
    <comment authorId="0" ref="E1">
      <text>
        <t xml:space="preserve">Primary Stat for: Artificers, Mystics, Wizards
Secondary Stat for: Fighters (Eldritch Knights), Rogues (Arcane Trickster)
Associated Stats: Arcana, History, Investigation, Nature, Religion</t>
      </text>
    </comment>
    <comment authorId="0" ref="F1">
      <text>
        <t xml:space="preserve">Primary Stat for: Clerics, Druids
Secondary Stat for: Monks, Rangers
Associated Skills: Animal Handling, Insight, Medicine, Perception, Survival</t>
      </text>
    </comment>
    <comment authorId="0" ref="G1">
      <text>
        <t xml:space="preserve">Primary Stat for: Bards, Sorcerers, Warlocks
Secondary Stat for: Paladins, Rogues (Swashbucklers)
Associated Skills: Deception, Intimidation, Performance, Persuasion</t>
      </text>
    </comment>
  </commentList>
</comments>
</file>

<file path=xl/sharedStrings.xml><?xml version="1.0" encoding="utf-8"?>
<sst xmlns="http://schemas.openxmlformats.org/spreadsheetml/2006/main" count="13341" uniqueCount="4917">
  <si>
    <t>Character Level</t>
  </si>
  <si>
    <t>Proficiency</t>
  </si>
  <si>
    <t>Races</t>
  </si>
  <si>
    <t>Backgrounds</t>
  </si>
  <si>
    <t>Class</t>
  </si>
  <si>
    <t>Hit Die</t>
  </si>
  <si>
    <t>Spellcasting Ability</t>
  </si>
  <si>
    <t>Spells Known/Prepared</t>
  </si>
  <si>
    <t>CasterTypeMod</t>
  </si>
  <si>
    <t>Subclass</t>
  </si>
  <si>
    <t>Aarakocra</t>
  </si>
  <si>
    <t>Acolyte</t>
  </si>
  <si>
    <t>Artificer</t>
  </si>
  <si>
    <t>d8</t>
  </si>
  <si>
    <t>INT</t>
  </si>
  <si>
    <t>Alchemist</t>
  </si>
  <si>
    <t>Aasimar (Fallen)</t>
  </si>
  <si>
    <t>Anthropologist</t>
  </si>
  <si>
    <t>Barbarian</t>
  </si>
  <si>
    <t>d12</t>
  </si>
  <si>
    <t>Artillerist</t>
  </si>
  <si>
    <t>Aasimar (Protector)</t>
  </si>
  <si>
    <t>Archaeologist</t>
  </si>
  <si>
    <t>Bard</t>
  </si>
  <si>
    <t>CHA</t>
  </si>
  <si>
    <t>Known</t>
  </si>
  <si>
    <t>Battle Smith</t>
  </si>
  <si>
    <t>Aasimar (Scourge)</t>
  </si>
  <si>
    <t>Azorius Functionary</t>
  </si>
  <si>
    <t>Cleric</t>
  </si>
  <si>
    <t>WIS</t>
  </si>
  <si>
    <t>Prepared</t>
  </si>
  <si>
    <t>Ancestral Guardian</t>
  </si>
  <si>
    <t>Bugbear</t>
  </si>
  <si>
    <t>Baldur's Gate Acolyte</t>
  </si>
  <si>
    <t>Druid</t>
  </si>
  <si>
    <t>Battlerager</t>
  </si>
  <si>
    <t>Centaur</t>
  </si>
  <si>
    <t>Baldur's Gate Charlatan</t>
  </si>
  <si>
    <t>Fighter</t>
  </si>
  <si>
    <t>d10</t>
  </si>
  <si>
    <t>Berserker</t>
  </si>
  <si>
    <t>Changeling</t>
  </si>
  <si>
    <t>Baldur's Gate Criminal</t>
  </si>
  <si>
    <t>Monk</t>
  </si>
  <si>
    <t>Storm Herald</t>
  </si>
  <si>
    <t>Dragonborn</t>
  </si>
  <si>
    <t>Baldur's Gate Entertainer</t>
  </si>
  <si>
    <t>Paladin</t>
  </si>
  <si>
    <t>Totem Warrior</t>
  </si>
  <si>
    <t>Dwarf (Duergar)</t>
  </si>
  <si>
    <t>Baldur's Gate Folk Hero</t>
  </si>
  <si>
    <t>Ranger</t>
  </si>
  <si>
    <t>Zealot</t>
  </si>
  <si>
    <t>Dwarf (Hill)</t>
  </si>
  <si>
    <t>Baldur's Gate Guild Artisan</t>
  </si>
  <si>
    <t>Rogue</t>
  </si>
  <si>
    <t>Glamour</t>
  </si>
  <si>
    <t>Dwarf (Mark of Warding)</t>
  </si>
  <si>
    <t>Baldur's Gate Hermit</t>
  </si>
  <si>
    <t>Sorcerer</t>
  </si>
  <si>
    <t>d6</t>
  </si>
  <si>
    <t>Lore</t>
  </si>
  <si>
    <t>Dwarf (Mountain)</t>
  </si>
  <si>
    <t>Baldur's Gate Noble</t>
  </si>
  <si>
    <t>Warlock</t>
  </si>
  <si>
    <t>Satire</t>
  </si>
  <si>
    <t>Elf (Drow)</t>
  </si>
  <si>
    <t>Baldur's Gate Outlander</t>
  </si>
  <si>
    <t>Wizard</t>
  </si>
  <si>
    <t>Swords</t>
  </si>
  <si>
    <t>Elf (Eladrin)</t>
  </si>
  <si>
    <t>Baldur's Gate Sage</t>
  </si>
  <si>
    <t>Valor</t>
  </si>
  <si>
    <t>Elf (High)</t>
  </si>
  <si>
    <t>Baldur's Gate Sailor</t>
  </si>
  <si>
    <t>Whispers</t>
  </si>
  <si>
    <t>Elf (Mark of Shadow)</t>
  </si>
  <si>
    <t>Baldur's Gate Soldier</t>
  </si>
  <si>
    <t>Ambition</t>
  </si>
  <si>
    <t>Elf (Sea)</t>
  </si>
  <si>
    <t>Baldur's Gate Urchin</t>
  </si>
  <si>
    <t>Arcana</t>
  </si>
  <si>
    <t>Elf (Shadar-kai)</t>
  </si>
  <si>
    <t>Black Fist Double Agent</t>
  </si>
  <si>
    <t>Death</t>
  </si>
  <si>
    <t>Elf (Wood)</t>
  </si>
  <si>
    <t>Boros Legionnaire</t>
  </si>
  <si>
    <t>Forge</t>
  </si>
  <si>
    <t>Firbolg</t>
  </si>
  <si>
    <t>Caravan Specialist</t>
  </si>
  <si>
    <t>Grave</t>
  </si>
  <si>
    <t>Genasi (Air)</t>
  </si>
  <si>
    <t>Celebrity Adventurer's Scion</t>
  </si>
  <si>
    <t>Knowledge</t>
  </si>
  <si>
    <t>Genasi (Earth)</t>
  </si>
  <si>
    <t>Charlatan</t>
  </si>
  <si>
    <t>Life</t>
  </si>
  <si>
    <t>Genasi (Fire)</t>
  </si>
  <si>
    <t>City Watch</t>
  </si>
  <si>
    <t>Light</t>
  </si>
  <si>
    <t>Genasi (Water)</t>
  </si>
  <si>
    <t>City Watch (Investigator)</t>
  </si>
  <si>
    <t>Nature</t>
  </si>
  <si>
    <t>Gith (Githyanki)</t>
  </si>
  <si>
    <t>Clan Crafter</t>
  </si>
  <si>
    <t>Order</t>
  </si>
  <si>
    <t>Gith (Githzerai)</t>
  </si>
  <si>
    <t>Cloistered Scholar</t>
  </si>
  <si>
    <t>Protection</t>
  </si>
  <si>
    <t>Gnome (Deep/Svirfneblin)</t>
  </si>
  <si>
    <t>Cormanthor Refugee</t>
  </si>
  <si>
    <t>Solidarity</t>
  </si>
  <si>
    <t>Gnome (Forest)</t>
  </si>
  <si>
    <t>Courtier</t>
  </si>
  <si>
    <t>Strength</t>
  </si>
  <si>
    <t>Gnome (Mark of Scribing)</t>
  </si>
  <si>
    <t>Criminal</t>
  </si>
  <si>
    <t>Tempest</t>
  </si>
  <si>
    <t>Gnome (Rock)</t>
  </si>
  <si>
    <t>Criminal (Spy)</t>
  </si>
  <si>
    <t>Trickery</t>
  </si>
  <si>
    <t>Goblin</t>
  </si>
  <si>
    <t>Dimir Operative</t>
  </si>
  <si>
    <t>War</t>
  </si>
  <si>
    <t>Goliath</t>
  </si>
  <si>
    <t>Dragon Casualty</t>
  </si>
  <si>
    <t>Zeal</t>
  </si>
  <si>
    <t>Half-Elf</t>
  </si>
  <si>
    <t>Earthspur Miner</t>
  </si>
  <si>
    <t>Dreams</t>
  </si>
  <si>
    <t>Half-Elf (Aquatic Elf Descent)</t>
  </si>
  <si>
    <t>Entertainer</t>
  </si>
  <si>
    <t>Land</t>
  </si>
  <si>
    <t>Half-Elf (Drow Descent)</t>
  </si>
  <si>
    <t>Entertainer (Gladiator)</t>
  </si>
  <si>
    <t>Moon</t>
  </si>
  <si>
    <t>Half-Elf (Mark of Detection)</t>
  </si>
  <si>
    <t>Faceless</t>
  </si>
  <si>
    <t>Shepherd</t>
  </si>
  <si>
    <t>Half-Elf (Mark of Storm)</t>
  </si>
  <si>
    <t>Faction Agent</t>
  </si>
  <si>
    <t>Spores</t>
  </si>
  <si>
    <t>Half-Elf (Moon Elf or Sun Elf Descent)</t>
  </si>
  <si>
    <t>Failed Merchant</t>
  </si>
  <si>
    <t>Twilight</t>
  </si>
  <si>
    <t>Half-Elf (Wood Elf Descent)</t>
  </si>
  <si>
    <t>Far Traveler</t>
  </si>
  <si>
    <t>Arcane Archer</t>
  </si>
  <si>
    <t>Half-Orc</t>
  </si>
  <si>
    <t>Fisher</t>
  </si>
  <si>
    <t>Banneret</t>
  </si>
  <si>
    <t>Half-Orc (Mark of Finding)</t>
  </si>
  <si>
    <t>Folk Hero</t>
  </si>
  <si>
    <t>Brute</t>
  </si>
  <si>
    <t>Halfling (Ghostwise)</t>
  </si>
  <si>
    <t>Gambler</t>
  </si>
  <si>
    <t>Battle Master</t>
  </si>
  <si>
    <t>Halfling (Lightfoot)</t>
  </si>
  <si>
    <t>Gate Urchin</t>
  </si>
  <si>
    <t>Cavalier</t>
  </si>
  <si>
    <t>Halfling (Mark of Healing)</t>
  </si>
  <si>
    <t>Golgari Agent</t>
  </si>
  <si>
    <t>Champion</t>
  </si>
  <si>
    <t>Halfling (Mark of Hospitality)</t>
  </si>
  <si>
    <t>Gruul Anarch</t>
  </si>
  <si>
    <t>Eldritch Knight</t>
  </si>
  <si>
    <t>Halfling (Stout)</t>
  </si>
  <si>
    <t>Guild Artisan</t>
  </si>
  <si>
    <t>Monster Hunter</t>
  </si>
  <si>
    <t>Hobgoblin</t>
  </si>
  <si>
    <t>Guild Artisan (Guild Merchant)</t>
  </si>
  <si>
    <t>Rune Knight</t>
  </si>
  <si>
    <t>Human</t>
  </si>
  <si>
    <t>Harborfolk</t>
  </si>
  <si>
    <t>Samurai</t>
  </si>
  <si>
    <t>Human (Mark of Finding)</t>
  </si>
  <si>
    <t>Haunted One</t>
  </si>
  <si>
    <t>Scout</t>
  </si>
  <si>
    <t>Human (Mark of Handling)</t>
  </si>
  <si>
    <t>Hermit</t>
  </si>
  <si>
    <t>Sharpshooter</t>
  </si>
  <si>
    <t>Human (Mark of Making)</t>
  </si>
  <si>
    <t>Hillsfar Merchant</t>
  </si>
  <si>
    <t>Drunken Master</t>
  </si>
  <si>
    <t>Human (Mark of Passage)</t>
  </si>
  <si>
    <t>Hillsfar Smuggler</t>
  </si>
  <si>
    <t>Four Elements</t>
  </si>
  <si>
    <t>Human (Mark of Sentinel)</t>
  </si>
  <si>
    <t>House Agent</t>
  </si>
  <si>
    <t>Kensei</t>
  </si>
  <si>
    <t>Human (Variant)</t>
  </si>
  <si>
    <t>Inheritor</t>
  </si>
  <si>
    <t>Long Death</t>
  </si>
  <si>
    <t>Kalashtar</t>
  </si>
  <si>
    <t>Iron Route Bandit</t>
  </si>
  <si>
    <t>Open Hand</t>
  </si>
  <si>
    <t>Kenku</t>
  </si>
  <si>
    <t>Izzet Engineer</t>
  </si>
  <si>
    <t>Shadow</t>
  </si>
  <si>
    <t>Kobold</t>
  </si>
  <si>
    <t>Knight of the Order</t>
  </si>
  <si>
    <t>Soul Knife</t>
  </si>
  <si>
    <t>Lizardfolk</t>
  </si>
  <si>
    <t>Marine</t>
  </si>
  <si>
    <t>Sun Soul</t>
  </si>
  <si>
    <t>Loxodon</t>
  </si>
  <si>
    <t>Mercenary Veteran</t>
  </si>
  <si>
    <t>Tranquility</t>
  </si>
  <si>
    <t>Minotaur</t>
  </si>
  <si>
    <t>Mulmaster Aristocrat</t>
  </si>
  <si>
    <t>Ancients</t>
  </si>
  <si>
    <t>Orc</t>
  </si>
  <si>
    <t>Noble</t>
  </si>
  <si>
    <t>Conquest</t>
  </si>
  <si>
    <t>Shifter (Beasthide)</t>
  </si>
  <si>
    <t>Noble (Knight)</t>
  </si>
  <si>
    <t>Crown</t>
  </si>
  <si>
    <t>Shifter (Longtooth)</t>
  </si>
  <si>
    <t>Orzhov Representative</t>
  </si>
  <si>
    <t>Devotion</t>
  </si>
  <si>
    <t>Shifter (Swiftstride)</t>
  </si>
  <si>
    <t>Outlander</t>
  </si>
  <si>
    <t>Redemption</t>
  </si>
  <si>
    <t>Shifter (Wildhunt)</t>
  </si>
  <si>
    <t>Phlan Insurgent</t>
  </si>
  <si>
    <t>Treachery</t>
  </si>
  <si>
    <t>Simic Hybrid</t>
  </si>
  <si>
    <t>Phlan Refugee</t>
  </si>
  <si>
    <t>Vengeance</t>
  </si>
  <si>
    <t>Tabaxi</t>
  </si>
  <si>
    <t>Plaintiff</t>
  </si>
  <si>
    <t>Oathbreaker</t>
  </si>
  <si>
    <t>Tiefling</t>
  </si>
  <si>
    <t>Rakdos Cultist</t>
  </si>
  <si>
    <t>Beast Master</t>
  </si>
  <si>
    <t>Tiefling (Asmodeus)</t>
  </si>
  <si>
    <t>Rival Intern</t>
  </si>
  <si>
    <t>Gloom Stalker</t>
  </si>
  <si>
    <t>Tiefling (Baalzebul)</t>
  </si>
  <si>
    <t>Sage</t>
  </si>
  <si>
    <t>Horizon Walker</t>
  </si>
  <si>
    <t>Tiefling (Dispater)</t>
  </si>
  <si>
    <t>Sailor</t>
  </si>
  <si>
    <t>Hunter</t>
  </si>
  <si>
    <t>Tiefling (Fierna)</t>
  </si>
  <si>
    <t>Sailor (Pirate)</t>
  </si>
  <si>
    <t>Monster Slayer</t>
  </si>
  <si>
    <t>Tiefling (Glasya)</t>
  </si>
  <si>
    <t>Secret Identity</t>
  </si>
  <si>
    <t>Primeval Guardian</t>
  </si>
  <si>
    <t>Tiefling (Levistus)</t>
  </si>
  <si>
    <t>Selesnya Initiate</t>
  </si>
  <si>
    <t>Arcane Trickster</t>
  </si>
  <si>
    <t>Tiefling (Mammon)</t>
  </si>
  <si>
    <t>Shade Fanatic</t>
  </si>
  <si>
    <t>Assassin</t>
  </si>
  <si>
    <t>Tiefling (Mephistopheles)</t>
  </si>
  <si>
    <t>Shipwright</t>
  </si>
  <si>
    <t>Inquisitive</t>
  </si>
  <si>
    <t>Tiefling (Variant)</t>
  </si>
  <si>
    <t>Simic Scientist</t>
  </si>
  <si>
    <t>Mastermind</t>
  </si>
  <si>
    <t>Tiefling (Zariel)</t>
  </si>
  <si>
    <t>Smuggler</t>
  </si>
  <si>
    <t>Triton</t>
  </si>
  <si>
    <t>Soldier</t>
  </si>
  <si>
    <t>Swashbuckler</t>
  </si>
  <si>
    <t>Vedalken</t>
  </si>
  <si>
    <t>Stojanjow Prisoner</t>
  </si>
  <si>
    <t>Thief</t>
  </si>
  <si>
    <t>Verdan</t>
  </si>
  <si>
    <t>Ticklebelly Nomad</t>
  </si>
  <si>
    <t>Draconic Bloodline</t>
  </si>
  <si>
    <t>Warforged</t>
  </si>
  <si>
    <t>Trade Sherrif</t>
  </si>
  <si>
    <t>Divine Soul</t>
  </si>
  <si>
    <t>Yuan-ti Pureblood</t>
  </si>
  <si>
    <t>Urban Bounty Hunter</t>
  </si>
  <si>
    <t>Giant Soul</t>
  </si>
  <si>
    <t>Urchin</t>
  </si>
  <si>
    <t>Phoenix Sorcery</t>
  </si>
  <si>
    <t>Uthgardt Tribe Member</t>
  </si>
  <si>
    <t>Pyromancy</t>
  </si>
  <si>
    <t>Waterdhavian Noble</t>
  </si>
  <si>
    <t>Sea Sorcery</t>
  </si>
  <si>
    <t>Shadow Magic</t>
  </si>
  <si>
    <t>Stone Sorcery</t>
  </si>
  <si>
    <t>Storm Sorcery</t>
  </si>
  <si>
    <t>Wild Magic</t>
  </si>
  <si>
    <t>Archfey</t>
  </si>
  <si>
    <t>Celestial</t>
  </si>
  <si>
    <t>Fiend</t>
  </si>
  <si>
    <t>Great Old One</t>
  </si>
  <si>
    <t>Hexblade</t>
  </si>
  <si>
    <t>Kraken</t>
  </si>
  <si>
    <t>Raven Queen</t>
  </si>
  <si>
    <t>Seeker</t>
  </si>
  <si>
    <t>Undying</t>
  </si>
  <si>
    <t>Abjuration</t>
  </si>
  <si>
    <t>Bladesinging</t>
  </si>
  <si>
    <t>Conjuration</t>
  </si>
  <si>
    <t>Divination</t>
  </si>
  <si>
    <t>Enchantment</t>
  </si>
  <si>
    <t>Evocation</t>
  </si>
  <si>
    <t>Illusion</t>
  </si>
  <si>
    <t>Invention</t>
  </si>
  <si>
    <t>Lore Mastery</t>
  </si>
  <si>
    <t>Necromancy</t>
  </si>
  <si>
    <t>Theurgy</t>
  </si>
  <si>
    <t>Transmutation</t>
  </si>
  <si>
    <t>War Magic</t>
  </si>
  <si>
    <t>Pet</t>
  </si>
  <si>
    <t>Battle Ready</t>
  </si>
  <si>
    <t>ARRAYFORMULA(IF(ISBLANK(D127:D),,REGEXMATCH(D127:D,"table")))</t>
  </si>
  <si>
    <t>ARRAYFORMULA(IF(ISBLANK(K127:K),,REGEXMATCH(K127:K,"table")))</t>
  </si>
  <si>
    <t>Class Feature</t>
  </si>
  <si>
    <t>Subclass Level</t>
  </si>
  <si>
    <t>Description</t>
  </si>
  <si>
    <t>Has Table</t>
  </si>
  <si>
    <t>Table Lookup</t>
  </si>
  <si>
    <t>LINEBREAK</t>
  </si>
  <si>
    <t>----------------------</t>
  </si>
  <si>
    <t>-----------------------</t>
  </si>
  <si>
    <t>-----------------------------</t>
  </si>
  <si>
    <t>type</t>
  </si>
  <si>
    <t>class_id</t>
  </si>
  <si>
    <t>subclass_id</t>
  </si>
  <si>
    <t>class_level</t>
  </si>
  <si>
    <t>name</t>
  </si>
  <si>
    <t>Column 1</t>
  </si>
  <si>
    <t>description</t>
  </si>
  <si>
    <t>has table</t>
  </si>
  <si>
    <t>table look up</t>
  </si>
  <si>
    <t>Cantrips</t>
  </si>
  <si>
    <t>Infusions</t>
  </si>
  <si>
    <t>Ki</t>
  </si>
  <si>
    <t>class_feature</t>
  </si>
  <si>
    <t>Masters of invention</t>
  </si>
  <si>
    <t>As an artificer, you gain the following class features.
Hit Points
Hit Dice: 1d8 per artificer level
Hit Points at 1st Level: 8 + your Constitution modifier
Hit Points at Higher Levels: 1d8 (or 5) + your Constitution modifier per artificer level after 1st
Proficiencies
Armor: Light armor, medium armor, shields
Weapons: Simple weapons
Tools: Thieves’ tools, tinker’s tools, one type of artisan’s tools of your choice
Saving Throws: Constitution, Intelligence
Skills: Choose two from Arcana, History, Investigation, Medicine, Nature, Perception, Sleight of Hand
Equipment
You start with the following equipment, in addition to the equipment granted by your background:
any two simple weapons
a light crossbow and 20 bolts
(a) studded leather armor or (b) scale mail
thieves’ tools and a dungeoneer’s pack
Alternatively, you may start with 5d4x10 starting gold
Optional Rule: Firearm Proficiency
The secrets of gunpowder weapons have been discovered in various corners of the D&amp;D multiverse. If your Dungeon Master uses the rules on firearms in the Dungeon Master's Guide and your artificer has been exposed to the operation of such weapons, your artificer is proficient with them.</t>
  </si>
  <si>
    <t>SHEETS_PROF</t>
  </si>
  <si>
    <t>class</t>
  </si>
  <si>
    <t>Magical Tinkering</t>
  </si>
  <si>
    <t>At 1st level, you learn how to invest a spark of magic in objects that would otherwise be mundane. To use this ability, you must have thieves’ tools, tinker’s tools, or other artisan’s tools in hand. You then touch a Tiny nonmagical object as an action and give it one of the following magical properties of your choice:
• The object sheds bright light in a 5-foot radius and dim light for an additional 5 feet.
• Whenever tapped by a creature, the object emits a recorded message that can be heard up to 10 feet away. You utter the message when you bestow this property on the object, and the recording can be no more than 6 seconds long.
• The object continuously emits your choice of an odor or a nonverbal sound (wind, waves, chirping, or the like). The chosen phenomenon is perceivable up to 10 feet away.
• A static visual effect appears on one of the object’s surfaces. This effect can be a picture, up to 25 words of text, lines and shapes, or a mixture of these elements, as you like.
The chosen property lasts indefinitely. As an action, you can touch the object and end the property early.
You can give the magic of this feature to multiple objects, touching one object each time you use the feature, and a single object can bear only one of the properties at a time. The maximum number of objects you can affect with the feature at one time is equal to your Intelligence modifier (minimum of one object). If you try to exceed your maximum, the oldest property immediately ends, and then the new property applies.</t>
  </si>
  <si>
    <t>Infuse Item</t>
  </si>
  <si>
    <t>At 2nd level, you gain the ability to imbue mundane items with certain magical infusions. The magic items you create with this feature are effectively prototypes of permanent items.
Infusions Known
When you gain this feature, pick two artificer infusions to learn. You learn additional infusions of your choice when you reach certain levels in this class, as shown in the Infusions Known column of the Artificer table.
Whenever you gain a level in this class, you can replace one of the artificer infusions you learned with a new one.
Infusing an Item
Whenever you finish a long rest, you can touch a nonmagical object and imbue it with one of your artificer infusions, turning it into a magic item. An infusion works on only certain kinds of objects, as specified in the infusion’s description. If the item requires attunement, you can attune yourself to it the instant you infuse the item, or you can forgo attunement so that someone else can attune to the item. If you decide to attune to the item later, you must do so using the normal process for attunement.
Your infusion remains in an item indefinitely, but when you die, the infusion vanishes after a number of days have passed equal to your Intelligence modifier (minimum of 1 day). The infusion also vanishes if you give up your knowledge of the infusion for another one.
You can infuse more than one nonmagical object at the end of a long rest; the maximum number of objects appears in the Infused Items column of the Artificer table. You must touch each of the objects, and each of your infusions can be in only one object at a time. If you try to exceed your maximum number of infusions, the oldest infusion immediately ends, and then the new infusion applies.</t>
  </si>
  <si>
    <t>InfusedItem</t>
  </si>
  <si>
    <t>The Right Tool for the Job</t>
  </si>
  <si>
    <t>Starting at 3rd level, your proficiency bonus is doubled for any ability check you make that uses your proficiency with a tool.</t>
  </si>
  <si>
    <t>subclass</t>
  </si>
  <si>
    <t>Alchemist Spells</t>
  </si>
  <si>
    <t>Starting at 3rd level, you always have certain spells prepared after you reach particular levels in this class, as shown in the Alchemist Spells table. These spells count as artificer spells for you, but they don't count against the number of artificer spells you prepare.</t>
  </si>
  <si>
    <t>AlchemistSpells</t>
  </si>
  <si>
    <t>Tool Proficiency</t>
  </si>
  <si>
    <t>When you adopt this specialization at 3rd level, you gain proficiency with alchemist's supplies. If you already have this proficiency, you gain proficiency with one other type of artisan's tools of your choice.</t>
  </si>
  <si>
    <t>Experimental Elixir</t>
  </si>
  <si>
    <t>Beginning at 3rd level, whenever you finish a long rest, you can magically produce an experimental elixir in an empty flask you touch. Roll on the Experimental Elixir table for the elixir's effect, which is triggered when someone drinks the elixir. As an action, a creature can drink the elixir or administer it to an incapacitated creature.
Creating an experimental elixir requires you to have alchemist's supplies on your person, and any elixir you create with this feature lasts until it is drunk or until the end of your next long rest.
When you reach certain levels in this class, you can make more elixirs at the end of a long rest: two at 6th level and three at 15th level. Roll for each elixir's effect separately. Each elixir requires its own flask.
You can create additional experimental elixirs by expending a spell slot of 1st level or higher for each one. When you do so, you use your action to create the elixir in an empty flask you touch, and you choose the elixir's effect from the Experimental Elixir table.</t>
  </si>
  <si>
    <t>ExperimentalElixir</t>
  </si>
  <si>
    <t>Artillerist Spells</t>
  </si>
  <si>
    <t>Starting at 3rd level, you always have certain spells prepared after you reach particular levels in this class, as shown in the Artillerist Spells table. These spells count as artificer spells for you, but they don't count against the number of artificer spells you prepare.</t>
  </si>
  <si>
    <t>ArtilleristSpells</t>
  </si>
  <si>
    <t>When you adopt this specialization at 3rd level, you gain proficiency with woodcarver's tools. If you already have this proficiency, you gain proficiency with one other type of artisan's tools of your choice.</t>
  </si>
  <si>
    <t>Eldritch Cannon</t>
  </si>
  <si>
    <t>At 3rd level, you learn how to create a magical cannon. Using woodcarver's tools or smith's tools, you can take an action to magically create a Small or Tiny eldritch cannon in an unoccupied space on a horizontal surface within 5 feet of you. A Small eldritch cannon occupies its space, and a Tiny one can be held in one hand.
Once you create a cannon, you can't do so again until you finish a long rest or until you expend a spell slot of 1st level or higher. You can have only one cannon at a time and can't create one while your cannon is present.
The cannon is a magical object. Regardless of size, the cannon has an AC of 18 and a number of hit points equal to five times your artificer level. It is immune to poison damage, psychic damage, and all conditions. If it is forced to make an ability check or a saving throw, treat all its ability scores as 10 (+0). If the mending spell is cast on it, it regains 2d6 hit points. It disappears if it is reduced to 0 hit points or after 1 hour. You can dismiss it early as an action.
When you create the cannon, you determine its appearance and whether it has legs. You also decide which type it is, choosing from the options on the Eldritch Cannons table. On each of your turns, you can take a bonus action to cause the cannon to activate if you are within 60 feet of it. As part of the same bonus action, you can direct the cannon to walk or climb up to 15 feet to an unoccupied space, provided it has legs.</t>
  </si>
  <si>
    <t>ArcaneTurrets</t>
  </si>
  <si>
    <t>When you adopt this specialization at 3rd level, you gain proficiency with smith's tools. If you already have this proficiency, you gain proficiency with one other type of artisan's tools of your choice.</t>
  </si>
  <si>
    <t>Battle Smith Spells</t>
  </si>
  <si>
    <t>Starting at 3rd level, you always have certain spells prepared after you reach particular levels in this class, as shown in the Battle Smith Spells table. These spells count as artificer spells for you, but they don't count against the number of artificer spells you prepare.</t>
  </si>
  <si>
    <t>BattleSmithSpells</t>
  </si>
  <si>
    <t>When you reach 3rd level, your combat training and your experiments with magic have paid off in two ways:
You gain proficiency with martial weapons.
When you attack with a magic weapon, you can use your Intelligence modifier, instead of Strength or Dexterity modifier, for the attack and damage rolls.</t>
  </si>
  <si>
    <t>Steel Defender</t>
  </si>
  <si>
    <t>By 3rd level, your tinkering has borne you a faithful companion, a steel defender. It is friendly to you and your companions, and it obeys your commands. See this creature's game statistics in the steel defender stat block. You determine the creature's appearance and whether it has two legs or four; your choice has no effect on its game statistics.
In combat, the steel defender shares your initiative count, but it takes its turn immediately after yours. It can move and use its reaction on its own, but the only action it takes on its turn is the Dodge action, unless you take a bonus action on your turn to command it to take one of the actions in its stat block or the Dash, Disengage, Help, Hide, or Search action.
If the mending spell is cast on it, it regains 2d6 hit points. If it has died within the last hour, you can use your smith's tools as an action to revive it, provided you are within 5 feet of it and you expend a spell slot of 1st level or higher. The steel defender returns to life after 1 minute with all its hit points restored.
At the end of a long rest, you can create a new steel defender if you have your smith's tools with you. If you already have a steel defender from this feature, the first one immediately perishes.</t>
  </si>
  <si>
    <t>Ability Score Improvement</t>
  </si>
  <si>
    <t>At level 4, 8, 12, 16, 19 choose AGI or a Feat</t>
  </si>
  <si>
    <t>ASI_FEAT</t>
  </si>
  <si>
    <t>Alchemical Savant</t>
  </si>
  <si>
    <t>At 5th level, you develop masterful command of magical chemicals, enhancing the healing and damage you create through them. Whenever you cast a spell using your alchemist's supplies as the spellcasting focus, you gain a bonus to one roll of the spell. That roll must restore hit points or be a damage roll that deals acid, fire, necrotic, or poison damage, and the bonus equals your Intelligence modifier (minimum of +1).</t>
  </si>
  <si>
    <t>Arcane Firearm</t>
  </si>
  <si>
    <t>At 5th level, you know how to turn a wand, staff, or rod into an arcane firearm, a conduit for your destructive spells. When you finish a long rest, you can use woodcarver's tools to carve special sigils into a wand, staff, or rod and thereby turn it into your arcane firearm. The sigils disappear from the object if you later carve them on a different item. The sigils otherwise last indefinitely.
You can use your arcane firearm as a spellcasting focus for your artificer spells. When you cast an artificer spell through the firearm, roll a d8, and you gain a bonus to one of the spell's damage rolls equal to the number rolled.</t>
  </si>
  <si>
    <t>Extra Attack</t>
  </si>
  <si>
    <t>Starting at 5th level, you can attack twice, rather than once, whenever you take the Attack action on your turn.</t>
  </si>
  <si>
    <t>Tool Expertise</t>
  </si>
  <si>
    <t>Starting at 6th level, your proficiency bonus is doubled for any ability check you make that uses your proficiency with a tool.</t>
  </si>
  <si>
    <t>Flash of Genius</t>
  </si>
  <si>
    <t>Starting at 7th level, you gain the ability to come up with solutions under pressure. When you or another creature you can see within 30 feet of you makes an ability check or a saving throw, you can use your reaction to add your Intelligence modifier to the roll.
You can use this feature a number of times equal to your Intelligence modifier (minimum of once). You regain all expended uses when you finish a long rest.</t>
  </si>
  <si>
    <t>Restorative Reagents</t>
  </si>
  <si>
    <t>Starting at 9th level, you can incorporate restorative reagents into some of your works:
Whenever a creature drinks an experimental elixir you created, the creature gains temporary hit points equal to 2d6 + your Intelligence modifier (minimum of 1 temporary hit point).
You can cast lesser restoration without expending a spell slot and without preparing the spell, provided you use alchemist's supplies as the spellcasting focus. You can do so a number of times equal to your Intelligence modifier (minimum of once), and you regain all expended uses when you finish a long rest.</t>
  </si>
  <si>
    <t>Explosive Cannon</t>
  </si>
  <si>
    <t>Starting at 9th level, every eldritch cannon you create is more destructive:
The cannon's damage rolls all increase by 1d8.
As an action, you can command the cannon to detonate if you are within 60 feet of it. Doing so destroys the cannon and forces each creature within 20 feet of it to make a Dexterity saving throw against your spell save DC, taking 3d8 force damage on a failed save or half as much damage on a successful one.</t>
  </si>
  <si>
    <t>Arcane Jolt</t>
  </si>
  <si>
    <t>At 9th level, you learn new ways to channel arcane energy to harm or heal. When either you hit a target with a magic weapon attack or your steel defender hits a target, you can channel magical energy through the strike to create one of the following effects:
The target takes an extra 2d6 force damage.
Choose one creature or object you can see within 30 feet of the target. Healing energy flows into the chosen recipient, restoring 2d6 hit points to it.
You can use this energy a number of times equal to your Intelligence modifier (minimum of once), but you can do so no more than once on a turn. You regain all expended uses when you finish a long rest.</t>
  </si>
  <si>
    <t>Magical Item Adept</t>
  </si>
  <si>
    <t>When you reach 10th level, you achieve a profound understanding of how to use and make magic items:
You can attune to up to four magic items at once.
If you craft a magic item with a rarity of common or uncommon, it takes you a quarter of the normal time, and it costs you half as much of the usual gold.</t>
  </si>
  <si>
    <t>Spell-Storing Item</t>
  </si>
  <si>
    <t>At 11th level, you learn how to store a spell in an object. Whenever you finish a long rest, you can touch one simple or martial weapon or one item that you can use as a spellcasting focus, and you store a spell in it, choosing a 1st- or 2nd-level spell from the artificer spell list that requires 1 action to cast (you needn't have it prepared).
While holding the object, a creature can take an action to produce the spell's effect from it, using your spellcasting ability modifier. If the spell requires concentration, the creature must concentrate. The spell stays in the object until it's been used a number of times equal to twice your Intelligence modifier (minimum of twice) or until you use this feature again to store a spell in an object.</t>
  </si>
  <si>
    <t>Magic Item Savant</t>
  </si>
  <si>
    <t>At 14th level, your skill with magic items deepens more:
You can attune to up to five magic items at once.
You ignore all class, race, spell, and level requirements on attuning to or using a magic item.</t>
  </si>
  <si>
    <t>Chemical Mastery</t>
  </si>
  <si>
    <t>By 15th level, you have been exposed to so many chemicals that they pose little risk to you, and you can use them to quickly end certain ailments:
You gain resistance to acid damage and poison damage, and you are immune to the poisoned condition.
You can cast greater restoration and heal without expending a spell slot, without preparing the spell, and without material components, provided you use alchemist's supplies as the spellcasting focus. Once you cast either spell with this feature, you can't cast that spell with it again until you finish a long rest.</t>
  </si>
  <si>
    <t>Fortified Position</t>
  </si>
  <si>
    <t>Starting at 15th level, you're a master at forming well-defended emplacements using Eldritch Cannon:
You and your allies have half cover while within 10 feet of a cannon you create with Eldritch Cannon, as a result of a shimmering field of magical protection that the cannon emits.
You can now have two cannons at the same time. You can create two with the same action (but not the same spell slot), and you can activate both of them with the same bonus action. You determine whether the cannons are identical to each other or different. You can't create a third cannon while you have two.</t>
  </si>
  <si>
    <t>Improved Defender</t>
  </si>
  <si>
    <t>At 15th level, your Arcane Jolt and steel defender become more powerful:
The extra damage and the healing of your Arcane Jolt both increase to 4d6.
Your steel defender gains a +2 bonus to Armor Class.
Whenever your steel defender uses its Deflect Attack, the attacker takes force damage equal to 1d4 + your Intelligence modifier.</t>
  </si>
  <si>
    <t>Magic Item Master</t>
  </si>
  <si>
    <t>Starting at 18th level, you can attune to up to six magic items at once.</t>
  </si>
  <si>
    <t>Soul of Artifice</t>
  </si>
  <si>
    <t>At 20th level, you develop a mystical connection to your magic items, which you can draw on for protection:
You gain a +1 bonus to all saving throws per magic item you are currently attuned to.
If you're reduced to 0 hit points but not killed outright, you can use your reaction to end one of your artificer infusions, causing you to drop to 1 hit point instead of 0.</t>
  </si>
  <si>
    <t>Primal instinct</t>
  </si>
  <si>
    <t>As a barbarian, you gain the following class features. 
Hit Points
Hit Dice: 1d12 per barbarian level
Hit Points at 1st Level: 12 + your Constitution modifier
Hit Points at Higher Levels: 1d12 (or 7) + your Constitution modifier per barbarian level after 1st
Proficiencies
Armor: Light armor, medium armor, shields
Weapons: Simple weapons, martial weapons
Tools: None
Saving Throws: Strength, Constitution
Skills: Choose two from Animal Handling, Athletics, Intimidation, Nature, Perception, and Survival
Equipment
You start with the following equipment, in addition to the equipment granted by your background:
(a) a greataxe or (b) any martial melee weapon
(a) two handaxes or (b) any simple weapon
An explorer's pack and four javelins</t>
  </si>
  <si>
    <t>Rage</t>
  </si>
  <si>
    <t>In battle, you fight with primal ferocity. On your turn, you can enter a rage as a bonus action.
While raging, you gain the following benefits if you aren't wearing heavy armor:
• You have advantage on Strength checks and Strength saving throws.
• When you make a melee weapon attack using Strength, you gain a bonus to the damage roll that increases as you gain levels as a barbarian, as shown in the Rage Damage column of the Barbarian table.
• You have resistance to bludgeoning, piercing, and slashing damage.
If you are able to cast spells, you can't cast them or concentrate on them while raging.
Your rage lasts for 1 minute. It ends early if you are knocked unconscious or if your turn ends and you haven't attacked a hostile creature since your last turn or taken damage since then. You can also end your rage on your turn as a bonus action.
Once you have raged the number of times shown for your barbarian level in the Rages column of the Barbarian table, you must finish a long rest before you can rage again.</t>
  </si>
  <si>
    <t>Unarmored Defense</t>
  </si>
  <si>
    <t>While you are not wearing any armor, your armor class equals 10 + your Dexterity modifier + your Constitution modifier. You can use a shield and still gain this benefit.</t>
  </si>
  <si>
    <t>Danger Sense</t>
  </si>
  <si>
    <t>At 2nd level, you gain an uncanny sense of when things nearby aren't as they should be, giving you an edge when you dodge away from danger. You have advantage on Dexterity saving throws against effects that you can see, such as traps and spells. To gain this benefit, you can't be blinded, deafened, or incapacitated.</t>
  </si>
  <si>
    <t>Reckless Attack</t>
  </si>
  <si>
    <t>Starting at 2nd level, you can throw aside all concern for defense to attack with fierce desperation. When you make your first attack on your turn, you can decide to attack recklessly. Doing so gives you advantage on melee weapon attack rolls using Strength during this turn, but attack rolls against you have advantage until your next turn.</t>
  </si>
  <si>
    <t xml:space="preserve">	Ancestral Protectors</t>
  </si>
  <si>
    <t>Starting when you choose this path at 3rd level, spectral warriors appear when you enter your rage. While you’re raging, the first creature you hit with an attack on your turn becomes the target of the warriors, which hinder its attacks. Until the start of your next turn, that target has disadvantage on any attack roll that isn't against you, and when the target hits a creature other than you with an attack, that creature has resistance to the damage of the target’s attacks.</t>
  </si>
  <si>
    <t>Battlerager Armor</t>
  </si>
  <si>
    <t>"When you choose this path at 3rd level, you gain the ability to use spiked armor as a weapon.
While you are wearing spiked armor and are raging, you can use a bonus action to make one melee weapon attack with your armor spikes against a target within 5 feet of you. If the attack hits, the spikes deal 1d4 piercing damage. You use your Strength modifier for the attack and damage rolls.
Additionally, when you use the Attack action to grapple a creature, the target takes 3 piercing damage if your grapple check succeeds."</t>
  </si>
  <si>
    <t>Frenzy</t>
  </si>
  <si>
    <t>Starting when you choose this path at 3rd level, you can go into a frenzy when you rage. If you do so, for the duration of your rage you can make a single melee weapon attack as a bonus action on each of your turns after this one. When your rage ends, you suffer one level of exhaustion.</t>
  </si>
  <si>
    <t>Storm Aura</t>
  </si>
  <si>
    <t>When you select this path at 3rd level, you emanate a stormy, magical aura while you rage. The aura extends 10 feet from you in every direction, but not through total cover.
Your aura has an effect that activates when you enter your rage, and you can activate the effect again on each of your turns as a bonus action. Choose desert, sea, or tundra. Your aura's effect depends on that chosen environment, as detailed below. You can change your environment choice whenever you gain a level in this class.
If your aura's effects require a saving throw, the DC equals 8 + your proficiency bonus + your Constitution modifier.
Desert. When this effect is activated, all other creatures in your aura take 2 fire damage each. The damage increases when you reach certain levels in this class, increasing to 3 at 5th level, 4 at 10th level, 5 at 15th level, and 6 at 20th level.
Sea. When this effect is activated, you can choose one other creature you can see in your aura. The target must make a Dexterity saving throw. The target takes 1d6 lightning damage on a failed save, or half as much damage on a successful one. The damage increases when you reach certain levels in this class, increasing to 2d6 at 10th level, 3d6 at 15th level, and 4d6 at 20th level.
Tundra. When this effect is activated, each creature of your choice in your aura gains 2 temporary hit points, as icy spirits inure it to suffering. The temporary hit points increase when you reach certain levels in this class, increasing to 3 at 5th level, 4 at 10th level, 5 at 15th level, and 6 at 20th level.</t>
  </si>
  <si>
    <t>Spirit Seeker</t>
  </si>
  <si>
    <t>Yours is a path that seeks attunement with the natural world, giving you a kinship with beasts. At 3rd level when you adopt this path, you gain the ability to cast the Beast Sense and Speak with Animals spells, but only as rituals.</t>
  </si>
  <si>
    <t>Totem Spirit</t>
  </si>
  <si>
    <t>At 3rd level, when you adopt this path, you choose a totem spirit and gain its feature. You must make or acquire a physical totem object – an amulet or similar adornment – that incorporates fur or feathers, claws, teeth, or bones of the totem animal. At your option, you also gain minor physical attributes that are reminiscent of your totem spirit. For example, if you have a bear totem spirit, you might be unusually hairy and thick-skinned, or if your totem is the eagle, your eyes turn bright yellow.
Your totem animal might be an animal related to those listed here but more appropriate to your homeland. For example, you could choose a hawk or vulture in place of an eagle.
Bear. While raging, you have resistance to all damage except psychic damage. The spirit of the bear makes you tough enough to stand up to any punishment.
Eagle. While you're raging and aren't wearing heavy armor, other creatures have disadvantage on opportunity attack rolls against you, and you can use the Dash action as a bonus action on your turn. The spirit of the eagle makes you into a predator who can weave through the fray with ease.
Elk. While you're raging and aren't wearing heavy armor, your walking speed increases by 15 feet. The spirit of the elk makes you extraordinarily swift.
Tiger. While raging, you can add 10 feet to your long jump distance and 3 feet to your high jump distance. The spirit of the tiger empowers your leaps.
Wolf. While you're raging, your friends have advantage on melee attack rolls against any creature within 5 feet of you that is hostile to you. The spirit of the wolf makes you a leader of hunters.</t>
  </si>
  <si>
    <t>Divine Fury</t>
  </si>
  <si>
    <t>Starting when you choose this path at 3rd level, you can channel divine fury into your weapon strikes. While you're raging, the first creature you hit on each of your turns with a weapon attack takes extra damage equal to 1d6 + half your Barbarian level. The extra damage is necrotic or radiant; you choose the type of damage when you gain this feature.</t>
  </si>
  <si>
    <t>Warrior of the Gods</t>
  </si>
  <si>
    <t>At 3rd level, your soul is marked for endless battle. If a spell, such as Raise Dead, has the sole effect of restoring you to life (but not undeath), the caster doesn't need material components to cast the spell on you.</t>
  </si>
  <si>
    <t>At level 4, 8, 12, 16, 19 ⚠ Choose: 
• +2 ability score
OR
• 1 Feat</t>
  </si>
  <si>
    <t>Beginning at 5th level, you can attack twice, instead of once, whenever you take the Attack action on your turn.</t>
  </si>
  <si>
    <t>Fast Movement</t>
  </si>
  <si>
    <t>Starting at 5th level, your speed increases by 10 feet while you aren't wearing heavy armor.</t>
  </si>
  <si>
    <t>Spirit Shield</t>
  </si>
  <si>
    <t>Beginning at 6th level, the guardian spirits that aid you can provide supernatural protection to those you defend. If you are raging and a creature you can see within 30 feet of you takes damage, you can use your reaction to reduce that damage by 2d6.
When you reach certain levels in this class, you can reduce the damage by more: by 3d6 at 10th level and by 4d6 at 14th level.</t>
  </si>
  <si>
    <t>Reckless Abandon</t>
  </si>
  <si>
    <t>Beginning at 6th level, when you use Reckless Attack while raging, you also gain temporary hit points equal to your Constitution modifier (minimum of 1). They vanish if any of them are left when your rage ends.</t>
  </si>
  <si>
    <t>Mindless Rage</t>
  </si>
  <si>
    <t>Beginning at 6th level, you can't be charmed or frightened while raging. If you are charmed or frightened when you enter your rage, the effect is suspended for the duration of the rage.</t>
  </si>
  <si>
    <t>Storm Soul</t>
  </si>
  <si>
    <t>At 6th level, the storm grants you benefits even when your aura isn't active. The benefits are based on the environment you chose for your Storm Aura.
Desert. You gain resistance to fire damage, and you don’t suffer the effects of extreme heat, as described in the Dungeon Master's Guide. Moreover, as an action, you can touch a flammable object that isn't being worn or carried by anyone else and set it on fire.
Sea. You gain resistance to lightning damage, and you can breathe underwater. You also gain a swimming speed of 30 feet.
Tundra. You gain resistance to cold damage, and you don’t suffer the effects of extreme cold, as described in the Dungeon Master's Guide. Moreover, as an action, you can touch water and turn a 5-foot cube of it into ice, which melts after 1 minute. This action fails if a creature is in the cube.</t>
  </si>
  <si>
    <t>Aspect of the Beast</t>
  </si>
  <si>
    <t>At 6th level, you gain a magical benefit based on the totem animal of your choice. You can choose the same animal you selected at 3rd level or a different one.
Bear. You gain the might of a bear. Your carrying capacity (including maximum load and maximum lift) is doubled, and you have advantage on Strength checks made to push, pull, lift, or break objects.
Eagle. You gain the eyesight of an eagle. You can see up to 1 mile away with no difficulty, able to discern even fine details as though looking at something no more than 100 feet away from you. Additionally, dim light doesn't impose disadvantage on your Wisdom (Perception) checks.
Elk. Whether mounted or on foot, your travel pace is doubled, as is the travel pace of up to ten companions while they're within 60 feet of you and you're not incapacitated. The elk spirit helps you roam far and fast.
Tiger. You gain proficiency in two skills from the following list: Athletics, Acrobatics, Stealth, and Survival. The cat spirit hones your survival instincts.
Wolf. You gain the hunting sensibilities of a wolf. You can track other creatures while traveling at a fast pace, and you can move stealthily while traveling at a normal pace.</t>
  </si>
  <si>
    <t>Fanatical Focus</t>
  </si>
  <si>
    <t>Starting at 6th level, the divine power that fuels your rage can protect you. If you fail a saving throw while raging, you can reroll it, and you must use the new roll. You can use this ability only once per rage.</t>
  </si>
  <si>
    <t>Feral Instinct</t>
  </si>
  <si>
    <t>By 7th level, your instincts are so honed that you have advantage on initiative rolls.
Additionally, if you are surprised at the beginning of combat and aren't incapacitated, you can act normally on your first turn, but only if you enter your rage before doing anything else on that turn.</t>
  </si>
  <si>
    <t>Brutal Critical</t>
  </si>
  <si>
    <t>Beginning at 9th level, you can roll one additional weapon damage die when determining the extra damage for a critical hit with a melee attack.
This increases to two additional dice at 13th level and three additional dice at 17th level.</t>
  </si>
  <si>
    <t>Consult the Spirits</t>
  </si>
  <si>
    <t>At 10th level, you gain the ability to consult with your ancestral spirits. When you do so, you cast the Augury or Clairvoyance spell, without using a spell slot or material components. Rather than creating a spherical sensor, this use of Clairvoyance invisibly summons one of your ancestral spirits to the chosen location. Wisdom is your spellcasting ability for these spells.
After you cast either spell in this way, you can’t use this feature again until you finish a short or long rest.</t>
  </si>
  <si>
    <t>Battlerager Charge</t>
  </si>
  <si>
    <t>Beginning at 10th level, you can take the Dash action as a bonus action while you are raging.</t>
  </si>
  <si>
    <t>Intimidating Presence</t>
  </si>
  <si>
    <t>Beginning at 10th level, you can use your action to frighten someone with your menacing presence. When you do so, choose one creature that you can see within 30 feet of you. If the creature can see or hear you, it must succeed on a Wisdom saving throw (DC equal to 8 + your proficiency bonus + your Charisma modifier) or be frightened of you until the end of your next turn. On subsequent turns, you can use your action to extend the duration of this effect on the frightened creature until the end of your next turn. This effect ends if the creature ends its turn out of line of sight or more than 60 feet away from you.
If the creature succeeds on its saving throw, you can't use this feature on that creature again for 24 hours.</t>
  </si>
  <si>
    <t>Shielding Storm</t>
  </si>
  <si>
    <t>At 10th level, you learn to use your mastery of the storm to protect others. Each creature of your choice has the damage resistance you gained from the Storm Soul feature while the creature is in your Storm Aura.</t>
  </si>
  <si>
    <t>Spirit Walker</t>
  </si>
  <si>
    <t>At 10th level, you can cast the Commune with Nature spell, but only as a ritual. When you do so, a spiritual version of one of the animals you chose for Totem Spirit or Aspect of the Beast appears to you to convey the information you seek.</t>
  </si>
  <si>
    <t>Zealous Presence</t>
  </si>
  <si>
    <t>At 10th level, you learn to channel divine power to inspire zealotry in others. As a bonus action, you unleash a battle cry infused with divine energy. Up to ten other creatures of your choice within 60 feet of you that can hear you gain advantage on attack rolls and saving throws until the start of your next turn.
Once you use this feature, you can’t use it again until you finish a long rest.</t>
  </si>
  <si>
    <t>Relentless Rage</t>
  </si>
  <si>
    <t>Starting at 11th level, your raage can keep you fighting despite grievous wounds. If you drop to 0 hit points while you're raging and don't die outright, you can make a DC 10 Constitution saving throw. If you succeed, you drop to 1 hit point instead.
Each time you use this feature after the first, the DC increases by 5. When you finish a short or long rest, the DC resets to 10.</t>
  </si>
  <si>
    <t>Vengeful Ancestors</t>
  </si>
  <si>
    <t>At 14th level, your ancestral spirits grow powerful enough to retaliate. When you use your Spirit Shield to reduce the damage of an attack, the attacker takes an amount of force damage that your Spirit Shield prevents.</t>
  </si>
  <si>
    <t>Spiked Retribution</t>
  </si>
  <si>
    <t>Starting at 14th level, when a creature within 5 feet of you hits you with a melee attack, the attacker takes 3 piercing damage if you are raging, aren't incapacitated, and are wearing spiked armor.</t>
  </si>
  <si>
    <t>Retaliation</t>
  </si>
  <si>
    <t>Starting at 14th level, when you take damage from a creature that is within 5 feet of you, you can use your reaction to make a melee weapon attack against that creature.</t>
  </si>
  <si>
    <t>Raging Storm</t>
  </si>
  <si>
    <t>At 14th level, the power of the storm you channel grows mightier, lashing out at your foes. The effect is based on the environment you chose for your Storm Aura.
Desert. Immediately after a creature in your aura hits you with an attack, you can use your reaction to force that creature to make a Dexterity saving throw. On a failed save, the creature takes fire damage equal to your Barbarian level.
Sea. When you hit a creature in your aura with an attack, you can use your reaction to force that creature to make a Strength saving throw. On a failed save, the creature is knocked prone, as if struck by a wave.
Tundra. Whenever the effect of your Storm Aura is activated, you can choose one creature you can see in the aura. That creature must succeed on a Strength saving throw, or its speed is reduced to 0 until the start of your next turn, as magical frost covers it.</t>
  </si>
  <si>
    <t>Totemic Attunement</t>
  </si>
  <si>
    <t>At 14th level, you gain a magical benefit based on a totem animal of your choice. You can choose the same animal you selected previously or a different one.
Bear. While you're raging, any creature within 5 feet of you that's hostile to you has disadvantage on attack rolls against targets other than you or another character with this feature. An enemy is immune to this effect if it can't see or hear you or if it can't be frightened.
Eagle. While raging, you have a flying speed equal to your current walking speed. This benefit works only in short bursts; you fall if you end your turn in the air and nothing else is holding you aloft.
Elk. While raging, you can use a bonus action during your move to pass through the space of a Large or smaller creature. That creature must succeed on a Strength saving throw (DC 8 + your Strength bonus + your proficiency bonus) or be knocked prone and take bludgeoning damage equal to 1d12 + your Strength modifier.
Tiger. While you're raging, if you move at least 20 feet in a straight line toward a Large or smaller target right before making a melee weapon attack against it, you can use a bonus action to make an additional melee weapon attack against it.
Wolf. While you're raging, you can use a bonus action on your turn to knock a Large or smaller creature prone when you hit it with melee weapon attack.</t>
  </si>
  <si>
    <t>Rage Beyond Death</t>
  </si>
  <si>
    <t>Beginning at 14th level, the divine power that fuels your rage allows you to shrug off fatal blows.
While you're raging, having 0 hit points doesn’t knock you unconscious. You still must make death saving throws, and you suffer the normal effects of taking damage while at 0 hit points. However, if you would die due to failing death saving throws, you don’t die until your rage ends, and you die then only if you still have 0 hit points.</t>
  </si>
  <si>
    <t>Persistent Rage</t>
  </si>
  <si>
    <t>Beginning at 15th level, your rage is so fierce that it ends early only if you fall unconscious or if you choose to end it.</t>
  </si>
  <si>
    <t>Indomitable Might</t>
  </si>
  <si>
    <t>Beginning at 18th level, if your total for a Strength check is less than your Strength score, you can use that score in place of the total.</t>
  </si>
  <si>
    <t>Primal Champion</t>
  </si>
  <si>
    <t>At 20th level, you embody the power of the wilds. Your Strength and Constitution scores increase by 4. Your maximum for those scores is now 24.</t>
  </si>
  <si>
    <t>Learning from experience</t>
  </si>
  <si>
    <t>As a bard, you gain the following class features.
Hit Points
Hit Dice: 1d8 per bard level
Hit Points at 1st Level: 8 + your Constitution modifier
Hit Points at Higher Levels: 1d8 (or 5) + your Constitution modifier per bard level after 1st
Proficiencies
Armor: Light armor
Weapons: Simple weapons, hand crossbows, longswords, rapiers, shortswords
Tools: Three musical instruments of your choice
Saving Throws: Dexterity, Charisma
Skills: Choose any three
Equipment
You start with the following equipment, in addition to the equipment granted by your background:
(a) a rapier, (b) a longsword, or (c) any simple weapon
(a) a diplomat's pack or (b) an entertainer's pack
(a) a lute or (b) any other musical instrument
Leather armor and a dagger
Spellcasting
You have learned to untangle and reshape the fabric of reality in harmony with your wishes and music. Your spells are part of your vast repertoire, magic that you can tune to different situations.
Cantrips
You know two cantrips of your choice from the bard spell list. You learn additional bard cantrips of your choice at higher levels, as shown in the Cantrips Known column of the Bard table.
Spell Slots
The Bard table shows how many spell slots you have to cast your bard spells of 1st level and higher. To cast one of these spells, you must expend a slot of the spell's level or higher. You regain all expended spell slots when you finish a long rest. For example, if you know the 1st-level spell Cure Wounds and have a 1st-level and a 2nd-level spell slot available, you can cast Cure Wounds using either slot.
Spells Known of 1st Level and Higher
You know four 1st-level spells of your choice from the bard spell list.
The Spells Known column of the Bard table shows when you learn more bard spells of your choice. Each of these spells must be of a level for which you have spell slots, as shown on the table. For instance, when you reach 3rd level in this class, you can learn one new spell of 1st or 2nd level.
Additionally, when you gain a level in this class, you can choose one of the bard spells you know and replace it with another spell from the bard spell list, which also must be of a level for which you have spell slots.
Spellcasting Ability
Charisma is your spellcasting ability for your bard spells. Your magic comes from the heart and soul you pour into the performance of your music or oration. You use your Charisma whenever a spell refers to your spellcasting ability. In addition, you use your Charisma modifier when setting the saving throw DC for a bard spell you cast and when making an attack roll with one.
Spell save DC = 8 + your proficiency bonus + your Charisma modifier
Spell attack modifier = your proficiency bonus + your Charisma modifier
Ritual Casting
You can cast any bard spell you know as a ritual if that spell has the ritual tag.
Spellcasting Focus
You can use a musical instrument (found in chapter 5) as a spellcasting focus for your bard spells.</t>
  </si>
  <si>
    <t>Bardic Inspiration</t>
  </si>
  <si>
    <t>You can inspire others through stirring words or music. To do so, you use a bonus action on your turn to choose one creature other than yourself within 60 feet of you who can hear you. That creature gains one Bardic Inspiration die, a d6.
Once within the next 10 minutes, the creature can roll the die and add the number rolled to one ability check, attack roll, or saving throw it makes. The creature can wait until after it rolls the d20 before deciding to use the Bardic Inspiration die, but must decide before the DM says whether the roll succeeds or fails. Once the Bardic Inspiration die is rolled, it is lost. A creature can have only one Bardic Inspiration die at a time.
You can use this feature a number of times equal to your Charisma modifier (a minimum of once). You regain any expended uses when you finish a long rest.
Your Bardic Inspiration die changes when you reach certain levels in this class. The die becomes a d8 at 5th level, a d10 at 10th level, and a d12 at 15th level.
Jack of All Trades</t>
  </si>
  <si>
    <t>Jack of All Trades</t>
  </si>
  <si>
    <t>Starting at 2nd level, you can add half your proficiency bonus, rounded down, to any ability check you make that doesn't already include your proficiency bonus.</t>
  </si>
  <si>
    <t>Song of Rest</t>
  </si>
  <si>
    <t>Beginning at 2nd level, you can use soothing music or oration to help revitalize your wounded allies during a short rest. If you or any friendly creatures who can hear your performance spend one or more Hit Dice to regain hit points at the end of the short rest, each of those creatures regains an extra 1d6 hit points.</t>
  </si>
  <si>
    <t>Expertise</t>
  </si>
  <si>
    <t>At 3rd level, choose two of your skill proficiencies. Your proficiency bonus is doubled for any ability check you make that uses either of the chosen proficiencies.
At 10th level, you can choose another two skill proficiencies to gain this benefit.</t>
  </si>
  <si>
    <t>Bonus Proficiences</t>
  </si>
  <si>
    <t>When you join the College of Lore at 3rd level, you gain proficiency with three skills of your choice.</t>
  </si>
  <si>
    <t>Cutting Words</t>
  </si>
  <si>
    <t>Also at 3rd level, you learn how to use your wit to distract, confuse, and otherwise sap the confidence and competence of others. When a creature that you can see within 60 feet of you makes an attack roll, an ability check, or a damage roll, you can use your reaction to expend one of your uses of Bardic Inspiration, rolling a Bardic Inspiration die and subtracting the number rolled from the creature's roll. You can choose to use this feature after the creature makes its roll, but before the DM determines whether the attack roll or ability check succeeds or fails, or before the creature deals its damage. The creature is immune if it can't hear you or if it's immune to being charmed.</t>
  </si>
  <si>
    <t>When you join the College of Satire at 3rd level, you gain proficiency with thieves’ tools. You also gain proficiency in Sleight of Hand and one additional skill of your choice. If you are already proficient with thieves’ tools or in Sleight of Hand, choose another skill proficiency for each proficiency you already have.</t>
  </si>
  <si>
    <t>Tumbling Fool</t>
  </si>
  <si>
    <t>At 3rd level, you master a variety of acrobatic techniques that allow you to evade danger. As a bonus action, you can tumble. When you tumble, you gain the following benefits for the rest of your turn:
• You gain the benefits of taking the Dash and Disengage actions.
• You gain a climbing speed equal to your current speed.
• You take half damage from falling.</t>
  </si>
  <si>
    <t>When you join the College of Swords at 3rd level, you gain proficiency with medium armor and the scimitar.
If you’re proficient with a simple or martial melee weapon, you can use it as a spellcasting focus for your bard spells.</t>
  </si>
  <si>
    <t>Fighting Style</t>
  </si>
  <si>
    <t>At 3rd level, you adopt a particular style of fighting as your specialty. Choose one of the following options. You can't take a Fighting Style option more than once, even if you later get to choose again.
• Dueling
When you are wielding a melee weapon in one hand and no other weapons, you gain a +2 bonus to damage rolls with that weapon.
• Two-Weapon Fighting
When you engage in two-weapon fighting, you can add your ability modifier to the damage of the second attack.</t>
  </si>
  <si>
    <t>Blade Flourish</t>
  </si>
  <si>
    <t>At 3rd level, you learn to conduct impressive displays of martial prowess and speed.
Whenever you take the Attack action on your turn, your walking speed increases by 10 feet until the end of the turn, and if a weapon attack that you make as part of this action hits a creature, you can use one of the following Blade Flourish options of your choice. You can use only one Blade Flourish option per turn.
Defensive Flourish. You can expend one use of your Bardic Inspiration to cause the weapon to deal extra damage to the target you hit. The damage equals the number you roll on the Bardic Inspiration die. You also add the number rolled to your AC until the start of your next turn.
Slashing Flourish. You can expend one use of your Bardic Inspiration to cause the weapon to deal extra damage to the target you hit and to any other creature of your choice that you can see within 5 feet of you. The damage equals the number you roll on the Bardic Inspiration die.
Mobile Flourish. You can expend one use of your Bardic Inspiration to cause the weapon to deal extra damage to the target you hit. The damage equals the number you roll on the Bardic Inspiration die. You can also push the target up to 5 feet away from you, plus a number of feet equal to the number you roll on that die. You can then immediately use your reaction to move up to your walking speed to an unoccupied space within 5 feet of the target.</t>
  </si>
  <si>
    <t>When you join the College of Valor at 3rd level, you gain proficiency with medium armor, shields, and martial weapons.</t>
  </si>
  <si>
    <t>Combat Inspiration</t>
  </si>
  <si>
    <t>Also at 3rd level, you learn to inspire others in battle. A creature that has a Bardic Inspiration die from you can roll that die and add the number rolled to a weapon damage roll it just made. Alternatively, when an attack roll is made against the creature, it can use its reaction to roll the Bardic Inspiration die and add the number rolled to its AC against that attack, after seeing the roll but before knowing whether it hits or misses.</t>
  </si>
  <si>
    <t>Psychic Blades</t>
  </si>
  <si>
    <t>When you join the College of Whispers at 3rd level, you gain the ability to make your weapon attacks magically toxic to a creature's mind.
When you hit a creature with a weapon attack, you can expend one use of your Bardic Inspiration to deal an additional 2d6 psychic damage to that target. You can do so only once per round on your turn.
The psychic damage increases when you reach certain levels in this class, increasing to 3d6 at 5th level, 5d6 at 10th level, and 8d6 at 15th level.</t>
  </si>
  <si>
    <t>Words of Terror</t>
  </si>
  <si>
    <t>At 3rd level, you learn to infuse innocent-seeming words with an insidious magic that can inspire terror.
If you speak to a humanoid alone for at least 1 minute, you can attempt to seed paranoia and fear into its mind. At the end of the conversation, the target must succeed on a Wisdom saving throw against your spell save DC or be frightened of you or another creature of your choice. The target is frightened in this way for 1 hour, until it is attacked or damaged, or until it witnesses its allies being attacked or damaged.
If the target succeeds on its saving throw, the target has no hint that you tried to frighten it.
Once you use this feature, you can’t use it again until you finish a short rest or long rest.</t>
  </si>
  <si>
    <t>Font of Inspiration</t>
  </si>
  <si>
    <t>Beginning when you reach 5th level, you regain all of your expended uses of Bardic Inspiration when you finish a short or long rest.</t>
  </si>
  <si>
    <t>Countercharm</t>
  </si>
  <si>
    <t>At 6th level, you gain the ability to use musical notes or words of power to disrupt mind-influencing effects. As an action, you can start a performance that lasts until the end of your next turn. During that time, you and any friendly creatures within 30 feet of you have advantage on saving throws against being frightened or charmed. A creature must be able to hear you to gain this benefit. The performance ends early if you are incapacitated or silenced or if you voluntarily end it (no action required).</t>
  </si>
  <si>
    <t>Mantle of Majesty</t>
  </si>
  <si>
    <t>At 6th level, you gain the ability to cloak yourself in a fey magic that makes others want to serve you. As a bonus action, you cast Command, without expending a spell slot, and you take on an appearance of unearthly beauty for 1 minute or until your concentration ends (as if you were concentrating on a spell). During this time, you can cast Command as a bonus action on each of your turns, without expending a spell slot.
Any creature charmed by you automatically fails its saving throw against the Command you cast with this feature.
Once you use this feature, you can’t use it again until you finish a long rest.</t>
  </si>
  <si>
    <t>Additional Magical Secrets</t>
  </si>
  <si>
    <t>At 6th level, you learn two spells of your choice from any class. A spell you choose must be of a level you can cast, as shown on the Bard table, or a cantrip. The chosen spells count as bard spells for you but don't count against the number of bard spells you know.</t>
  </si>
  <si>
    <t>Fool's Insight</t>
  </si>
  <si>
    <t>At 6th level, your ability to gather stories and lore gains a supernatural edge. You can cast Detect Thoughts up to a number of times equal to your Charisma modifier. You regain any expended uses of this ability after completing a long rest.
If a creature resists your attempt to probe deeper and succeeds at its saving throw against your Detect Thoughts, it immediately suffers an embarrassing social gaffe. It might loudly pass gas, unleash a thunderous burp, trip and fall, or be compelled to tell a tasteless joke.</t>
  </si>
  <si>
    <t>Starting at 6th level, you can attack twice, instead of once, whenever you take the Attack action on your turn.</t>
  </si>
  <si>
    <t>Mantle of Whispers</t>
  </si>
  <si>
    <t>At 6th level, you gain the ability to adopt a humanoid's persona. When a humanoid dies within 30 feet of you, you can magically capture its shadow using your reaction. You retain this shadow until you use it or you finish a long rest.
You can use the shadow as an action. When you do so, it vanishes, magically transforming into a disguise that appears on you. You now look like the dead person, but healthy and alive. This disguise lasts for 1 hour or until you end it as a bonus action.
While you're in the disguise, you gain access to all information that the humanoid would freely share with a casual acquaintance. Such information includes general details on its background and personal life, but doesn't include secrets. The information is enough that you can pass yourself off as the person by drawing on its memories.
Another creature can see through this disguise by succeeding on a Wisdom (Insight) check contested by your Charisma (Deception) check. You gain a +5 bonus to your check.
Once you capture a shadow with this feature, you can't capture another one with it until you finish a short or long rest.</t>
  </si>
  <si>
    <t>Magical Secrets</t>
  </si>
  <si>
    <t>By 10th level, you have plundered magical knowledge from a wide spectrum of disciplines. Choose two spells from any class, including this one. A spell you choose must be of a level you can cast, as shown on the Bard table, or a cantrip.
The chosen spells count as bard spells for you and are included in the number in the Spells Known column of the Bard table.
You learn two additional spells from any class at 14th level and again at 18th level.</t>
  </si>
  <si>
    <t>Unbreakable Majesty</t>
  </si>
  <si>
    <t>At 14th level, your appearance permanently gains an otherworldly aspect that makes you look more lovely and fierce.
In addition, as a bonus action, you can assume a magically majestic presence for 1 minute or until you are incapacitated. For the duration, whenever any creature tries to attack you for the first time on a turn, the attacker must make a Charisma saving throw against your spell save DC. On a failed save, it can't attack you on this turn, and it must choose a new target for its attack or the attack is wasted. On a successful save, it can attack you on this turn, but it has disadvantage on any saving throw it makes against your spells on your next turn.
Once you assume this majestic presence, you can't do so again until you finish a short or long rest.</t>
  </si>
  <si>
    <t>Peerless Skill</t>
  </si>
  <si>
    <t>Starting at 14th level, when you make an ability check, you can expend one use of Bardic Inspiration. Roll a Bardic Inspiration die and add the number rolled to your ability check. You can choose to do so after you roll the die for the ability check, but before the DM tells you whether you succeed or fail.</t>
  </si>
  <si>
    <t>Fool's Luck</t>
  </si>
  <si>
    <t>Jesters seem to have a knack for pulling themselves out of tight situations, transforming what looks like sure failure into an embarrassing but effective success.
At 14th level, you can expend one use of Bardic Inspiration after you fail an ability check, fail a saving throw, or miss with an attack roll. Roll a Bardic Inspiration die and add the number rolled to your attack, saving throw, or ability check, using the new result in place of the failed one.
If using this ability grants you a success on the attack, saving throw, or ability check, note the number you rolled on the Bardic Inspiration die. The DM can then apply that result as a penalty to an attack or check you make, and you cannot use this ability again until you suffer this drawback. When the DM invokes this penalty, describe an embarrassing gaffe or mistake you make as part of the affected die roll.</t>
  </si>
  <si>
    <t>Master's Flourish</t>
  </si>
  <si>
    <t>Starting at 14th level, whenever you use a Blade Flourish option, you can roll a d6 and use it instead of expending a Bardic Inspiration die.</t>
  </si>
  <si>
    <t>Battle Magic</t>
  </si>
  <si>
    <t>At 14th level, you have mastered the art of weaving spellcasting and weapon use into a single harmonious act. When you use your action to cast a bard spell, you can make one weapon attack as a bonus action.</t>
  </si>
  <si>
    <t>Shadow Lore</t>
  </si>
  <si>
    <t>At 14th level, you gain the ability to weave dark magic into your words and tap into a creature’s deepest fears.
As an action, you magically whisper a phrase that only one creature of your choice within 30 feet of you can hear. The target must make a Wisdom saving throw against your spell save DC. It automatically succeeds if it doesn’t share a language with you or if it can’t hear you. On a successful saving throw, your whisper sounds like unintelligible mumbling and has no effect.
If the target fails its saving throw, it is charmed by you for the next 8 hours or until you or your allies attack or damage it. It interprets the whispers as a description of its most mortifying secret.
While you gain no knowledge of this secret, the target is convinced you know it. While charmed in this way, the creature obeys your commands for fear that you will reveal its secret. It won’t risk its life for you or fight for you, unless it was already inclined to do so. It grants you favors and gifts it would offer to a close friend.
When the effect ends, the creature has no understanding of why it held you in such fear.
Once you use this feature, you can’t use it again until you finish a long rest.</t>
  </si>
  <si>
    <t>Superior Inspiration</t>
  </si>
  <si>
    <t>At 20th level, when you roll initiative and have no uses of Bardic Inspiration left, you regain one use.</t>
  </si>
  <si>
    <t>Divine Choice</t>
  </si>
  <si>
    <t>As a cleric, you gain the following class features.
Hit Points
Hit Dice: 1d8 per cleric level
Hit Points at 1st Level: 8 + your Constitution modifier
Hit Points at Higher Levels: 1d8 (or 5) + your Constitution modifier per cleric level after 1st
Proficiencies
Armor: Light armor, medium armor, shields
Weapons: All simple weapons
Tools: None
Saving Throws: Wisdom, Charisma
Skills: Choose two from History, Insight, Medicine, Persuasion, and Religion
Equipment
You start with the following equipment, in addition to the equipment granted by your background:
(a) a mace or (b) a warhammer (if proficient)
(a) scale mail, (b) leather armor, or (c) chain mail (if proficient)
(a) a light crossbow and 20 bolts or (b) any simple weapon
(a) a priest's pack or (b) an explorer's pack
A shield and a holy symbol
Spellcasting
As a conduit for divine power, you can cast cleric spells.
Cantrips
At 1st level, you know three cantrips of your choice from the cleric spell list. You learn additional cleric cantrips of your choice at higher levels, as shown in the Cantrips Known column of the Cleric table.
Spell Slots
The Cleric table shows how many spell slots you have to cast your cleric spells of 1st level and higher. To cast one of these spells, you must expend a slot of the spell's level or higher. You regain all expended spell slots when you finish a long rest.
You prepare the list of cleric spells that are available for you to cast, choosing from the cleric spell list. When you do so, choose a number of cleric spells equal to your Wisdom modifier + your cleric level (minimum of one spell). The spells must be of a level for which you have spell slots.
For example, if you are a 3rd-level cleric, you have four 1st-level and two 2nd-level spell slots. With a Wisdom of 16, your list of prepared spells can include six spells of 1st or 2nd level, in any combination. If you prepare the 1st-level spell Cure Wounds, you can cast it using a 1st-level or 2nd-level slot. Casting the spell doesn't remove it from your list of prepared spells.
You can change your list of prepared spells when you finish a long rest. Preparing a new list of cleric spells requires time spent in prayer and meditation: at least 1 minute per spell level for each spell on your list.
Spellcasting Ability
Wisdom is your spellcasting ability for your cleric spells. The power of your spells comes from your devotion to your deity. You use your Wisdom whenever a cleric spell refers to your spellcasting ability. In addition, you use your Wisdom modifier when setting the saving throw DC for a cleric spell you cast and when making an attack roll with one.
Spell save DC = 8 + your proficiency bonus + your Wisdom modifier
Spell attack modifier = your proficiency bonus + your Wisdom modifier
Ritual Casting
You can cast a cleric spell as a ritual if that spell has the ritual tag and you have the spell prepared.
Spellcasting Focus
You can use a holy symbol as a spellcasting focus for your cleric spells.</t>
  </si>
  <si>
    <t>Arcana Domain Spells</t>
  </si>
  <si>
    <t>Each domain has a list of spells-its domain spells that you gain at the cleric levels noted in the domain description. Once you gain a domain spell, you always have it prepared, and it doesn't count against the number of spells you can prepare each day.
If you have a domain spell that doesn't appear on the cleric spell list, the spell is nonetheless a cleric spell for you.</t>
  </si>
  <si>
    <t>Arcane Initiate</t>
  </si>
  <si>
    <t>When you choose this domain at 1st level, you gain proficiency in the Arcana skill, and you gain two cantrips of your choice from the wizard spell list. For you, these cantrips count as cleric cantrips.</t>
  </si>
  <si>
    <t>Death Domain Spells</t>
  </si>
  <si>
    <t>Bonus Proficiency</t>
  </si>
  <si>
    <t>When you choose this domain at 1st level, you gain proficiency with martial weapons.</t>
  </si>
  <si>
    <t>Reaper</t>
  </si>
  <si>
    <t>At 1st level, you learn one necromancy cantrip of your choice from any spell list. When you cast a necromancy cantrip that normally targets only one creature, the spell can instead target two creatures within range and within 5 feet of each other.</t>
  </si>
  <si>
    <t>Forge Domain Spells</t>
  </si>
  <si>
    <t>When you choose this domain at 1st level, you gain proficiency with heavy armor and smith's tools.</t>
  </si>
  <si>
    <t>Blessing of the Forge</t>
  </si>
  <si>
    <t>At 1st level, you gain the ability to imbue magic into a weapon or armor. At the end of a long rest, you can touch one nonmagical object that is a suit of armor or a simple or martial weapon. Until the end of your next long rest or until you die, the object becomes a magic item, granting a +1 bonus to AC if it’s armor or a +1 bonus to attack and damage rolls if it’s a weapon.
Once you use this feature, you can’t use it again until you finish a long rest.</t>
  </si>
  <si>
    <t>Grave Domain Spells</t>
  </si>
  <si>
    <t>Circle of Mortality</t>
  </si>
  <si>
    <t>At 1st level, you gain the ability to manipulate the line between life and death. When you would normally roll one or more dice to restore hit points with a spell to a creature at 0 hit points, you instead use the highest number possible for each die.
In addition, you learn the Spare the Dying cantrip, which doesn't count against the number of cleric cantrips you know. For you, it has a range of 30 feet, and you can cast it as a bonus action.</t>
  </si>
  <si>
    <t>Eyes of the Grave</t>
  </si>
  <si>
    <t>At 1st level, you gain the ability to occasionally sense the presence of the undead, whose existence is an insult to the natural cycle of life. As an action, you can open your awareness to magically detect undead. Until the end of your next turn, you know the location of any undead within 60 feet of you that isn't behind total cover and that isn't protected from divination magic. This sense doesn't tell you anything about a creature's capabilities or identity.
You can use this feature a number of times equal to your Wisdom modifier (minimum of once). You regain all expended uses when you finish a long rest.</t>
  </si>
  <si>
    <t>Blessings of Knowledge</t>
  </si>
  <si>
    <t>At 1st level, you learn two languages of your choice. You also become proficient in your choice of two of the following skills: Arcana, History, Nature, or Religion.
Your proficiency bonus is doubled for any ability check you make that uses either of those skills.</t>
  </si>
  <si>
    <t>When you choose this domain at 1st level, you gain proficiency with heavy armor.</t>
  </si>
  <si>
    <t>Disciple of LIfe</t>
  </si>
  <si>
    <t>Also starting at 1st level, your healing spells are more effective. Whenever you use a spell of 1st level or higher to restore hit points to a creature, the creature regains additional hit points equal to 2 + the spell's level.</t>
  </si>
  <si>
    <t>Bonus Cantrip</t>
  </si>
  <si>
    <t>When you choose this domain at 1st level, you gain the Light cantrip if you don't already know it.</t>
  </si>
  <si>
    <t>Warding Flare</t>
  </si>
  <si>
    <t>Also at 1st level, you can interpose divine light between yourself and an attacking enemy. When you are attacked by a creature within 30 feet of you that you can see, you can use your reaction to impose disadvantage on the attack roll, causing light to flare before the attacker before it hits or misses. An attacker that can't be blinded is immune to this feature.
You can use this feature a number of times equal to your Wisdom modifier (a minimum of once). You regain all expended uses when you finish a long rest.</t>
  </si>
  <si>
    <t>Acolyte of Nature</t>
  </si>
  <si>
    <t>At 1st level, you learn one cantrip of your choice from the druid spell list. You also gain proficiency in one of the following skills of your choice: Animal Handling, Nature, or Survival.</t>
  </si>
  <si>
    <t>Also at 1st level, you gain proficiency with heavy armor.</t>
  </si>
  <si>
    <t>Bonus Proficiencies</t>
  </si>
  <si>
    <t>When you choose this domain at 1st level, you gain proficiency with heavy armor. You also gain proficiency in the Intimidation or Persuasion skill (your choice).</t>
  </si>
  <si>
    <t>Voice of Authority</t>
  </si>
  <si>
    <t>Starting at 1st level, you can invoke the power of law to drive an ally to attack. If you cast a spell with a spell slot of 1st level or higher and target an ally with the spell, that ally can use their reaction immediately after the spell to make one weapon attack against a creature of your choice that you can see.
If the spell targets more than one ally, you choose the ally who can make the attack.</t>
  </si>
  <si>
    <t>Shield of the Faithful</t>
  </si>
  <si>
    <t>Starting at 1st level, you gain the ability to hinder attacks intended for others. When a creature attacks a target other than you that is within 5 feet of you, you can use your reaction to impose disadvantage on the attack roll. To do so, you must be able to see both the attacker and the target. You interpose an arm, a shield, or some other part of yourself to try to throw the attack off target.</t>
  </si>
  <si>
    <t>At 1st level, you gain proficiency with martial weapons and heavy armor.</t>
  </si>
  <si>
    <t>Wrath of the Storm</t>
  </si>
  <si>
    <t>Also at 1st level, you can thunderously rebuke attackers. When a creature within 5 feet of you that you can see hits you with an attack, you can use your reaction to cause the creature to make a Dexterity saving throw. The creature takes 2d8 lightning or thunder damage (your choice) on a failed saving throw, and half as much damage on a successful one.
You can use this feature a number of times equal to your Wisdom modifier (a minimum of once). You regain all expended uses when you finish a long rest.</t>
  </si>
  <si>
    <t>Blessing of the Trickster</t>
  </si>
  <si>
    <t>Starting when you choose this domain at 1st level, you can use your action to touch a willing creature other than yourself to give it advantage on Dexterity (Stealth) checks. This blessing lasts for 1 hour or until you use this feature again.</t>
  </si>
  <si>
    <t>At 1st level, you gain proficiency with heavy armor.</t>
  </si>
  <si>
    <t>Solidarity's Action</t>
  </si>
  <si>
    <t>Also at 1st level, when you take the Help action to aid an ally’s attack, you can make one weapon attack as a bonus action. You can use this feature a number of times equal to your Wisdom modifier (minimum of once). You regain expended uses when you finish a long rest.</t>
  </si>
  <si>
    <t>Acolyte of Strength</t>
  </si>
  <si>
    <t>At 1st level, you learn one druid cantrip of your choice. You also gain proficiency in one of the following skills of your choice: Animal Handling, Athletics, Nature, or Survival.</t>
  </si>
  <si>
    <t>When you choose this domain at 1st level, you can interpose divine light between yourself and an attacking enemy. When you are attacked by a creature within 30 feet of you that you can see, you can use your reaction to impose disadvantage on the attack roll, causing light to flare before the attacker before it hits or misses. An attacker that can’t be blinded is immune to this feature.
You can use this feature a number of times equal to your Wisdom modifier (a minimum of once). You regain all expended uses when you finish a long rest.</t>
  </si>
  <si>
    <t>War Priest</t>
  </si>
  <si>
    <t>From 1st level, your god delivers bolts of inspiration to you while you are engaged in battle. When you use the Attack action, you can make one weapon attack as a bonus action.
You can use this feature a number of times equal to your Wisdom modifier (a minimum of once). You regain all expended uses when you finish a long rest.</t>
  </si>
  <si>
    <t>Zeal Domain Spells</t>
  </si>
  <si>
    <t>Priest of Zeal</t>
  </si>
  <si>
    <t>From 1st level, Hazoret delivers bolts of inspiration to you while you are engaged in battle. When you use the Attack action, you can make one weapon attack as a bonus action.
You can use this feature a number of times equal to your Wisdom modifier (a minimum of once). You regain all expended uses when you finish a long rest.\</t>
  </si>
  <si>
    <t>Channel Divinity</t>
  </si>
  <si>
    <t>At 2nd level, you gain the ability to channel divine energy directly from your deity, using that energy to fuel magical effects. You start with two such effects: Turn Undead and an effect determined by your domain. Some domains grant you additional effects as you advance in levels, as noted in the domain description.
When you use your Channel Divinity, you choose which effect to create. You must then finish a short or long rest to use your Channel Divinity again.
Some Channel Divinity effects require saving throws. When you use such an effect from this class, the DC equals your cleric spell save DC.
Beginning at 6th level, you can use your Channel Divinity twice between rests, and beginning at 18th level, you can use it three times between rests. When you finish a short or long rest, you regain your expended uses.
Channel Divinity: Turn Undead
As an action, you present your holy symbol and speak a prayer censuring the undead. Each undead that can see or hear you within 30 feet of you must make a Wisdom saving throw. If the creature fails its saving throw, it is turned for 1 minute or until it takes any damage.
A turned creature must spend its turns trying to move as far away from you as it can, and it can't willingly move to a space within 30 feet of you. It also can't take reactions. For its action, it can use only the Dash action or try to escape from an effect that prevents it from moving. If there's nowhere to move, the creature can use the Dodge action.</t>
  </si>
  <si>
    <t>DestroyUndead</t>
  </si>
  <si>
    <t>Channel Divinity: Path to the Grave</t>
  </si>
  <si>
    <t>Starting at 2nd level, you can use your Channel Divinity to mark another creature’s life force for termination.
As an action, you choose one creature you can see within 30 feet of you, cursing it until the end of your next turn. The next time you or an ally of yours hits the cursed creature with an attack, the creature has vulnerability to all of that attack's damage, and then the curse ends.</t>
  </si>
  <si>
    <t>Channel Divinity: Arcane Abjuration</t>
  </si>
  <si>
    <t>Starting at 2nd level, you can use your Channel Divinity to abjure otherworldly creatures.
As an action, you present your holy symbol, and one celestial, elemental, fey, or fiend of your choice that is within 30 feet of you must make a Wisdom saving throw, provided that the creature can see or hear you. If the creature fails its saving throw, it is turned for 1 minute or until it takes any damage.
A turned creature must spend its turns trying to move as far away from you as it can, and it can't willingly end its move in a space within 30 feet of you. It also can't take reactions. For its action, it can only use the Dash action or try to escape from an effect that prevents it from moving. If there's nowhere to move, the creature can use the Dodge action.
After you reach 5th level, when a creature fails its saving throw against your Arcane Abjuration feature, the creature is banished for 1 minute (as in the Banishment spell, no concentration required) if it isn't on its plane of origin and its challenge rating is at or below a certain threshold, as shown on the Arcane Banishment table.</t>
  </si>
  <si>
    <t>Channel Divinity: Touch of Death</t>
  </si>
  <si>
    <t>Starting at 2nd level, you can use Channel Divinity to destroy another creature's life force by touch. When you hit a creature with a melee attack, you can use Channel Divinity to deal extra necrotic damage to the target. The damage equals 5 + twice your cleric level.</t>
  </si>
  <si>
    <t>Channel Divinity: Artisan's Blessing</t>
  </si>
  <si>
    <t>Starting at 2nd level, you can use your Channel Divinity to create simple items.
You conduct an hour-long ritual that crafts a nonmagical item that must include some metal: a simple or martial weapon, a suit of armor, ten pieces of ammunition, a set of tools, or another metal object. The creation is completed at the end of the hour, coalescing in an unoccupied space of your choice on a surface within 5 feet of you.
The thing you create can be something that is worth no more than 100 gp. As part of this ritual, you must lay out metal, which can include coins, with a value equal to the creation. The metal irretrievably coalesces and transforms into the creation at the ritual’s end, magically forming even nonmetal parts of the creation.
The ritual can create a duplicate of a nonmagical item that contains metal, such as a key, if you possess the original during the ritual.</t>
  </si>
  <si>
    <t>Channel Divinity: Knowledge of the Ages</t>
  </si>
  <si>
    <t>Starting at 2nd level, you can use your Channel Divinity to tap into a divine well of knowledge. As an action, you choose one skill or tool. For 10 minutes, you have proficiency with the chosen skill or tool.</t>
  </si>
  <si>
    <t>Channel Divinity: Preserver LIfe</t>
  </si>
  <si>
    <t>Starting at 2nd level, you can use your Channel Divinity to heal the badly injured.
As an action, you present your holy symbol and evoke healing energy that can restore a number of hit points equal to five times your cleric level. Choose any creatures within 30 feet of you, and divide those hit points among them. This feature can restore a creature to no more than half of its hit point maximum. You can't use this feature on an undead or a construct.</t>
  </si>
  <si>
    <t>Channel Divinity: Radiance of the Dawn</t>
  </si>
  <si>
    <t>Starting at 2nd level, you can use your Channel Divinity to harness sunlight, banishing darkness and dealing radiant damage to your foes.
As an action, you present your holy symbol, and any magical darkness within 30 feet of you is dispelled. Additionally, each hostile creature within 30 feet of you must make a Constitution saving throw. A creature takes radiant damage equal to 2d10 + your cleric level on a failed saving throw, and half as much damage on a successful one. A creature that has total cover from you is not affected.</t>
  </si>
  <si>
    <t>Channel Divinity: Charm Animals and Plants</t>
  </si>
  <si>
    <t>Starting at 2nd level, you can use your Channel Divinity to charm animals and plants.
As an action, you present your holy symbol and invoke the name of your deity. Each beast or plant creature that can see you within 30 feet of you must make a Wisdom saving throw. If the creature fails its saving throw, it is charmed by you for 1 minute or until it takes damage. While it is charmed by you, it is friendly to you and other creatures you designate.</t>
  </si>
  <si>
    <t>Channel Divinity: Order's Demand</t>
  </si>
  <si>
    <t>Starting at 2nd level, you can use your Channel Divinity to exert an intimidating presence over others.
As an action, you present your holy symbol, and each creature of your choice that can see or hear you within 30 feet of you must succeed on a Wisdom saving throw or be charmed by you until the end of your next turn or until the charmed creature takes any damage. You can also cause any of the charmed creatures to drop what they are holding when they fail the saving throw.</t>
  </si>
  <si>
    <t>Channel Divinity: Radiant Defense</t>
  </si>
  <si>
    <t>Starting at 2nd level, you can use your Channel Divinity to cloak your allies in radiant armor.
As an action, you channel blessed energy into an ally that you can see within 30 feet of you. The first time that ally is hit by an attack within the next minute, the attacker takes radiant damage equal to 2d10 + your cleric level.</t>
  </si>
  <si>
    <t>Channel Divinity: Destructive Wrath</t>
  </si>
  <si>
    <t>Starting at 2nd level, you can use your Channel Divinity to wield the power of the storm with unchecked ferocity.
When you roll lightning or thunder damage, you can use your Channel Divinity to deal maximum damage, instead of rolling.</t>
  </si>
  <si>
    <t>Channel Divinity: Invoke Duplicity</t>
  </si>
  <si>
    <t>Starting at 2nd level, you can use your Channel Divinity to create an illusory duplicate of yourself.
As an action, you create a perfect illusion of yourself that lasts for 1 minute, or until you lose your concentration (as if you were concentrating on a spell). The illusion appears in an unoccupied space that you can see within 30 feet of you. As a bonus action on your turn, you can move the illusion up to 30 feet to a space you can see, but it must remain within 120 feet of you.
For the duration, you can cast spells as though you were in the illusion's space, but you must use your own senses. Additionally, when both you and your illusion are within 5 feet of a creature that can see the illusion, you have advantage on attack rolls against that creature, given how distracting the illusion is to the target.</t>
  </si>
  <si>
    <t>Channel Divinity: Preserve LIfe</t>
  </si>
  <si>
    <t>Starting at 2nd level, you can use your Channel Divinity to heal the badly injured. As an action, you present your holy symbol and evoke healing energy that can restore a number of hit points equal to five times your cleric level. Choose any creatures within 30 feet of you, and divide those hit points among them. This feature can restore a creature to no more than half of its hit point maximum. You can’t use this feature on an undead or a construct.</t>
  </si>
  <si>
    <t>Channel Divinity: Feat of Strength</t>
  </si>
  <si>
    <t>At 2nd level, you can use your Channel Divinity to enhance your physical might. When you make an attack roll, ability check, or saving throw using Strength, you can use your Channel Divinity to gain a +10 bonus to the roll. You make this choice after you see the roll, but before the DM says whether the roll succeeds or fails.</t>
  </si>
  <si>
    <t>Starting at 2nd level, you can use your Channel Divinity to create an illusory duplicate of yourself.
As an action, you create a perfect illusion of yourself that lasts for 1 minute, or until you lose your concentration (as if you were concentrating on a spell). The illusion appears in an unoccupied space that you can see within 30 feet of you. As a bonus action on your turn, you can move the illusion up to 30 feet to a space you can see, but it must remain within 120 feet of you.
For the duration, you can cast spells as though you were in the illusion’s space, but you must use your own senses. Additionally, when both you and your illusion are within 5 feet of a creature that can see the illusion, you have advantage on attack rolls against that creature, given how distracting the illusion is to the target.</t>
  </si>
  <si>
    <t>Channel Divinity: Guided Strike</t>
  </si>
  <si>
    <t>Starting at 2nd level, you can use your Channel Divinity to strike with supernatural accuracy. When you make an attack roll, you can use your Channel Divinity to gain a +10 bonus to the roll. You make this choice after you see the roll, but before the DM says whether the attack hits or misses.</t>
  </si>
  <si>
    <t>Channel Divinity: Consuming Fervor</t>
  </si>
  <si>
    <t>Starting at 2nd level, you can use your Channel Divinity to channel your zeal into unchecked ferocity.
When you roll fire or thunder damage, you can use your Channel Divinity to deal maximum damage instead of rolling.</t>
  </si>
  <si>
    <t>Destroy Undead</t>
  </si>
  <si>
    <t>Starting at 5th level, when an undead fails its saving throw against your Turn Undead feature, the creature is instantly destroyed if its challenge rating is at or below a certain threshold, as shown in the Cleric table above.</t>
  </si>
  <si>
    <t>Spell Breaker</t>
  </si>
  <si>
    <t>Starting at 6th level, when you restore hit points to an ally with a spell of 1st level or higher, you can also end one spell of your choice on that creature. The level of the spell you end must be equal to or lower than the level of the spell slot you use to cast the healing spell.</t>
  </si>
  <si>
    <t>Inescapable Destruction</t>
  </si>
  <si>
    <t>Starting at 6th level, your ability to channel negative energy becomes more potent. Necrotic damage dealt by your cleric spells and Channel Divinity options ignores resistance to necrotic damage.</t>
  </si>
  <si>
    <t>Soul of the Forge</t>
  </si>
  <si>
    <t>Starting at 6th level, your mastery of the forge grants you special abilities:
• You gain resistance to fire damage.
• While wearing heavy armor, you gain a +1 bonus to AC.</t>
  </si>
  <si>
    <t>Sentinel at Death's Door</t>
  </si>
  <si>
    <t>At 6th level, you gain the ability to impede death’s progress. As a reaction when you or an ally that you can see within 30 feet of you suffers a critical hit, you can turn that attack into a normal hit. Any effects triggered by a critical hit are canceled.
You can use this feature a number of times equal to your Wisdom modifier (minimum of once). You regain all expended uses when you finish a long rest.</t>
  </si>
  <si>
    <t>Channel Divinity: Read Thoughts</t>
  </si>
  <si>
    <t>At 6th level, you can use your Channel Divinity to read a creature's thoughts. You can then use your access to the creature's mind to command it.
As an action, choose one creature that you can see within 60 feet of you. That creature must make a Wisdom saving throw. If the creature succeeds on the saving throw, you can't use this feature on it again until you finish a long rest.
If the creature fails its save, you can read its surface thoughts (those foremost in its mind, reflecting its current emotions and what it ie actively thinking about) when it is within 60 feet of you. This effect lasts for 1 minute.
During that time, you can use your action to end this effect and cast the Suggestion spell on the creature without expending a spell slot. The target automatically fails its saving throw against the spell.</t>
  </si>
  <si>
    <t>Blessed Healer</t>
  </si>
  <si>
    <t>Beginning at 6th level, the healing spells you cast on others heal you as well. When you cast a spell of 1st level or higher that restores hit points to a creature other than you, you regain hit points equal to 2 + the spell's level.</t>
  </si>
  <si>
    <t>Improved Flare</t>
  </si>
  <si>
    <t>Starting at 6th level, you can also use your Warding Flare feature when a creature that you can see within 30 feet of you attacks a creature other than you.</t>
  </si>
  <si>
    <t>Dampen Elements</t>
  </si>
  <si>
    <t>Starting at 6th level, when you or a creature within 30 feet of you takes acid, cold, fire, lightning, or thunder damage, you can use your reaction to grant resistance to the creature against that instance of the damage.</t>
  </si>
  <si>
    <t>Emodiment of the Law</t>
  </si>
  <si>
    <t>At 6th level, you become remarkably adept at channeling magical energy to compel others.
If you cast a spell of the enchantment school using a spell slot of 1st level or higher, you can change the spell's casting time to 1 bonus action for this casting, provided the spell's casting time is normally 1 action.
You can use this feature a number of times equal to your Wisdom modifier (minimum of once), and you regain all expended uses of it when you finish a long rest.</t>
  </si>
  <si>
    <t>Beginning at 6th level, the healing spells you cast on others can heal you as well. When you cast a spell with a spell slot and it restores hit points to any creature other than you this turn, you regain hit points equal to 2 + the spell’s level.</t>
  </si>
  <si>
    <t>Thunderous Strike</t>
  </si>
  <si>
    <t>At 6th level, when you deal lightning damage to a Large or smaller creature, you can also push it up to 10 feet away from you.</t>
  </si>
  <si>
    <t>Channel Divinity: Cloak of Shadows</t>
  </si>
  <si>
    <t>Starting at 6th level, you can use your Channel Divinity to vanish.
As an action, you become invisible until the end of your next turn. You become visible if you attack or cast a spell.</t>
  </si>
  <si>
    <t>Channel Divinity: Oketra's Blessing</t>
  </si>
  <si>
    <t>At 6th level, when a creature within 30 feet of you makes an attack roll, you can use your reaction to grant that creature a +10 bonus to the roll, using your Channel Divinity. You make this choice after you see the roll, but before the DM says whether the attack hits or misses.</t>
  </si>
  <si>
    <t>Channel Divinity: Rhonas' Blessing</t>
  </si>
  <si>
    <t>At 6th level, when a creature within 30 feet of you makes an attack roll, ability check, or saving throw using Strength, you can use your reaction to grant that creature a +10 bonus to the roll, using your Channel Divinity. You make this choice after you see the roll, but before the DM says whether the roll succeeds or fail.</t>
  </si>
  <si>
    <t>Starting at 6th level, you can use your Channel Divinity to vanish. As an action, you become invisible until the end of your next turn. You become visible if you attack or cast a spell.</t>
  </si>
  <si>
    <t>Channel Divinity: War God's Blessing</t>
  </si>
  <si>
    <t>Resounding Strike</t>
  </si>
  <si>
    <t>At 6th level, when you deal thunder damage to a Large or smaller creature, you can also push it up to 10 feet away from you.</t>
  </si>
  <si>
    <t>Potent Spellcasting</t>
  </si>
  <si>
    <t>Starting at 8th level, you add your Wisdom modifier to the damage you deal with any cleric cantrip.</t>
  </si>
  <si>
    <t>Divine Strike</t>
  </si>
  <si>
    <t>At 8th level, you gain the ability to infuse your weapon strikes with necrotic energy. Once on each of your turns when you hit a creature with a weapon attack, you can cause the attack to deal an a 1d8 necrotic damage to the target. When you reach 14th level, the extra damage increases to 2d8.</t>
  </si>
  <si>
    <t>At 8th level, you gain the ability to infuse your weapon strikes with the fiery power of the forge. Once on each of your turns when you hit a creature with a weapon attack, you can cause the attack to deal an extra 1d8 fire damage to the target. When you reach 14th level, the extra damage increases to 2d8.</t>
  </si>
  <si>
    <t>At 8th level, you gain the ability to infuse your weapon strikes with divine energy. Once on each of your turns when you hit a creature with a weapon attack, you can cause the attack to deal an extra 1d8 radiant damage to the target. When you reach 14th level, the extra damage increases to 2d8.</t>
  </si>
  <si>
    <t>At 8th level, you gain the ability to infuse your weapon strikes with divine energy. Once on each of your turns when you hit a creature with a weapon attack, you can cause the attack to deal an extra 1d8 cold, fire, or lightning damage (your choice) to the target. When you reach 14th level, the extra damage increases to 2d8.</t>
  </si>
  <si>
    <t>At 8th level, you gain the ability to infuse your weapon strikes with divine energy. Once on each of your turns when you hit a creature with a weapon attack, you can cause the attack to deal an extra 1d8 psychic damage to the target. When you reach 14th level, the extra damage increases to 2d8.</t>
  </si>
  <si>
    <t>At 8th level, you gain the ability to infuse your weapon strikes with divine energy. Once on each of your turns when you hit a creature with a weapon attack, you can cause the attack to deal an extra 1d8 thunder damage to the target. When you reach 14th level, the extra damage increases to 2d8.</t>
  </si>
  <si>
    <t>At 8th level, you gain the ability to infuse your weapon strikes with poison – a gift from your deity. Once on each of your turns when you hit a creature with a weapon attack, you can cause the attack to deal an extra 1d8 poison damage to the target. When you reach 14th level, the extra damage increases to 2d8.</t>
  </si>
  <si>
    <t>At 8th level, you gain the ability to infuse your weapon strikes with divine energy. Once on each of your turns when you hit a creature with a weapon attack, you can cause the attack to deal an extra 1d8 damage of the same type dealt by the weapon to the target. When you reach 14th level, the extra damage increases to 2d8.</t>
  </si>
  <si>
    <t>Divine Intervention</t>
  </si>
  <si>
    <t>Beginning at 10th level, you can call on your deity to intervene on your behalf when your need is great.
Imploring your deity's aid requires you to use your action. Describe the assistance you seek, and roll percentile dice. If you roll a number equal to or lower than your cleric level, your deity intervenes. The DM chooses the nature of the intervention; the effect of any cleric spell or cleric domain spell would be appropriate.
At 20th level, your call for intervention succeeds automatically, no roll required.</t>
  </si>
  <si>
    <t>Arcane Mastery</t>
  </si>
  <si>
    <t>At 17th level, you choose four spells from the wizard spell list, one from each of the following levels: 6th, 7th, 8th, and 9th. You add them to your list of domain spells. Like your other domain spells, they are always prepared and count as cleric spells for you.</t>
  </si>
  <si>
    <t>Improved Reaper</t>
  </si>
  <si>
    <t>Starting at 17th level, when you cast a necromancy spell of 1st through 5th level that targets only one creature, the spell can instead target two creatures within range and within 5 feet of each other. If the spell consumes its material components, you must provide them for each target.</t>
  </si>
  <si>
    <t>Sain of Forge and Fire</t>
  </si>
  <si>
    <t>At 17th level, your blessed affinity with fire and metal becomes more powerful:
• You gain immunity to fire damage.
• While wearing heavy armor, you have resistance to bludgeoning, piercing, and slashing damage from nonmagical attacks.</t>
  </si>
  <si>
    <t>Keeper of Souls</t>
  </si>
  <si>
    <t>At 17th level, you can seize a trace of vitality from a parting soul and use it to heal the living. When an enemy you can see dies within 30 feet of you, you or one ally of your choice that is within 30 feet of you regains hit points equal to the enemy’s number of Hit Dice. You can use this feature only if you aren't incapacitated. Once you use it, you can't do so again until the start of your next turn.</t>
  </si>
  <si>
    <t>Visions of the Past</t>
  </si>
  <si>
    <t>Starting at 17th level, you can call up visions of the past that relate to an object you hold or your immediate surroundings. You spend at least 1 minute in meditation and prayer, then receive dreamlike, shadowy glimpses of recent events. You can meditate in this way for a number of minutes equal to your Wisdom score and must maintain concentration during that time, as if you were casting a spell.
Once you use this feature, you can't use it again until you finish a short or long rest.
Object Reading. Holding an object as you meditate, you can see visions of the object's previous owner. After meditating for 1 minute, you learn how the owner acquired and lost the object, as well as the most recent significant event involving the object and that owner. If the object was owned by another creature in the recent past (within a number of days equal to your Wisdom score), you can spend 1 additional minute for each owner to learn the same information about that creature.
Area Reading. As you meditate, you see visions of recent events in your immediate vicinity (a room, street, tunnel, clearing, or the like, up to a 50-foot cube), going back a number of days equal to your Wisdom score. For each minute you meditate, you learn about one significant event, beginning with the most recent. Significant events typically involve powerful emotions, such as battles and betrayals, marriages and murders, births and funerals. However, they might also include more mundane events that are nevertheless important in your current situation.</t>
  </si>
  <si>
    <t>Supreme Healing</t>
  </si>
  <si>
    <t>Starting at 17th level, when you would normally roll one or more dice to restore hit points with a spell, you instead use the highest number possible for each die. For example, instead of restoring 2d6 hit points to a creature, you restore 12.</t>
  </si>
  <si>
    <t>Corona of Light</t>
  </si>
  <si>
    <t>Starting at 17th level, you can use your action to activate an aura of sunlight that lasts for 1 minute or until you dismiss it using another action. You emit bright light in a 60-foot radius and dim light 30 feet beyond that. Your enemies in the bright light have disadvantage on saving throws against any spell that deals fire or radiant damage.</t>
  </si>
  <si>
    <t>Master of Nature</t>
  </si>
  <si>
    <t>At 17th level, you gain the ability to command animals and plant creatures. While creatures are charmed by your Charm Animals and Plants feature, you can take a bonus action on your turn to verbally command what each of those creatures will do on its next turn.</t>
  </si>
  <si>
    <t>Order's Wrath</t>
  </si>
  <si>
    <t>Starting at 17th level, enemies you designate for destruction wilt under the combined efforts of you and your allies. If you deal your Divine Strike damage to a creature on your turn, you can curse that creature until the start of your next turn. The next time one of your allies hits the cursed creature with an attack, the target also takes 2d8 psychic damage, and the curse ends. You can curse a creature in this way only once per turn.</t>
  </si>
  <si>
    <t>Indomitable Defense</t>
  </si>
  <si>
    <t>At 17th level, you gain resistance to two damage types of your choice, choosing from bludgeoning, necrotic, piercing, radiant, and slashing. Whenever you finish a short or long rest, you can change the damage types you chose.
As an action, you can temporarily give up this resistance and transfer it to one creature you touch. The creature keeps the resistance until the end of your next short or long rest or until you transfer it back to yourself as a bonus action.</t>
  </si>
  <si>
    <t>Stormborn</t>
  </si>
  <si>
    <t>At 17th level, you have a flying speed equal to your current walking speed whenever you are not underground or indoors.</t>
  </si>
  <si>
    <t>Improved Duplicity</t>
  </si>
  <si>
    <t>At 17th level, you can create up to four duplicates of yourself, instead of one, when you use Invoke Duplicity. As a bonus action on your turn, you can move any number of them up to 30 feet, to a maximum range of 120 feet.</t>
  </si>
  <si>
    <t>Avatar of Battle</t>
  </si>
  <si>
    <t>At 17th level, you gain resistance to bludgeoning, piercing, and slashing damage from nonmagical attacks.</t>
  </si>
  <si>
    <t>At 17th level, you gain resistance to bludgeoning, piercing, and slashing damage from nonmagical weapons.</t>
  </si>
  <si>
    <t>Blaze of Glory</t>
  </si>
  <si>
    <t>Starting at 17th level, you can delay death for an instant to perform a final heroic act.
When you are reduced to 0 hit points by an attacker you can see, even if you would be killed outright, you can use your reaction to move up to your speed toward the attacker and make one melee weapon attack against it, as long as the movement brings it within your reach. You make this attack with advantage. If the attack hits, the creature takes an extra 5d10 fire damage and an extra 5d10 damage of the weapon’s type. You then fall unconscious and begin making death saving throws as normal, or you die if the damage you took would have killed you outright.
Once you use this feature, you can’t use it again until you finish a long rest.</t>
  </si>
  <si>
    <t>embodiment of nature's resilience</t>
  </si>
  <si>
    <t>As a druid, you gain the following class features.
Hit Points
Hit Dice: 1d8 per druid level
Hit Points at 1st Level: 8 + your Constitution modifier
Hit Points at Higher Levels: 1d8 (or 5) + your Constitution modifier per druid level after 1st
Proficiencies
Armor: Light armor, medium armor, shields (druids will not wear armor or use shields made of metal)
Weapons: Clubs, daggers, darts, javelins, maces, quarterstaffs, scimitars, sickles, slings, spears
Tools: Herbalism kit
Saving Throws: Intelligence, Wisdom
Skills: Choose two from Arcana, Animal Handling, Insight, Medicine, Nature, Perception, Religion, and Survival
Equipment
You start with the following equipment, in addition to the equipment granted by your background:
• (a) a wooden shield or (b) any simple weapon
• (a) a scimitar or (b) any simple melee weapon
• Leather armor, an explorer's pack, and a druidic focus
Druidic
You know Druidic, the secret language of druids. You can speak the language and use it to leave hidden messages. You and others who know this language automatically spot such a message. Others spot the message's presence with a successful DC 15 Wisdom (Perception) check but can't decipher it without magic.
Spellcasting
Drawing on the divine essence of nature itself, you can cast spells to shape that essence to your will.
Cantrips
At 1st level, you know two cantrips of your choice from the druid spell list. You learn additional druid cantrips of your choice at higher levels, as shown in the Cantrips Known column of the Druid table.
Preparing and Casting Spells
The Druid table shows how many spell slots you have to cast your druid spells of 1st level and higher. To cast one of these druid spells, you must expend a slot of the spell's level or higher. You regain all expended spell slots when you finish a long rest.
You prepare the list of druid spells that are available for you to cast, choosing from the druid spell list. When you do so, choose a number of druid spells equal to your Wisdom modifier + your Druid level (minimum of one spell). The spells must be of a level for which you have spell slots.
For example, if you are a 3rd-level druid, you have four 1st-level and two 2nd-level spell slots. With a Wisdom of 16, your list of prepared spells can include six spells of 1st or 2nd level, in any combination. If you prepare the 1st-level spell Cure Wounds, you can cast it using a 1st-level or 2nd-level slot. Casting the spell doesn't remove it from your list of prepared spells.
You can also change your list of prepared spells when you finish a long rest. Preparing a new list of druid spells requires time spent in prayer and meditation: at least 1 minute per spell level for each spell on your list.
Spellcasting Ability
Wisdom is your spellcasting ability for your druid spells, since your magic draws upon your devotion and attunement to nature. You use your Wisdom whenever a spell refers to your spellcasting ability. In addition, you use your Wisdom modifier when setting the saving throw DC for a druid spell you cast and when making an attack roll with one.
Spell save DC = 8 + your proficiency bonus + your Wisdom modifier
Spell attack modifier = your proficiency bonus + your Wisdom modifier
Ritual Casting
You can cast a druid spell as a ritual if that spell has the ritual tag and you have the spell prepared.
Spellcasting Focus
You can use a druidic focus as a spellcasting focus for your druid spells.</t>
  </si>
  <si>
    <t>Druidic</t>
  </si>
  <si>
    <t>You know Druidic, the secret language of druids. You can speak the language and use it to leave hidden messages. You and others who know this language automatically spot such a message. Others spot the message's presence with a successful DC 15 Wisdom (Perception) check but can't decipher it without magic.</t>
  </si>
  <si>
    <t>WildShape</t>
  </si>
  <si>
    <t>Land Circle Spells</t>
  </si>
  <si>
    <t>Your mystical connection to the land infuses you with the ability to cast certain spells. At 3rd, 5th, 7th, and 9th level you gain access to circle spells connected to the land where you became a druid. Choose that land – arctic, coast, desert, forest, grassland, mountain, swamp, or Underdark – and consult the associated list of spells.
Once you gain access to a circle spell, you always have it prepared, and it doesn't count against the number of spells you can prepare each day. If you gain access to a spell that doesn't appear on the druid spell list, the spell is nonetheless a druid spell for you.</t>
  </si>
  <si>
    <t>LandCircleSpells</t>
  </si>
  <si>
    <t>When you choose this circle at 2nd level, you learn one additional druid cantrip of your choice.</t>
  </si>
  <si>
    <t>Wild Shape</t>
  </si>
  <si>
    <t xml:space="preserve">Starting at 2nd level, you can use your action to magically assume the shape of a beast that you have seen before. You can use this feature twice. You regain expended uses when you finish a short or long rest.
Your druid level determines the beasts you can transform into, as shown in the Beast Shapes table. At 2nd level, for example, you can transform into any beast that has a challenge rating of 1/4 or lower that doesn't have a flying or swimming speed.
You can stay in a beast shape for a number of hours equal to half your druid level (rounded down). You then revert to your normal form unless you expend another use of this feature. You can revert to your normal form earlier by using a bonus action on your turn. You automatically revert if you fall unconscious, drop to 0 hit points, or die.
While you are transformed, the following rules apply:
• Your game statistics are replaced by the statistics of the beast, but you retain your alignment, personality, and Intelligence, Wisdom, and Charisma scores. You also retain all of your skill and saving throw proficiencies, in addition to gaining those of the creature. If the creature has the same proficiency as you and the bonus in its stat block is higher than yours, use the creature's bonus instead of yours. If the creature has any legendary or lair actions, you can't use them.
• When you transform, you assume the beast's hit points and Hit Dice. When you revert to your normal form, you return to the number of hit points you had before you transformed. However, if you revert as a result of dropping to 0 hit points, any excess damage carries over to your normal form, For example, if you take 10 damage in animal form and have only 1 hit point left, you revert and take 9 damage. As long as the excess damage doesn't reduce your normal form to 0 hit points, you aren't knocked unconscious.
• You can't cast spells, and your ability to speak or take any action that requires hands is limited to the capabilities of your beast form. Transforming doesn't break your concentration on a spell you've already cast, however, or prevent you from taking actions that are part of a spell, such as Call Lightning, that you've already cast.
• You retain the benefit of any features from your class, race, or other source and can use them if the new form is physically capable of doing so. However, you can't use any of your special senses, such as darkvision, unless your new form also has that sense.
• You choose whether your equipment falls to the ground in your space, merges into your new form, or is worn by it. Worn equipment functions as normal, but the DM decides whether it is practical for the new form to wear a piece of equipment, based on the creature's shape and size. Your equipment doesn't change size or shape to match the new form, and any equipment that the new form can't wear must either fall to the ground or merge with it. Equipment that merges with the form has no effect until you leave the form.
</t>
  </si>
  <si>
    <t>Balm of the Summer Court</t>
  </si>
  <si>
    <t>At 2nd level, you become imbued with the blessings of the Summer Court. You are a font of energy that offers respite from injuries. You have a pool of fey energy represented by a number of d6s equal to your druid level.
As a bonus action, you can choose an ally you can see within 120 feet of you and spend a number of those dice equal to half your druid level or less. Roll the spent dice and add them together. The target regains a number of hit points equal to the total. The target also gains 1 temporary hit point per die spent.
You regain the expended dice when you finish a long rest.</t>
  </si>
  <si>
    <t>Natural Recovery</t>
  </si>
  <si>
    <t>Starting at 2nd level, you can regain some of your magical energy by sitting in meditation and communing with nature. During a short rest, you choose expended spell slots to recover. The spell slots can have a combined level that is equal to or less than half your druid level (rounded up), and none of the slots can be 6th level or higher. You can't use this feature again until you finish a long rest.
For example, when you are a 4th-level druid, you can recover up to two levels worth of spell slots. You can recover either a 2nd-level slot or two 1st-level slots.</t>
  </si>
  <si>
    <t>Combat Wild Shape</t>
  </si>
  <si>
    <t>When you choose this circle at 2nd level, you gain the ability to use Wild Shape on your turn as a bonus action, rather than as an action.
Additionally, while you are transformed by Wild Shape, you can use a bonus action to expend one spell slot to regain 1d8 hit points per level of the spell slot expended.</t>
  </si>
  <si>
    <t>Speech of the Woods</t>
  </si>
  <si>
    <t>At 2nd level, you gain the ability to converse with beasts and many fey.
You learn to speak, read, and write Sylvan. In addition, beasts can understand your speech, and you gain the ability to decipher their noises and motions. Most beasts lack the intelligence to convey or understand sophisticated concepts, but a friendly beast could relay what it has seen or heard in the recent past. This ability doesn’t grant you any special friendship with beasts, though you can combine this ability with gifts to curry favor with them as you would with any nonplayer character.</t>
  </si>
  <si>
    <t>Spirit Totem</t>
  </si>
  <si>
    <t>Starting at 2nd level, you gain the ability to call forth nature spirits and use them to influence the world around you.
As a bonus action, you can magically summon an incorporeal spirit to a point you can see within 60 feet of you. The spirit creates an aura in a 30-foot radius around that point. It counts as neither a creature nor an object, though it has the spectral appearance of the creature it represents. As a bonus action, you can move the spirit up to 60 feet to a point you can see.
The spirit persists for 1 minute. Once you use this feature, you can’t use it again until you finish a short or long rest.
The effect of the spirit’s aura depends on the type of spirit you summon from the options below.
Bear Spirit. The bear spirit grants you and your allies its might and endurance. Each creature of your choice in the aura when the spirit appears gains temporary hit points equal to 5 + your druid level. In addition, you and your allies gain advantage on Strength checks and Strength saving throws while in the aura.
Hawk Spirit. The hawk spirit is a consummate hunter, aiding you and your allies with its keen sight. When a creature makes an attack roll against a target in the spirit’s aura, you can use your reaction to grant advantage to that attack roll. In addition, you and your allies have advantage on Wisdom (Perception) checks while in the aura.
Unicorn Spirit. The unicorn spirit lends its protection to those nearby. You and your allies gain advantage on all ability checks made to detect creatures in the spirit’s aura. In addition, if you cast a spell using a spell slot that restores hit points to any creature inside or outside the aura, each creature of your choice in the aura also regains hit points equal to your druid level.</t>
  </si>
  <si>
    <t>Circle Spells</t>
  </si>
  <si>
    <t>Your symbiotic link to fungus and your ability to tap into the cycle of life and death grants you access to certain spells. At 2nd level, you learn the Chill Touch cantrip. At 3rd, 5th, 7th, and 9th level you gain access to the spells listed for that level in the Circle of Spores Spells table.
Once you gain access to one of these spells, you always have it prepared, and it doesn’t count against the number of spells you can prepare each day. If you gain access to a spell that doesn’t appear on the druid spell list, the spell is nonetheless a druid spell for you.</t>
  </si>
  <si>
    <t>SporesCircleSpells</t>
  </si>
  <si>
    <t>Halo of Spores</t>
  </si>
  <si>
    <t>Starting at 2nd level, you are surrounded by invisible, necrotic spores that are harmless until you unleash them on a creature nearby. When a creature you can see moves into a space within 10 feet of you or starts its turn there, you can use your reaction to deal 1d4 necrotic damage to that creature unless it succeeds on a Constitution saving throw against your spell save DC. The necrotic damage increases to 1d6 at 6th level, 1d8 at 10th level, and 1d10 at 14th level.</t>
  </si>
  <si>
    <t>Symbiotic Entity</t>
  </si>
  <si>
    <t>At 2nd level, you gain the ability to channel magic into your spores. As an action, you can expend a use of your Wild Shape feature to awaken those spores, rather than transforming into a beast form, and you gain 5 temporary hit points for each level you have in this class. While this feature is active, you gain the following benefits:
• When you deal your Halo of Spores damage, roll the damage die a second time and add it to the total.
• Your melee weapon attacks deal an extra 1d6 poison damage to any target they hit.
These benefits last for 10 minutes, until you lose all these temporary hit points, or until you use your Wild Shape again.</t>
  </si>
  <si>
    <t>Harvest's Scythe</t>
  </si>
  <si>
    <t>Starting at 2nd level, you learn to unravel and harvest the life energy of other creatures. You can augment your spells to drain the life force from creatures. You have a pool of energy represented by a number of d10s equal to your druid level.
When you roll damage for a spell, you can increase that damage by spending dice from the pool. You can spend a number of dice equal to half your druid level or less. Roll the spent dice and add them to the damage as necrotic damage. If you kill one or more hostile creatures with a spell augmented in this way, you or an ally of your choice that you can see within 30 feet of you regains 2 hit points per die spent to increase the spell’s damage, or 5 hit points per die if at least one of the slain creatures was undead.
You regain the expended dice when you finish a long rest.</t>
  </si>
  <si>
    <t>Hearth of Moonlight and Shadow</t>
  </si>
  <si>
    <t>At 6th level, home can be wherever you are. During a short or long rest, you can invoke the shadowy power of the Gloaming Court to help guard your respite. At the start of the rest, you touch a point in space, and an invisible, 30-foot-radius sphere of magic appears, centered on that point. Total cover blocks the sphere.
While within the sphere, you and your allies gain a +5 bonus to Dexterity (Stealth) and Wisdom (Perception) checks, and any light from open flames in the sphere (a campfire, torches, or the like) isn't visible outside it.
The sphere vanishes at the end of the rest or when you leave the sphere.</t>
  </si>
  <si>
    <t>Circle Forms</t>
  </si>
  <si>
    <t>The rites of your circle grant you the ability to transform into more dangerous animal forms. Starting at 2nd level, you can use your Wild Shape to transform into a beast with a challenge rating as high as 1. You ignore the Max. CR column of the Beast Shapes table, but must abide by the other limitations there.
Starting at 6th level, you can transform into a beast with a challenge rating as high as your druid level divided by 3, rounded down.</t>
  </si>
  <si>
    <t>Primal Strike</t>
  </si>
  <si>
    <t>Starting at 6th level, your attacks in beast form count as magical for the purpose of overcoming resistance and immunity to nonmagical attacks and damage.</t>
  </si>
  <si>
    <t>Land's Stride</t>
  </si>
  <si>
    <t>Starting at 6th level, moving through nonmagical difficult terrain costs you no extra movement. You can also pass through nonmagical plants without being slowed by them and without taking damage from them if they have thorns, spines, or a similar hazard.
In addition, you have advantage on saving throws against plants that are magically created or manipulated to impede movement, such as those created by the Entangle spell.</t>
  </si>
  <si>
    <t>Mighty Summoner</t>
  </si>
  <si>
    <t>At 6th level, beasts and fey that you conjure are more resilient than normal. Any beast or fey summoned or created by a spell that you cast gains two benefits:
• The creature appears with more hit points than normal: 2 extra hit points per Hit Die it has.
• The damage from its natural weapons is considered magical for the purpose of overcoming immunity and resistance to nonmagical attacks and damage.</t>
  </si>
  <si>
    <t>Fungal Infestation</t>
  </si>
  <si>
    <t>At 6th level, your spores gain the ability to infest a humanoid corpse and animate it.
If a beast or humanoid that is Small or Medium dies within 10 feet of you, you can use your reaction to animate it, causing it to stand up immediately with 1 hit point. The creature uses the zombie statistics. It remains animate for 1 hour, after which time it collapses and dies.
In combat, the zombie's turn is immediately after yours. It obeys your mental commands, and the only action it can take is the Attack action, making one melee attack.</t>
  </si>
  <si>
    <t>Speech Beyond the Grave</t>
  </si>
  <si>
    <t>At 6th level, you gain the ability to reach beyond death’s veil in search of knowledge. Using this feature, you can cast Speak with Dead without material components, and you understand what the target of this casting says. It can understand your questions, even if you don’t share a language or it is not intelligent enough to speak.
Once you use this feature, you can’t use it again until you finish a short or long rest.</t>
  </si>
  <si>
    <t>Hidden Paths</t>
  </si>
  <si>
    <t>Starting at 10th level, you can use the hidden, magical pathways that some fey use to traverse space in a blink of an eye. As a bonus action on your turn, you can teleport up to 60 feet to an unoccupied space you can see. Alternatively, you can use your action to teleport one willing creature you touch up to 30 feet to an unoccupied space you can see.
You can use this feature a number of times equal to your Wisdom modifier (minimum of once), and you regain all expended uses of it when you finish a long rest.</t>
  </si>
  <si>
    <t>Elemental Wild Shape</t>
  </si>
  <si>
    <t>At 10th level, you can expend two uses of Wild Shape at the same time to transform into an air elemental, an earth elemental, a fire elemental, or a water elemental.</t>
  </si>
  <si>
    <t>Nature's Ward</t>
  </si>
  <si>
    <t>When you reach 10th level, you can't be charmed or frightened by elementals or fey, and you are immune to poison and disease.</t>
  </si>
  <si>
    <t>Guardian Spirit</t>
  </si>
  <si>
    <t>Beginning at 10th level, your Spirit Totem safeguards the beasts and fey that you call forth with your magic. When a beast or fey that you summoned or created with a spell ends its turn in your Spirit Totem aura, that creature regains a number of hit points equal to half your druid level.</t>
  </si>
  <si>
    <t>Spreading Spores</t>
  </si>
  <si>
    <t>At 10th level, you gain the ability to seed an area with deadly spores. As a bonus action while your Symbiotic Entity feature is active, you can hurl spores up to 30 feet away, where they swirl in a 10-foot cube for 1 minute. The spores disappear early if you use this feature again, if you dismiss them as a bonus action, or if your Symbiotic Entity feature is no longer active.
Whenever a creature moves into the cube or starts its turn there, that creature takes your Halo of Spores damage, unless the creature succeeds on a Constitution saving throw against your spell save DC. A creature can take this damage no more than once per turn.
While the cube of spores persists, you can't use your Halo of Spores reaction.</t>
  </si>
  <si>
    <t>Watcher at the Threshold</t>
  </si>
  <si>
    <t>At 10th level, you gain resistance to necrotic and radiant damage. In addition, while you aren’t incapacitated, any ally within 30 feet of you has advantage on death saving throws.</t>
  </si>
  <si>
    <t>Walker in Dreams</t>
  </si>
  <si>
    <t>At 14th level, the magic of the Feywild grants you the ability to travel mentally or physically through dreamlands.
When you finish a short rest, you can cast one of the following spells, without expending a spell slot or requiring material components: Dream (with you as the messenger), Scrying, or Teleportation Circle.
This use of Teleportation Circle is special. Rather than opening a portal to a permanent teleportation circle, it opens a portal to the last location where you finished a long rest on your current plane of existence. If you haven't taken a long rest on your current plane, the spell fails but isn't wasted.
Once you use this feature, you can't use it again until you finish a long rest.</t>
  </si>
  <si>
    <t>Thousand Forms</t>
  </si>
  <si>
    <t>By 14th level, you have learned to use magic to alter your physical form in more subtle ways. You can cast the Alter Self spell at will.</t>
  </si>
  <si>
    <t>Nature's Sanctuary</t>
  </si>
  <si>
    <t>When you reach 14th level, creatures of the natural world sense your connection to nature and become hesitant to attack you. When a beast or plant creature attacks you, that creature must make a Wisdom saving throw against your druid spell save DC. On a failed save, the creature must choose a different target, or the attack automatically misses. On a successful save, the creature is immune to this effect for 24 hours.
The creature is aware of this effect before it makes its attack against you.</t>
  </si>
  <si>
    <t>Fathful Summons</t>
  </si>
  <si>
    <t>Starting at 14th level, the nature spirits you commune with protect you when you are the most defenseless. If you are reduced to 0 hit points or are incapacitated against your will, you can immediately gain the benefits of Conjure Animals as if it were cast with a 9th-level spell slot. It summons four beasts of your choice that are challenge rating 2 or lower. The conjured beasts appear within 20 feet of you. If they receive no commands from you, they protect you from harm and attack your foes. The spell lasts for 1 hour, requiring no concentration, or until you dismiss it (no action required).
Once you use this feature, you can’t use it again until you finish a long rest.</t>
  </si>
  <si>
    <t>Fungal Body</t>
  </si>
  <si>
    <t>At 14th level, the fungal spores in your body alter you: you can’t be blinded, deafened, frightened, or poisoned, and any critical hit against you counts as a normal hit, unless you are incapacitated.</t>
  </si>
  <si>
    <t>Paths of the Dead</t>
  </si>
  <si>
    <t>At 14th level, your mastery of death allows you to tread the paths used by ghosts and other spirits. Using this feature, you can cast Etherealness. Once the spell ends, you can’t cast it with this feature again until you finish a short or long rest.</t>
  </si>
  <si>
    <t>Timeless Body</t>
  </si>
  <si>
    <t>Starting at 18th level, the primal magic that you wield causes you to age more slowly. For every 10 years that pass, your body ages only 1 year.</t>
  </si>
  <si>
    <t>Beast Shapes</t>
  </si>
  <si>
    <t>Beginning at 18th level, you can cast many of your druid spells in any shape you assume using Wild Shape. You can perform the somatic and verbal components of a druid spell while in a beast shape, but you aren't able to provide material components.</t>
  </si>
  <si>
    <t>Archdruid</t>
  </si>
  <si>
    <t>At 20th level, you can use your Wild Shape an unlimited number of times.</t>
  </si>
  <si>
    <t>knowledge of the skills of combat</t>
  </si>
  <si>
    <t>As a fighter, you gain the following class features.
Hit Points
Hit Dice: 1d10 per fighter level
Hit Points at 1st Level: 10 + your Constitution modifier
Hit Points at Higher Levels: 1d10 (or 6) + your Constitution modifier per fighter level after 1st
Proficiencies
Armor: All armor, shields
Weapons: Simple weapons, martial weapons
Tools: None
Saving Throws: Strength, Constitution
Skills: Choose two skills from Acrobatics, Animal Handling, Athletics, History, Insight, Intimidation, Perception, and Survival
Equipment
You start with the following equipment, in addition to the equipment granted by your background:
(a) chain mail or (b) leather, longbow, and 20 arrows
(a) a martial weapon and a shield or (b) two martial weapons
(a) a light crossbow and 20 bolts or (b) two handaxes
(a) a dungeoneer's pack or (b) an explorer's pack</t>
  </si>
  <si>
    <t>You adopt a particular style of fighting as your specialty. Choose one of the following options. You can't take a Fighting Style option more than once, even if you later get to choose again.
• Archery
You gain a +2 bonus to attack rolls you make with ranged weapons.
• Close Quarters Shooter (UA)
When making a ranged attack while you are within 5 feet of a hostile creature, you do not have disadvantage on the attack roll. Your ranged attacks ignore half cover and three-quarters cover against targets within 30 feet of you. You have a +1 bonus to attack rolls on ranged attacks.
• Defense
While you are wearing armor, you gain a +1 bonus to AC.
• Dueling
When you are wielding a melee weapon in one hand and no other weapons, you gain a +2 bonus to damage rolls with that weapon.
• Great Weapon Fighting
When you roll a 1 or 2 on a damage die for an attack you make with a melee weapon that you are wielding with two hands, you can reroll the die and must use the new roll, even if the new roll is a 1 or a 2. The weapon must have the two-handed or versatile property for you to gain this benefit.
• Mariner (UA)
As long as you not wearing heavy armor or using a shield, you have a swimming speed and a climbing speed equal to your normal speed, and you gain a +1 bonus to armor class.
• Protection
When a creature you can see attacks a target other than you that is within 5 feet of you, you can use your reaction to impose disadvantage on the attack roll. You must be wielding a shield.
• Tunnel Fighter (UA)
As a bonus action, you can enter a defensive stance that lasts until the start of your next turn. While in your defensive stance, you can make opportunity attacks without using your reaction, and you can use your reaction to make a melee attack against a creature that moves more than 5 feet while within your reach.
• Two-Weapon Fighting
When you engage in two-weapon fighting, you can add your ability modifier to the damage of the second attack.</t>
  </si>
  <si>
    <t>Second Wind</t>
  </si>
  <si>
    <t>You have a limited well of stamina that you can draw on to protect yourself from harm. On your turn, you can use a bonus action to regain hit points equal to 1d10 + your fighter level.
Once you use this feature, you must finish a short or long rest before you can use it again.</t>
  </si>
  <si>
    <t>Action Surge</t>
  </si>
  <si>
    <t>Starting at 2nd level, you can push yourself beyond your normal limits for a moment. On your turn, you can take one additional action on top of your regular action and a possible bonus action.
Once you use this feature, you must finish a short or long rest before you can use it again. Starting at 17th level, you can use it twice before a rest, but only once on the same turn.</t>
  </si>
  <si>
    <t>Arcane Archer Lore</t>
  </si>
  <si>
    <t>At 3rd level, you learn magical theory or some of the secrets of nature – typical for practitioners of of this elven martial tradition. You choose to gain proficiency in either the Arcana or the Nature skill, and you choose to learn either the Prestidigitation or Druidcraft cantrip.</t>
  </si>
  <si>
    <t>Arcane Shot</t>
  </si>
  <si>
    <t>At 3rd level, you learn to unleash special magical effects with some of your shots. When you gain this feature, you learn two Arcane Shot options of your choice (see "Arcane Shot Options" below).
Once per turn when you fire an arrow from a shortbow or longbow as part of the Attack action, you can apply one of your Arcane Shot options to that arrow. You decide to use the option when the arrow hits, unless the option doesn’t involve an attack roll. You have two uses of this ability, and you regain all expended uses of it when you finish a short or long rest.
You gain an additional Arcane Shot option of your choice when you reach certain levels in this class: 7th, 10th, 15th, and 18th level. Each option also improves when you become an 18th-level fighter.</t>
  </si>
  <si>
    <t>Arcane Shot Options</t>
  </si>
  <si>
    <t>The Arcane Shot feature lets you choose options for it at certain levels. The options are presented here in alphabetical order. They are all magical effects, and each one is associated with one of the schools of magic.
If an option requires a saving throw, your Arcane Shot save DC equals 8 + your proficiency bonus + your Intelligence modifier.
Banishing Arrow. You use abjuration magic to try to temporarily banish your target to a harmless location in the Feywild. The creature hit by the arrow must also succeed on a Charisma saving throw or be banished. While banished in this way, its speed is 0, and it is incapacitated. At the end of its next turn, the target reappears in the space it vacated or in the nearest unoccupied space if that space is occupied.
After you reach 18th level in this class, a target also takes 2d6 force damage when the arrow hits it.
Beguiling Arrow. Your enchantment magic causes this arrow to temporarily beguile its target. The creature hit by the arrow takes an extra 2d6 psychic damage, and choose one of your allies within 30 feet of the target. The target must succeed on a Wisdom saving throw, or it is charmed by the chosen ally until the start of your next turn. This effect ends early if the chosen ally attacks the charmed target, deals damage to it, or forces it to make a saving throw.
The psychic damage increases to 4d6 when you reach 18th level in this class.
Bursting Arrow. You imbue your arrow with force energy drawn from the school of evocation. The arrow detonates after your attack. Immediately after the arrow hits the creature, the target and all other creatures within 10 feet of it take 2d6 force damage each.
The force damage increases to 4d6 when you reach 18th level in this class.
Enfeebling Arrow. You weave necromantic magic into your arrow. The creature hit by the arrow takes an extra 2d6 necrotic damage. The target must also succeed on a Constitution saving throw, or the damage dealt by its weapon attacks is halved until the start of your next turn.
The necrotic damage increases to 4d6 when you reach 18th level in this class.
Grasping Arrow. When this arrow strikes its target, conjuration magic creates grasping, poisonous brambles, which wrap around the target. The creature hit by the arrow takes an extra 2d6 poison damage, its speed is reduced by 10 feet, and it takes 2d6 slashing damage the first time on each turn it moves 1 foot or more without teleporting. The target or any creature that can reach it can use its action to remove the brambles with a successful Strength (Athletics) check against your Arcane Shot save DC. Otherwise, the brambles last for 1 minute or until you use this option again.
The poison damage and slashing damage both increase to 4d6 when you reach 18th level in this class.
Piercing Arrow. You use transmutation magic to give your arrow an ethereal quality. When you use this option, you don’t make an attack roll for the attack. Instead, the arrow fires forward in a line, which is 1 foot wide and 30 feet long, before disappearing. The arrow passes harmlessly through objects, ignoring cover. Each creature in that line must make a Dexterity saving throw. On a failed save, a creature takes damage as if it were hit by the arrow, plus an extra 1d6 piercing damage. On a successful save, a target takes half as much damage.
The piercing damage increases to 2d6 when you reach 18th level in this class.
Seeking Arrow. Using divination magic, you grant your arrow the ability to seek out your target, allowing the arrow to curve and twist its path in search of its prey. When you use this option, you don’t make an attack roll for the attack. Instead, choose one creature you have seen in the past minute. The arrow flies toward that creature, moving around corners if necessary and ignoring three-quarters cover and half cover. If the target is within the weapon’s range and there is a path large enough for the arrow to travel to the target, the target must make a Dexterity saving throw. On a failed save, it takes damage as if it were hit by the arrow, plus an extra 1d6 force damage, and you learn the target’s current location. On a successful save, the target takes half as much damage, and you don’t learn its location.
The force damage increases to 2d6 when you reach 18th level in this class.
Shadow Arrow. You weave illusion magic into your arrow, causing it to occlude your foe’s vision with shadows. The creature hit by the arrow takes an extra 2d6 psychic damage, and it must succeed on a Wisdom saving throw or be unable to see anything farther than 5 feet away until the start of your next turn.
The psychic damage increases to 4d6 when you reach 18th level in this class.</t>
  </si>
  <si>
    <t>Rallying Cry</t>
  </si>
  <si>
    <t>When you choose this archetype at 3rd level, you learn how to inspire your allies to fight on past their injuries.
When you use your Second Wind feature, you can choose up to three creatures within 60 feet of you that are allied with you. Each one regains hit points equal to your fighter level, provided that the creature can see or hear you.</t>
  </si>
  <si>
    <t>Combat Superiority</t>
  </si>
  <si>
    <t>When you choose this archetype at 3rd level, you learn maneuvers that are fueled by special dice called superiority dice.
Maneuvers. You learn three maneuvers of your choice. Many maneuvers enhance an attack in some way. You can use only one maneuver per attack. You learn two additional maneuvers of your choice at 7th, 10th, and 15th level. Each time you learn new maneuvers, you can also replace one maneuver you know with a different one.
Superiority Dice. You have four superiority dice, which are d8s. A superiority die is expended when you use it. You regain all of your expended superiority dice when you finish a short or long rest. You gain another superiority die at 7th level and one more at 15th level.
Saving Throws. Some of your maneuvers require your target to make a saving throw to resist the maneuver's effects. The saving throw DC is calculated as follows:
Maneuver save DC = 8 + your proficiency bonus + your Strength or Dexterity modifier (your choice)</t>
  </si>
  <si>
    <t>Student of War</t>
  </si>
  <si>
    <t>At 3rd level, you gain proficiency with one type of artisan's tools of your choice.</t>
  </si>
  <si>
    <t>When you choose this archetype at 3rd level, you gain proficiency in one of the following skills of your choice: Animal Handling, History, Insight, Performance, or Persuasion. Alternatively, you learn one language of your choice.</t>
  </si>
  <si>
    <t>Born to the Saddle</t>
  </si>
  <si>
    <t>Starting at 3rd level, your mastery as a rider becomes apparent. You have advantage on saving throws made to avoid falling off your mount. If you fall off your mount and descend no more than 10 feet, you can land on your feet if you’re not incapacitated.
Finally, mounting or dismounting a creature costs you only 5 feet of movement, rather than half your speed.</t>
  </si>
  <si>
    <t>Unwavering Mark</t>
  </si>
  <si>
    <t>Starting at 3rd level, you can menace your foes, foiling their attacks and punishing them for harming others. When you hit a creature with a melee weapon attack, you can mark the creature until the end of your next turn. This effect ends early if you are incapacitated or you die, or if someone else marks the creature.
While it is within 5 feet of you, a creature marked by you has disadvantage on any attack roll that doesn't target you.
In addition, if a creature marked by you deals damage to anyone other than you, you can make a special melee weapon attack against the marked creature as a bonus action on your next turn. You have advantage on the attack roll, and if it hits, the attack's weapon deals extra damage to the target equal to half your fighter level.
Regardless of the number of creatures you mark, you can make this special attack a number of times equal to your Strength modifier (a minimum of once), and you regain all expended uses of it when you finish a long rest.</t>
  </si>
  <si>
    <t>Improved Critical</t>
  </si>
  <si>
    <t>Beginning when you choose this archetype at 3rd level, your weapon attacks score a critical hit on a roll of 19 or 20.</t>
  </si>
  <si>
    <t>Weapon Bond</t>
  </si>
  <si>
    <t>At 3rd level, you learn a ritual that creates a magical bond between yourself and one weapon. You perform the ritual over the course of 1 hour, which can be done during a short rest. The weapon must be within your reach throughout the ritual, at the conclusion of which you touch the weapon and forge the bond.
Once you have bonded a weapon to yourself, you can't be disarmed of that weapon unless you are incapacitated. If it is on the same plane of existence, you can summon that weapon as a bonus action on your turn, causing it to teleport instantly to your hand.
You can have up to two bonded weapons, but can summon only one at a time with your bonus action. If you attempt to bond with a third weapon, you must break the bond with one of the other two.</t>
  </si>
  <si>
    <t>Knight</t>
  </si>
  <si>
    <t>Starting at 3rd level, mounting or dismounting a creature costs you only 5 feet of movement, rather than half your speed. In addition, you have advantage on saving throws made to avoid falling off your mount. If you fall off it, you can automatically land on your feet if you aren’t incapacitated and you fall less than 10 feet.</t>
  </si>
  <si>
    <t>Implacable Mark</t>
  </si>
  <si>
    <t>At 3rd level, you excel at foiling attacks and protecting your allies by menacing your foes. When you hit a creature with a melee weapon attack, the target is marked by you until the end of your next turn. A creature ignores this effect if the creature can’t be frightened.
The marked target has disadvantage on any attack roll against a creature other than you or someone else who marked it.
If a target marked by you is within 5 feet of you on its turn and it moves at least 1 foot or makes an attack that suffers disadvantage from this feature, you can make one melee weapon attack against it using your reaction. This attack roll has advantage, and if it hits, the attack’s weapon deals extra damage to the target equal to your fighter level.
You can make this special attack even if you have already expended your reaction this round, but not if you have already used your reaction this turn. You can make this attack three times, and you regain all expended uses of it when you finish a short or long rest.</t>
  </si>
  <si>
    <t>When you choose this archetype at 3rd level, you gain proficiency in two of the following skills of your choice: Arcana, History, Insight, Investigation, Nature, or Perception. You can gain proficiency with a tool of your choice in place of one skill choice.</t>
  </si>
  <si>
    <t>When you choose this archetype at 3rd level, you gain a set of abilities that are fueled by special dice called superiority dice.
Superiority Dice. You have four superiority dice, which are d8s. A superiority die is expended when you use it. You regain all of your expended superiority dice when you finish a short or long rest.
You gain another superiority die at 7th level and one more at 15th level.
Using Superiority Dice. You can expend superiority dice to gain a number of different benefits:
• Precision Attack. When you make a weapon attack against a creature, you can expend one superiority die to add it to the attack roll. You can use this ability before or after making the attack roll, but before any of the effects of the attack are applied.
• Sharpened Attack. When you damage a creature with a weapon attack, you can expend one superiority die to add it to the damage roll. You can use this ability after rolling damage. If the attack causes the target to make a Constitution saving throw to maintain concentration, it has disadvantage on that save.
• Sharpened Senses. When you make a Wisdom (Perception) check to detect a hidden creature or object, or a Wisdom (Insight) check to determine if someone is lying to you, you can expend one superiority die to add it to the roll. You can use this feature after seeing the total but before learning if you succeeded or failed.
• Superior Willpower. When you make an Intelligence, a Wisdom, or a Charisma saving throw, you can expend one superiority die to add it to the roll. You can use this feature only before you learn if the save succeeded or failed.</t>
  </si>
  <si>
    <t>Hunter's Mysticism</t>
  </si>
  <si>
    <t>At 3rd level, your study of the supernatural gives you a limited ability to use magic. You can cast Detect Magic as a ritual. You can cast Protection from Evil and Good, but you cannot cast it again with this feature until you finish a long rest. Wisdom is your spellcasting ability for these spells.
In addition, you gain the ability to speak one of the following languages of your choice: Abyssal, Celestial, or Infernal.</t>
  </si>
  <si>
    <t>You gain proficiency with smith's tools, and you learn to speak, read, and write Giant.</t>
  </si>
  <si>
    <t>Rune Magic</t>
  </si>
  <si>
    <t xml:space="preserve">You learn how to use runes to enhance your gear. When you gain this feature, you learn how to inscribe two runes of your choice on weapons, armor, or shields (see "Rune Options").
Whenever you finish a long rest, you can touch a number of objects equal to the number of runes you know, and you inscribe a different rune onto each of the objects. To be eligible, an object must be a weapon, a suit of armor, or a shield.
Your rune remains on an object until you finish a long rest, and an object can bear only one of your runes.
Each time you gain a level in this class, you can replace one rune you know with a different one.
Rune Options
Here are rune options for the Rune Magic feature. They are all magical effects. If a rune requires a saving throw, your Rune Magic save DC equals 8 + your proficiency bonus + your Intelligence modifier.
Haug (Hill Rune). This rune's magic bestows a resilience reminiscent of a hill giant. While wearing or carrying an object inscribed with this rune, you have advantage on saving throws against being poisoned, and you have resistance against poison damage.
In addition, you can invoke the rune as a bonus action, gaining resistance to bludgeoning, piercing, and slashing damage for 1 minute. Once you invoke the rune, you can't do so again until you finish a short or long rest.
Ild (Fire Rune). This rune's magic channels the masterful craftsmanship of fire giant smiths. While wearing or carrying an object inscribed with this rune, your proficiency bonus is doubled for any ability check you make that uses your proficiency with a tool.
In addition, when you hit a creature with a weapon attack, you can invoke the rune to summon fiery shackles: the target must succeed on a Strength saving throw or be restrained for 1 minute. While restrained by the shackles, the target takes 2d6 fire damage at the start of each of its turns. The target can repeat the saving throw at the end of each of its turns, banishing the shackles on a success. Once you invoke the rune, you can't do so again until you finish a short or long rest.
Ise (Frost Rune). This rune's magic evokes a frost giant's stoic calm. While wearing or carrying an object inscribed with this rune, you have advantage on Wisdom (Animal Handling) checks and Charisma (Intimidation) checks.
In addition, you can invoke the rune as a bonus action to increase your Strength score by 2 for 10 minutes. This increase can cause your score to exceed 20, but not 30. Once you invoke the rune, you can't do so again until you finish a short or long rest.
Skye (Cloud Rune). This rune's magic emulates the deceptiveness of a cloud giant. While wearing or carrying an object inscribed with this rune, you have advantage on Dexterity (Sleight of Hand) checks and Charisma (Deception) checks.
In addition, when you or a creature you can see within 30 feet of you is hit by an attack roll, you can use your reaction to invoke the rune and cause that attack to target a different creature within 30 feet of you (other than the attacker), using the same roll. This magic can transfer the attack regardless of the attack's range. Once you invoke the rune, you can't do so again until you finish a short or long rest.
Stein (Stone Rune). This rune's magic channels the insightfulness of a stone giant. While wearing or carrying an object inscribed with this rune, you have advantage on Wisdom (Insight) checks, and you have darkvision out to a range of 60 feet. If you already have darkvision, its range increases by 30 feet.
In addition, when a creature you can see ends its turn within 30 feet of you, you can use your reaction to invoke the rune and force the creature to make a Wisdom saving throw. Unless the save succeeds, the creature is charmed by you for 1 minute. While charmed in this way, the creature has a speed of 0 and is incapacitated, descending into a dreamy stupor. The effect ends if the charmed creature takes any damage or if someone else uses an action to shake the creature out of its haze. Once you invoke the rune, you can't do so again until you finish a short or long rest.
Uvar (Storm Rune). Using this rune, you can glimpse the future like a storm giant. While wearing or carrying an object inscribed with this rune, you have advantage on Intelligence (Arcana) checks, and you can't be surprised as long as you are not incapacitated.
In addition, you can invoke the rune as a bonus action to enter a prophetic state for 1 minute or until you're incapacitated. Until the state ends, when you or another creature you can see within 60 feet of you makes an attack roll, a saving throw, or an ability check, you can use your reaction to cause the roll to have advantage or disadvantage. Once you invoke the rune, you can't do so again until you finish a short or long rest.
</t>
  </si>
  <si>
    <t>Giant Might</t>
  </si>
  <si>
    <t>You can imbue yourself with the might of giants. As a bonus action, you magically gain the following benefits, which last for 1 minute:
If you are smaller than Large, you become Large, along with anything you are wearing. If you lack the room to become Large, your size doesn't change.
You have advantage on Strength checks and Strength saving throws.
Your weapon attacks deal an extra 1d6 damage.
You can use this feature twice, and you regain all expended uses of it when you finish a long rest.</t>
  </si>
  <si>
    <t>When you choose this archetype at 3rd level, you gain proficiency in one of the following skills of your choice: History, Insight, Performance, or Persuasion. Alternatively, you learn one language of your choice.</t>
  </si>
  <si>
    <t>Fighting Spirit</t>
  </si>
  <si>
    <t>Starting at 3rd level, your intensity in battle can shield you and help you strike true. As a bonus action on your turn, you can give yourself advantage on all weapon attack rolls until the end of the current turn. When you do so, you also gain 5 temporary hit points. The number of hit points increases when you reach certain levels in this class, increasing to 10 at 10th level and 15 at 15th level.
You can use this feature three times. You regain all expended uses of it when you finish a long rest.</t>
  </si>
  <si>
    <t>When you choose this archetype at 3rd level, you gain proficiency in three of the following skills of your choice: Acrobatics, Athletics, Investigation, Medicine, Nature, Perception, Stealth, or Survival. You can choose to gain proficiency with thieves’ tools in place of one skill choice.</t>
  </si>
  <si>
    <t>At 3rd level, you gain a set of abilities that are fueled by special dice called superiority dice.
Superiority Dice. You have four superiority dice, which are d8s. A superiority die is expended when you use it. You regain all of your expended superiority dice when you finish a long or short rest.
You gain another superiority die at 7th level and one more at 15th level.
Using Superiority Dice. You can expend superiority dice to gain a number of different benefits:
• Survival Superiority. When you make a check that allows you to apply your proficiency in Athletics, Nature, Perception, Stealth, or Survival, you can expend one superiority die to bolster the check. Add half the number rolled on the superiority die (rounding up) to your check. You apply this bonus after making the check but before learning if it was successful.
• Precision Attack. When you make a weapon attack against a creature, you can expend one superiority die to add it to the attack roll. You can use this ability before or after making the attack roll, but before any of the effects of the attack are applied.
• Scout’s Evasion. If you are hit by an attack while wearing light or medium armor, you can expend one superiority die as a reaction, adding the number rolled to your AC. If the attack still hits, you take half damage from it.</t>
  </si>
  <si>
    <t>Natural Explorer</t>
  </si>
  <si>
    <t>At 3rd level, you are a master of navigating the natural world, and you react with swift and decisive action when attacked. This grants you the following benefits:
• You ignore difficult terrain.
• You have advantage on initiative rolls.
• On your first turn during combat, you have advantage on attack rolls against creatures that have not yet acted.
In addition, you are skilled at navigating the wilderness. You gain the following benefits when traveling for an hour or more:
• Difficult terrain doesn’t slow your group’s travel.
• Your group can’t become lost except by magical means.
• Even when you are engaged in another activity while traveling (such as foraging, navigating, or tracking), you remain alert to danger.
• If you are traveling alone, you can move stealthily at a normal pace.
• When you forage, you find twice as much food as you normally would.
• While tracking other creatures, you also learn their exact number, their sizes, and how long ago they passed through the area.</t>
  </si>
  <si>
    <t>Steady Aim</t>
  </si>
  <si>
    <t>Beginning when you choose this archetype at 3rd level, your aim becomes deadly. As a bonus action on your turn, you can take careful aim at a creature you can see that is within range of a ranged weapon you’re wielding. Until the end of this turn, your ranged attacks with that weapon gain two benefits against the target:
• The attacks ignore half and three-quarters cover.
• On each hit, the weapon deals additional damage to the target equal to 2 + half your fighter level.
You can use this feature three times. You regain all expended uses of it when you finish a short or long rest.</t>
  </si>
  <si>
    <t>Beginning at 5th level, you can attack twice, instead of once, whenever you take the Attack action on your turn.
The number of attacks increases to three when you reach 11th level in this class and to four when you reach 20th level in this class.</t>
  </si>
  <si>
    <t>Magic Arrow</t>
  </si>
  <si>
    <t>At 7th level, you gain the ability to infuse arrows with magic. Whenever you fire a nonmagical arrow from a shortbow or longbow, you can make it magical for the purpose of overcoming resistance and immunity to nonmagical attacks and damage. The magic fades from the arrow immediately after it hits or misses its target.</t>
  </si>
  <si>
    <t>Curving Shot</t>
  </si>
  <si>
    <t>At 7th level, you learn how to direct an errant arrow toward a new target. When you make an attack roll with a magic arrow and miss, you can use a bonus action to reroll the attack roll against a different target within 60 feet of the original target.</t>
  </si>
  <si>
    <t>Royal Envoy</t>
  </si>
  <si>
    <t>Knights of high standing are expected to conduct themselves with grace.
At 7th level, you gain proficiency in the Persuasion skill. If you are already proficient in it, you gain proficiency in one of the following skills of your choice: Animal Handling, Insight, Intimidation, or Performance.
Your proficiency bonus is doubled for any ability check you make that uses Persuasion. You receive this benefit regardless of the skill proficiency you gain from this feature.</t>
  </si>
  <si>
    <t>Know Your Enemy</t>
  </si>
  <si>
    <t>Starting at 7th level, if you spend at least 1 minute observing or interacting with another creature outside combat, you can learn certain information about its capabilities compared to your own. The DM tells you if the creature is your equal, superior, or inferior in regard to two of the following characteristics of your choice:
• Strength score
• Dexterity score
• Constitution score
• Armor Class
• Current hit points
• Total class levels, if any
• Fighter class levels, if any</t>
  </si>
  <si>
    <t>Warding Maneuver</t>
  </si>
  <si>
    <t>At 7th level, you learn to fend off strikes directed at you, your mount, or other creatures nearby. If you or a creature you can see within 5 feet of you is hit by an attack, you can roll 1d8 as a reaction if you're wielding a melee weapon or a shield. Roll the die, and add the number rolled to the target's AC against that attack. If the attack still hits, the target has resistance against the attack's damage.
You can use this feature a number of times equal to your Constitution modifier (a minimum of once), and you regain all expended uses of it when you finish a long rest.</t>
  </si>
  <si>
    <t>Remarkable Athlete</t>
  </si>
  <si>
    <t>Starting at 7th level, you can add half your proficiency bonus (rounded up) to any Strength, Dexterity, or Constitution check you make that doesn't already use your proficiency bonus.
In addition, when you make a running long jump, the distance you can cover increases by a number of feet equal to your Strength modifier.</t>
  </si>
  <si>
    <t>Beginning at 7th level, when you use your action to cast a cantrip, you can make one weapon attack as a bonus action.</t>
  </si>
  <si>
    <t>Noble Cavalry</t>
  </si>
  <si>
    <t>At 7th level, you gain proficiency in two of the following skills of your choice: Animal Handling, History, Insight, Persuasion, or Religion. Alternatively, you learn one language of your choice.</t>
  </si>
  <si>
    <t>At 7th level, whenever you expend superiority dice to add to a damage roll, you can expend up to two dice instead of just one, adding both to the roll. Both dice are expended as normal. If the target of your attack is an aberration, a fey, a fiend, or an undead, you deal maximum damage with both dice, instead of rolling them.</t>
  </si>
  <si>
    <t>Defensive Runes</t>
  </si>
  <si>
    <t>You learn to invoke your rune magic to protect your allies. When another creature you can see within 60 feet of you is hit by an attack roll, you can use your reaction to grant a bonus to the creature's AC against that attack. The bonus equals 1 + your Intelligence modifier (minimum of +2).
In addition, you learn one new rune of your choice from the Rune Magic feature (for a total of three).</t>
  </si>
  <si>
    <t>Elegant Courtier</t>
  </si>
  <si>
    <t>Starting at 7th level, your discipline and attention to detail allow you to excel in social situations. Whenever you make a Charisma (Persuasion) check, you gain a bonus to the check equal to your Wisdom modifier.
Your self-control also causes you to gain proficiency in Wisdom saving throws. If you already have this proficiency, you instead gain proficiency in Intelligence of Charisma saving throws (your choice).</t>
  </si>
  <si>
    <t>Careful Eyes</t>
  </si>
  <si>
    <t>Starting at 7th level, you excel at picking out hidden enemies and other threats. You can take the Search action as a bonus action.
You also gain proficiency in the Perception, Investigation, or Survival skill (choose one).</t>
  </si>
  <si>
    <t>Beginning at 9th level, you can reroll a saving throw that you fail. If you do so, you must use the new roll, and you can't use this feature again until you finish a long rest.
You can use this feature twice between long rests starting at 13th level and three times between long rests starting at 17th level.</t>
  </si>
  <si>
    <t>Inspiring Surge</t>
  </si>
  <si>
    <t>Starting at 10th level, when you use your Action Surge feature, you can choose one creature within 60 feet of you that is allied with you. That creature can make one melee or ranged weapon attack with its reaction, provided that it can see or hear you.
Starting at 18th level, you can choose two allies within 60 feet of you, rather than one.</t>
  </si>
  <si>
    <t>Improved Combat Superiority</t>
  </si>
  <si>
    <t>At 10th level, your superiority dice turn into d10s. At 18th level, they turn into d12s.</t>
  </si>
  <si>
    <t>Hold the Line</t>
  </si>
  <si>
    <t>At 10th level, you become a master of locking down your enemies. Creatures provoke an opportunity attack from you when they move 5 feet or more while within your reach, and if you hit a creature with an opportunity attack, the target's speed is reduced to 0 until the end of the current turn.</t>
  </si>
  <si>
    <t>Additonal Fighting Style</t>
  </si>
  <si>
    <t>At 10th level, you can choose a second option from the Fighting Style class feature.</t>
  </si>
  <si>
    <t>Eldritch Strike</t>
  </si>
  <si>
    <t>At 10th level, you learn how to make your weapon strikes undercut a creature's resistance to your spells. When you hit a creature with a weapon attack, that creature has disadvantage on the next saving throw it makes against a spell you cast before the end of your next turn.</t>
  </si>
  <si>
    <t>At 10th level, you master the ability to harass and slow your enemies. As a reaction when a creature moves at least 1 foot within 5 feet of you, you can make one melee weapon attack against that creature. If you hit, the attack’s weapon deals extra damage to the target equal to half your fighter level, and the target’s speed is reduced to 0 until the end of this turn.</t>
  </si>
  <si>
    <t>Great Stature</t>
  </si>
  <si>
    <t>The magic of your runes permanently alters you. When you gain this feature, roll 3d4. You grow a number of inches in height equal to the roll. Moreover, the extra damage you deal with your Giant Might feature increases to 1d8.
In addition, you learn one new rune of your choice from your Rune Magic feature (for a total of four).</t>
  </si>
  <si>
    <t>Tireless Spirit</t>
  </si>
  <si>
    <t>Starting at 10th level, when you roll initiative and have no uses of Fighting Spirit remaining, you regain one use.</t>
  </si>
  <si>
    <t>Close-Quarters Shooting</t>
  </si>
  <si>
    <t>At 10th level, you learn to handle yourself in close combat. Making a ranged attack roll while within 5 feet of an enemy doesn’t impose disadvantage on your roll.
In addition, if you hit a creature within 5 feet of you with a ranged attack on your turn, that creature can’t take reactions until the end of this turn.</t>
  </si>
  <si>
    <t>Every-Ready Shot</t>
  </si>
  <si>
    <t>Starting at 15th level, your magical archery is available whenever battle starts. If you roll initiative and have no uses of Arcane Shot remaining, you regain one use of it.</t>
  </si>
  <si>
    <t>Bulwark</t>
  </si>
  <si>
    <t>Beginning at 15th level, you can extend the benefit of your Indomitable feature to an ally. When you decide to use Indomitable to reroll an Intelligence, a Wisdom, or a Charisma saving throw and you aren't incapacitated, you can choose one ally within 60 feet of you that also failed its saving throw against the same effect. If that creature can see or hear you, it can reroll its saving throw and must use the new roll.</t>
  </si>
  <si>
    <t>Relentless</t>
  </si>
  <si>
    <t>Starting at 15th level, when you roll initiative and have no superiority dice remaining, you regain 1 superiority die.</t>
  </si>
  <si>
    <t>Ferocious Charger</t>
  </si>
  <si>
    <t>Starting at 15th level, you can run down your foes, whether you're mounted or not. If you move at least 10 feet in a straight line right before attacking a creature and you hit it with the attack, that target must succeed on a Strength saving throw (DC 8 + your proficiency bonus + your Strength modifier) or be knocked prone. You can use this feature only once on each of your turns.</t>
  </si>
  <si>
    <t>Superior Critical</t>
  </si>
  <si>
    <t>Starting at 15th level, your weapon attacks score a critical hit on a roll of 18-20.</t>
  </si>
  <si>
    <t>Arcane Charge</t>
  </si>
  <si>
    <t>At 15th level, you gain the ability to teleport up to 30 feet to an unoccupied space you can see when you use your Action Surge. You can teleport before or after the additional action.</t>
  </si>
  <si>
    <t>Rapid Strike</t>
  </si>
  <si>
    <t>Starting at 15th level, you learn to trade accuracy for swift strikes. If you have advantage on a weapon attack against a target on your turn, you can forgo that advantage to immediately make an additional weapon attack against the same target as a bonus action.</t>
  </si>
  <si>
    <t>Starting at 15th level, when you roll initiative and have no superiority dice remaining, you regain one superiority die.</t>
  </si>
  <si>
    <t>Rune Magic Mastery</t>
  </si>
  <si>
    <t>You can invoke each rune you know from your Rune Magic feature twice, rather than once, and you regain all expended uses when you finish a short or long rest.
In addition, you learn one new rune of your choice from the Rune Magic feature (for a total of five).</t>
  </si>
  <si>
    <t>Starting at 15th level, you learn to trade accuracy for swift strikes. If you take the Attack action on your turn and have advantage on an attack roll against against one of the targets, you can forgo the advantage for that roll to make an additional weapon attack against that target, as part of the same action. You can do so no more than once per turn.</t>
  </si>
  <si>
    <t>Vigilant Defender</t>
  </si>
  <si>
    <t>Starting at 18th level, you respond to danger with extraordinary vigilance. In combat, you get a special reaction that you can take once on every creature's turn, except your turn. You can use this special reaction only to make an opportunity attack, and you can't use it on the same turn that you take your normal reaction.</t>
  </si>
  <si>
    <t>Survivor</t>
  </si>
  <si>
    <t>At 18th level, you attain the pinnacle of resilience in battle. At the start of each of your turns, you regain hit points equal to 5 + your Constitution modifier if you have no more than half of your hit points left. You don't gain this benefit if you have 0 hit points.</t>
  </si>
  <si>
    <t>Improved War Magic</t>
  </si>
  <si>
    <t>Starting at 18th level, when you use your action to cast a spell, you can make one weapon attack as a bonus action.</t>
  </si>
  <si>
    <t>Defender's Blade</t>
  </si>
  <si>
    <t>At 18th level, you respond to danger with extraordinary vigilance. You can use your reaction for an opportunity attack even if you have already expended your reaction this round, but not if you have already used your reaction this turn. In addition, you gain a +1 bonus to AC while wearing heavy armor.</t>
  </si>
  <si>
    <t>Blessing of the All Father</t>
  </si>
  <si>
    <t>You learn how to share your rune magic with your allies. When you use your Giant Might feature, you can choose one willing creature you can see within 60 feet of you. The chosen creature also gains the benefits of your Giant Might feature.</t>
  </si>
  <si>
    <t>Strength Before Death</t>
  </si>
  <si>
    <t>Starting at 18th level, your fighting spirit can delay the grasp of death. If you take damage that reduces you to 0 hit points, you can use your reaction to delay falling unconscious, and you can immediately take an extra turn. While you have 0 hit points during that extra turn, taking damage causes death saving throw failures as normal, and three death saving throw failures can still kill you. When the extra turn ends, you fall unconscious if you still have 0 hit points.
Once you use this feature, you can’t use it again until you finish a long rest.</t>
  </si>
  <si>
    <t>Snap Shot</t>
  </si>
  <si>
    <t>Starting at 18th level, you are ever ready to spring into action. If you take the Attack action on your first turn of a combat, you can make one additional ranged weapon attack as part of that action.</t>
  </si>
  <si>
    <t>This is the Way</t>
  </si>
  <si>
    <t>As a monk, you gain the following class features.
Hit Points
Hit Dice: 1d8 per monk level
Hit Points at 1st Level: 8 + your Constitution modifier
Hit Points at Higher Levels: 1d8 (or 5) + your Constitution modifier per monk level after 1st
Proficiencies
Armor: None
Weapons: Simple weapons, shortswords
Tools: Choose one type of artisan's tools or one musical instrument
Saving Throws: Strength, Dexterity
Skills: Choose two from Acrobatics, Athletics, History, Insight, Religion, and Stealth
Equipment
You start with the following equipment, in addition to the equipment granted by your background:
(a) a shortsword or (b) any simple weapon
(a) a dungeoneer's pack or (b) an explorer's pack
10 darts</t>
  </si>
  <si>
    <t>Beginning at 1st level, while you are wearing no armor and not wielding a shield, your AC equals 10 + your Dexterity modifier + your Wisdom modifier.</t>
  </si>
  <si>
    <t>MonkTable</t>
  </si>
  <si>
    <t>Martial Arts</t>
  </si>
  <si>
    <t>At 1st level, your practice of martial arts gives you master of combat styles that use unarmed strikes and monk weapons, which are shortswords and any simple melee weapons that don't have the two-handed or heavy property.
You gain the following benefits while you are unarmed or wielding only monk weapons and you aren't wearing armor or wielding a shield:
• You can use Dexterity instead of Strength for the attack and damage rolls of your unarmed strikes and monk weapons.
• You can roll a d4 in place of the normal damage of your unarmed strike or monk weapon. This die changes as you gain monk levels, as shown in the Martial Arts column of the Monk table.
• When you use the Attack action with an unarmed strike or a monk weapon on your turn, you can make one unarmed strike as a bonus action. For example, if you take the Attack action and attack with a quarterstaff, you can also make an unarmed strike as a bonus action, assuming you haven't already taken a bonus action this turn.
Certain monasteries use specialized forms of the monk weapons. For example, you might use a club that is two lengths of wood connected by a short chain (called a nunchaku) or a sickle with a shorter, straighter blade (called a kama). Whatever name you use for a monk weapon, you can use the game statistics provided for the weapon on the Weapons page.</t>
  </si>
  <si>
    <t>Starting at 2nd level, your training allows you to harness the mystic energy of ki. Your access to this energy is represented by a number of ki points. Your monk level determines the number of points you have, as shown in the Ki Points column of the Monk table.
You can spend these points to fuel various ki features. You start knowing three such features: Flurry of Blows, Patient Defense, and Step of the Wind. You learn more ki features as you gain levels in this class.
When you spend a ki point, it is unavailable until you finish a short or long rest, at the end of which you draw all of your expended ki back into yourself. You must spend at least 30 minutes of the rest meditating to regain your ki points.
Some of your ki features require your target to make a saving throw to resist the feature's effects. The saving throw DC is calculated as follows:
Ki save DC = 8 + your proficiency bonus + your Wisdom modifier
Flurry of Blows
Immediately after you take the Attack action on your turn, you can spend 1 ki point to make two unarmed strikes as a bonus action.
Patient Defense
You can spend 1 ki point to take the Dodge action as a bonus action on your turn.
Step of the Wind
You can spend 1 ki point to take the Disengage or Dash action as a bonus action on your turn, and your jump distance is doubled for the turn.</t>
  </si>
  <si>
    <t>Unarmored Movement</t>
  </si>
  <si>
    <t>Starting at 2nd level, your speed increases by 10 feet while you are not wearing armor or wielding a shield. This bonus increases when you reach certain monk levels, as shown in the Monk table.
At 9th level, you gain the ability to move along vertical surfaces and across liquids on your turn without falling during the move.</t>
  </si>
  <si>
    <t>Deflect Missiles</t>
  </si>
  <si>
    <t>Starting at 3rd level, you can use your reaction to deflect or catch the missile when you are hit by a ranged weapon attack. When you do so, the damage you take from the attack is reduced by 1d10 + your Dexterity modifier + your monk level.
If you reduce the damage to 0, you can catch the missile if it is small enough for you to hold in one hand and you have at least one hand free. If you catch a missile in this way, you can spend 1 ki point to make a ranged attack with a range of 20/60 using the weapon or piece of ammunition you just caught, as part of the same reaction. You make this attack with proficiency, regardless of your weapon proficiencies, and the missile counts as a monk weapon for the attack.</t>
  </si>
  <si>
    <t>When you choose this tradition at 3rd level, you gain proficiency in the Performance skill if you don't already have it. Your martial arts technique mixes combat training with the precision of a dancer and the antics of a jester. You also gain proficiency with brewer's supplies if you don't already have it.</t>
  </si>
  <si>
    <t>Drunken Technique</t>
  </si>
  <si>
    <t>At 3rd level, you learn how to twist and turn quickly as part of your Flurry of Blows. Whenever you use Flurry of Blows, you gain the benefit of the Disengage action, and your walking speed increases by 10 feet until the end of the current turn.</t>
  </si>
  <si>
    <t>Disciple of the Elements</t>
  </si>
  <si>
    <t>When you choose this tradition at 3rd level, you learn magical disciplines that harness the power of the four elements. A discipline requires you to spend ki points each time you use it.
You know the Elemental Attunement discipline and one other elemental discipline of your choice. You learn one additional elemental discipline of your choice at 6th, 11th, and 17th level.
Whenever you learn a new elemental discipline, you can also replace one elemental discipline that you already know with a different discipline.
Casting Elemental Spells. Some elemental disciplines allow you to cast spells. See chapter 10 for the general rules of spellcasting. To cast one of these spells, you use its casting time and other rules, but you don't need to provide material components for it.
Once you reach 5th level in this class, you can spend additional ki points to increase the level of an elemental discipline spell that you cast, provided that the spell has an enhanced effect at a higher level, as Burning Hands does. The spell's level increases by 1 for each additional ki point you spend. For example, if you are a 5th-level monk and use Sweeping Cinder Strike to cast Burning Hands, you can spend 3 ki points to cast it as a 2nd-level spell (the discipline's base cost of 2 ki points plus 1).
The maximum number of ki points you can spend to cast a spell in this way (including its base ki point cost and any additional ki points you spend to increase its level) is determined by your monk level, as shown in the Spells and Ki Points table.</t>
  </si>
  <si>
    <t>DiscipleoftheElements</t>
  </si>
  <si>
    <t>Path of the Kensei</t>
  </si>
  <si>
    <t>When you choose this tradition at 3rd level, your special martial arts training leads you to master the use of certain weapons. This path also includes instruction in the deft strokes of calligraphy or painting. You gain the following benefits:
• Kensei Weapons. Choose two types of weapons to be your kensei weapons: one melee weapon and one ranged weapon. Each of these weapons can be any simple or martial weapon that lacks the heavy and special properties. The longbow is also a valid choice. You gain proficiency with these weapons if you don't already have it. Weapons of the chosen types are monk weapons for you. Many of this tradition's features work only with your kensei weapons. When you reach 6th, 11th, and 17th level in this class, you can choose another type of weapon – either melee or ranged – to be a kensei weapon for you, following the criteria above.
• Agile Parry. If you make an unarmed strike as part of the Attack action on your turn and are holding a kensei weapon, you can use it to defend yourself if it is a melee weapon. You gain a +2 bonus to AC until the start of your next turn, while the weapon is in your hand and you aren’t incapacitated.
• Kensei's Shot. You can use a bonus action on your turn to make your ranged attacks with a kensei weapon more deadly. When you do so, any target you hit with a ranged attack using a kensei weapon takes an extra 1d4 damage of the weapon’s type. You retain this benefit until the end of the current turn.
• Way of the Brush. You gain proficiency with your choice of calligrapher's supplies or painter's supplies.</t>
  </si>
  <si>
    <t>Touch of Death</t>
  </si>
  <si>
    <t>Starting when you choose this tradition at 3rd level, your study of death allows you to extract vitality from another creature as it nears its demise. When you reduce a creature within 5 feet of you to 0 hit points, you gain temporary hit points equal to your Wisdom modifier + your monk level (minimum of 1 temporary hit point).</t>
  </si>
  <si>
    <t>Open Hand Technique</t>
  </si>
  <si>
    <t>Starting when you choose this tradition at 3rd level, you can manipulate your enemy's ki when you harness your own. Whenever you hit a creature with one of the attacks granted by your Flurry of Blows, you can impose one of the following effects on that target:
• It must succeed on a Dexterity saving throw or be knocked prone.
• It must make a Strength saving throw. If it fails, you can push it up to 15 feet away from you.
• It can't take reactions until the end of your next turn.</t>
  </si>
  <si>
    <t>Shadow Arts</t>
  </si>
  <si>
    <t>Starting when you choose this tradition at 3rd level, you can use your ki to duplicate the effects of certain spells. As an action, you can spend 2 ki points to cast Darkness, Darkvision, Pass without Trace, or Silence, without providing material components. Additionally, you gain the Minor Illusion cantrip if you don't already know it.</t>
  </si>
  <si>
    <t>Soul Knives</t>
  </si>
  <si>
    <t>Starting when you choose this tradition at 3rd level, you can use your psionic energy to manifest blades that disrupt your foes’ minds.
Your unarmed strikes deal your choice of psychic, piercing, slashing, or bludgeoning damage each time you hit.
In addition, you can use a bonus action to increase the reach of your unarmed strikes by 30 feet until the end of your turn.</t>
  </si>
  <si>
    <t>Psychic Slash</t>
  </si>
  <si>
    <t>At 3rd level, when you channel ki into your attacks you augment your soul knives to inflict devastating psionic blows.
Whenever you hit a creature with one of the attacks granted by your Flurry of Blows and that attack inflicts psychic damage, you can impose one of the following effects on the target:
Life Drain. You gain temporary hit points equal to half the damage your attack deals.
Invoke Terror. The target must succeed on a Wisdom saving throw or become frightened of you until the end of your next turn.
Invoke Wrath. The target suffers disadvantage on all attack rolls against targets other than you until the end of your next turn.
Astral Slide. You teleport the target up to 10 feet to a destination you can see.
Synaptic Overload. The target gains vulnerability to psychic damage until the end of your next turn.</t>
  </si>
  <si>
    <t>Radiant Sun Bolt</t>
  </si>
  <si>
    <t>Starting when you choose this tradition at 3rd level, you can hurl searing bolts of magical radiance.
You gain a new attack option that you can use with the Attack action. This special attack is a ranged spell attack with a range of 30 feet. You are proficient with it, and you add your Dexterity modifier to its attack and damage rolls. Its damage is radiant, and its damage die is a d4. This die changes as you gain monk levels, as shown in the Martial Arts column of the Monk table.
When you take the Attack action on your turn and use this special attack as part of it, you can spend 1 ki point to make the special attack twice as a bonus action.
When you gain the Extra Attack feature, this special attack can be used for any of the attacks you make as part of the Attack action.</t>
  </si>
  <si>
    <t>Path of Tranquility</t>
  </si>
  <si>
    <t>When you choose this tradition at 3rd level, you can become an island of calm in even the most chaotic of situations. With this feature, you can cast the Sanctuary spell on yourself, no material component required, and it lasts up to 8 hours. Its saving throw DC equals 8 + your proficiency bonus + your Wisdom modifier. A creature that succeeds on the save is immune to this effect for 1 hour.
Once you cast the spell in this way, you can’t do so again for 1 minute.</t>
  </si>
  <si>
    <t>Healing Hands</t>
  </si>
  <si>
    <t>Your mystical touch can heal wounds. Starting at 3rd level, you have a pool of magical healing power that replenishes when you take a long rest. With that pool, you can restore a total number of hit points equal to your monk level × 10.
As an action, you can touch a creature and draw power from the pool to restore a number of hit points to that creature, up to the maximum amount remaining in the pool.
Instead of healing the creature, you can expend 5 hit points from your pool of healing to cure the target of one disease or neutralize one poison affecting it. You can cure multiple diseases and neutralize multiple poisons with a single use of Healing Hands, expending hit points separately for each one.
When you use your Flurry of Blows, you can replace one of the unarmed strikes with a use of this feature.
This feature has no effect on undead and constructs.</t>
  </si>
  <si>
    <t>Slow Fall</t>
  </si>
  <si>
    <t>Beginning at 4th level, you can use your reaction when you fall to reduce any falling damage you take by an amount equal to five times your monk level.</t>
  </si>
  <si>
    <t>Stunning Strike</t>
  </si>
  <si>
    <t>Starting at 5th level, you can interfere with the flow of ki in an opponent's body. When you hit another creature with a melee weapon attack, you can spend 1 ki point to attempt a stunning strike. The target must succeed on a Constitution saving throw or be stunned until the end of your next turn.</t>
  </si>
  <si>
    <t>Ki-Empowered STrikes</t>
  </si>
  <si>
    <t>Starting at 6th level, your unarmed strikes count as magical for the purpose of overcoming resistance and immunity to nonmagical attacks and damage.</t>
  </si>
  <si>
    <t>Tipsy Sway</t>
  </si>
  <si>
    <t>Starting at 6th level, you can move in sudden, swaying ways. You gain the following benefits.
Leap to Your Feet. When you're prone, you can stand up by spending 5 feet of movement, rather than half your speed.
Redirect Attack. When a creature misses you with a melee attack roll, you can spend 1 ki point as a reaction to cause that attack to hit one creature of your choice, other than the attacker, that you can see within 5 feet of you.</t>
  </si>
  <si>
    <t>One with the Blade</t>
  </si>
  <si>
    <t>At 6th level, you extend your ki into your kensei weapons, granting you the following benefits.
Magic Kensei Weapons. Your attacks with your kensei weapons count as magical for the purpose of overcoming resistance and immunity to nonmagical attacks and damage.
Deft Strike. When you hit a target with a kensei weapon, you can spend 1 ki point to cause the weapon to deal extra damage to the target equal to your Martial Arts die. You can use this feature only once on each of your turns.</t>
  </si>
  <si>
    <t>Hour of Reaping</t>
  </si>
  <si>
    <t>At 6th level, you gain the ability to unsettle or terrify those around you as an action, for your soul has been touched by the shadow of death. When you take this action, each creature within 30 feet of you that can see you must succeed on a Wisdom saving throw or be frightened of you until the end of your next turn.</t>
  </si>
  <si>
    <t>Wholeness of Body</t>
  </si>
  <si>
    <t>At 6th level, you gain the ability to heal yourself. As an action, you can regain hit points equal to three times your monk level. You must finish a long rest before you can use this feature again.</t>
  </si>
  <si>
    <t>Shadow Step</t>
  </si>
  <si>
    <t>At 6th level, you gain the ability to step from one shadow into another. When you are in dim light or darkness, as a bonus action you can teleport up to 60 feet to an unoccupied space you can see that is also in dim light or darkness. You then have advantage on the first melee attack you make before the end of the turn.</t>
  </si>
  <si>
    <t>Aura Sight</t>
  </si>
  <si>
    <t>At 6th level, you gain the ability to perceive the auras of other creatures.
As an action, select a creature that you can see. That creature makes a Wisdom saving throw, though it has no knowledge that you forced it to attempt this saving throw. On a failed save, you learn if the creature shares any aspects of its alignment with you, its current hit points, and its current attitude and intentions toward you or one other creature, object, or location of your choice. In addition, for the next 24 hours or until you use this ability again, you can use an action to determine the creature’s distance and direction from you.
If a creature succeeds on its saving throw against this ability, you cannot use this ability against that creature again until you complete a long rest.</t>
  </si>
  <si>
    <t>Searing Arc Strike</t>
  </si>
  <si>
    <t>At 6th level, you gain the ability to channel your ki into searing waves of energy. Immediately after you take the Attack action on your turn, you can spend 2 ki points to cast the Burning Hands spell as a bonus action.
You can spend additional ki points to cast Burning Hands as a higher level spell. Each additional ki point you spend increases the spell's level by 1. The maximum number of ki points (2 plus any additional points) that you can spend on the spell equals half your monk level.</t>
  </si>
  <si>
    <t>Emissary of Peace</t>
  </si>
  <si>
    <t>At 6th level, you gain the ability to diffuse violent situations. Whenever you make a Charisma check to calm violent emotions or to counsel peace, you have advantage on the roll. You must make this entreaty in good faith; it doesn’t apply if proficiency in the Deception or Intimidation skill applies to your check.
You also gain proficiency in the Performance or Persuasion skill (choose one).</t>
  </si>
  <si>
    <t>Evasion</t>
  </si>
  <si>
    <t>At 7th level, your instinctive agility lets you dodge out of the way of certain area effects, such as a blue dragon's lightning breath or a fireball spell. When you are subjected to an effect that allows you to make a Dexterity saving throw to take only half damage, you instead take no damage if you succeed on the saving throw, and only half damage if you fail.</t>
  </si>
  <si>
    <t>Stillness of Mind</t>
  </si>
  <si>
    <t>Starting at 7th level, you can use your action to end one effect on yourself that is causing you to be charmed or frightened.</t>
  </si>
  <si>
    <t>Purity of Body</t>
  </si>
  <si>
    <t>At 10th level, your mastery of the ki flowing through you makes you immune to disease and poison.</t>
  </si>
  <si>
    <t>Drunkard's Luck</t>
  </si>
  <si>
    <t>Starting at 11th level, you always seem to get a lucky bounce at the right moment. When you make an ability check, an attack roll, or a saving throw and have disadvantage, you can spend 2 ki points to cancel the disadvantage for that roll.</t>
  </si>
  <si>
    <t>Sharpen the Blade</t>
  </si>
  <si>
    <t>At 11th level, you gain the ability to augment your weapons further with your ki. As a bonus action, you can expend up to 3 ki points to grant one kensei weapon you touch a bonus to attack and damage rolls when you attack with it. The bonus equals the number of ki points you spent. This bonus lasts for 1 minute or until you use this feature again. This feature has no effect on a magic weapon that already has a bonus to attack and damage rolls.</t>
  </si>
  <si>
    <t>Mastery of Death</t>
  </si>
  <si>
    <t>Beginning at 11th level, you use your familiarity with death to escape its grasp. When you are reduced to 0 hit points, you can expend 1 ki point (no action required) to have 1 hit point instead.</t>
  </si>
  <si>
    <t>Beginning at 11th level, you can enter a special meditation that surrounds you with an aura of peace. At the end of a long rest, you gain the effect of a Sanctuary spell that lasts until the start of your next long rest (the spell can end early as normal). The saving throw DC for the spell equals 8 + your Wisdom modifier + your proficiency bonus.</t>
  </si>
  <si>
    <t>Cloak of Shadows</t>
  </si>
  <si>
    <t>By 11th level, you have learned to become one with the shadows. When you are in an area of dim light or darkness, you can use your action to become invisible. You remain invisible until you make an attack, cast a spell, or are in an area of bright light.</t>
  </si>
  <si>
    <t>Spectral Blades</t>
  </si>
  <si>
    <t>At 11th level, you can cause your blades to phase through physical objects and defenses.
Once during your turn, you can choose to forego one unarmed strike in place of forcing a creature within the reach of that attack to make a Dexterity saving throw against your ki save DC. On a failed saving throw, the creature takes psychic damage equal to that of your unarmed strike, or half that damage if it succeeds.</t>
  </si>
  <si>
    <t>Searing Sunburst</t>
  </si>
  <si>
    <t>At 11th level, you gain the ability to create an orb of light that erupts into a devastating explosion. As an action, you magically create an orb and hurl it at a point you choose within 150 feet, where it erupts into a sphere of radiant light for a brief but deadly instant.
Each creature in that 20-foot-radius sphere must succeed on a Constitution saving throw or take 2d6 radiant damage. A creature doesn't need to make the save if the creature is behind total cover that is opaque.
You can increase the sphere's damage by spending ki points. Each point you spend, up to a maximum of 3, increases the damage by 2d6.</t>
  </si>
  <si>
    <t>Douse the Flames of War</t>
  </si>
  <si>
    <t>At 11th level, you gain the ability to temporarily extinguish a creature’s violent impulses. As an action, you can touch a creature, and it must make a Wisdom saving throw with a DC equal to 8 + your proficiency bonus + your Wisdom modifier. The target automatically succeeds if it’s missing any of its hit points. If the target fails the save, it can’t attack for 1 minute. During that time, it also can’t cast spells that deal damage or that force someone to make a saving throw.
This effect ends if the target is attacked, takes damage, or is forced to make a saving throw or if the target witnesses any of those things happening to its allies.</t>
  </si>
  <si>
    <t>Tongue of the Sun and Moon</t>
  </si>
  <si>
    <t>Starting at 13th level, you learn to touch the ki of other minds so that you understand all spoken languages. Moreover, any creature that can understand a language can understand what you say.</t>
  </si>
  <si>
    <t>Diamond Soul</t>
  </si>
  <si>
    <t>Beginning at 14th level, your mastery of ki grants you proficiency in all saving throws.
Additionally, whenever you make a saving throw and fail, you can spend 1 ki point to reroll it and take the second result.</t>
  </si>
  <si>
    <t>At 15th level, your ki sustains you so that you suffer none of the frailty of old age, and you can't be aged magically. You can still die of old age, however. In addition, you no longer need food or water.</t>
  </si>
  <si>
    <t>Intoxicated Frenzy</t>
  </si>
  <si>
    <t>At 17th level, you gain the ability to make an overwhelming number of attacks against a group of enemies. When you use your Flurry of Blows, you can make up to three additional attacks with it (up to a total of five Flurry of Blows attacks), provided that each Flurry of Blows attack targets a different creature this turn.</t>
  </si>
  <si>
    <t>Unerring Accuracy</t>
  </si>
  <si>
    <t>At 17th level, your mastery of weapons grants you extraordinary accuracy. If you miss with an attack roll using a monk weapon on your turn, you can reroll it. You can use this feature only once on each of your turns.</t>
  </si>
  <si>
    <t>Touch of the Long Death</t>
  </si>
  <si>
    <t>Starting at 17th level, your touch can channel the energy of death into a creature. As an action, you touch one creature within 5 feet of you, and you expend 1 to 10 ki points. The target must make a Constitution saving throw, and it takes 2d10 necrotic damage per ki point spent on a failed save, or half as much damage on a successful one.</t>
  </si>
  <si>
    <t>Quivering Palm</t>
  </si>
  <si>
    <t>At 17th level, you gain the ability to set up lethal vibrations in someone's body. When you hit a creature with an unarmed strike, you can spend 3 ki points to start these imperceptible vibrations, which last for a number of days equal to your monk level. The vibrations are harmless unless you use your action to end them. To do so, you and the target must be on the same plane of existence. When you use this action, the creature must make a Constitution saving throw. If it fails, it is reduced to 0 hit points. If it succeeds, it takes 10d10 necrotic damage.
You can have only one creature under the effect of this feature at a time. You can choose to end the vibrations harmlessly without using an action.</t>
  </si>
  <si>
    <t>Opportunist</t>
  </si>
  <si>
    <t>At 17th level, you can exploit a creature's momentary distraction when it is hit by an attack. Whenever a creature within 5 feet of you is hit by an attack made by a creature other than you, you can use your reaction to make a melee attack against that creature.</t>
  </si>
  <si>
    <t>Psychic Form</t>
  </si>
  <si>
    <t>At 17th level, you can transform your physical body into the same psychic energy that comprises your soul knives. As a bonus action, you assume a psychic form, which grants the following benefits:
• You have resistance to all damage.
• You have a fly speed of 30 feet.
• You can move through other creatures and objects as if they were difficult terrain. You take 5 force damage if you end your turn inside an object.
This benefit lasts for 1 minute. You cannot use it again until you complete a long rest.</t>
  </si>
  <si>
    <t>Sun Shield</t>
  </si>
  <si>
    <t>At 17th level, you become wreathed in a luminous, magical aura. You shed bright light in a 30-foot radius and dim light for an additional 30 feet. You can extinguish or restore the light as a bonus action.
If a creature hits you with a melee attack while this light shines, you can use your reaction to deal radiant damage to the creature. The radiant damage equals 5 + your Wisdom modifier.</t>
  </si>
  <si>
    <t>Anger of a Gentle Soul</t>
  </si>
  <si>
    <t>At 17th level, you gain the ability to visit vengeance on someone who fells others. If you see a creature reduce another creature to 0 hit points, you can use your reaction to grant yourself a bonus to all damage rolls against the aggressor until the end of your next turn. The bonus equals your monk level.
Once you use this ability, you can’t use it again until you finish a short or long rest.</t>
  </si>
  <si>
    <t>Empty Body</t>
  </si>
  <si>
    <t>Beginning at 18th level, you can use your action to spend 4 ki points to become invisible for 1 minute. During that time, you also have resistance to all damage but force damage.
Additionally, you can spend 8 ki points to cast the Astral Projection spell, without needing material components. When you do so, you can't take any other creatures with you.</t>
  </si>
  <si>
    <t>Perfect Self</t>
  </si>
  <si>
    <t>At 20th level, when you roll for initiative and have no ki points remaining, you regain 4 ki points.</t>
  </si>
  <si>
    <t xml:space="preserve"> a powerful bond</t>
  </si>
  <si>
    <t>As a paladin, you gain the following class features.
Hit Points
Hit Dice: 1d10 per paladin level
Hit Points at 1st Level: 10 + your Constitution modifier
Hit Points at Higher Levels: 1d10 (or 6) + your Constitution modifier per paladin level after 1st
Proficiencies
Armor: All armor, shields
Weapons: Simple weapons, martial weapons
Tools: None
Saving Throws: Wisdom, Charisma
Skills: Choose two from Athletics, Insight, Intimidation, Medicine, Persuasion, and Religion
Equipment
You start with the following equipment, in addition to the equipment granted by your background:
(a) a martial weapon and a shield or (b) two martial weapons
(a) five javelins or (b) any simple melee weapon
(a) a priest's pack or (b) an explorer's pack
Chain mail and a holy symbol</t>
  </si>
  <si>
    <t>Divine Sense</t>
  </si>
  <si>
    <t>The presence of strong evil registers on your senses like a noxious odor, and powerful good rings like heavenly music in your ears. As an action, you can open your awareness to detect such forces. Until the end of your next turn, you know the location of any celestial, fiend, or undead within 60 feet of you that is not behind total cover. You know the type (celestial, fiend, or undead) of any being whose presence you sense, but not its identity (the vampire Count Strahd von Zarovich, for instance). Within the same radius, you also detect the presence of any place or object that has been consecrated or desecrated, as with the Hallow spell.
You can use this feature a number of times equal to 1 + your Charisma modifier. When you finish a long rest, you regain all expended uses.</t>
  </si>
  <si>
    <t>Lay on Hands</t>
  </si>
  <si>
    <t>Your blessed touch can heal wounds. You have a pool of healing power that replenishes when you take a long rest. With that pool, you can restore a total number of hit points equal to your paladin level x 5.
As an action, you can touch a creature and draw power from the pool to restore a number of hit points to that creature. up to the maximum amount remaining in your pool.
Alternatively, you can expend 5 hit points from your pool of healing to cure the target of one disease or neutralize one poison affecting it. You can cure multiple diseases and neutralize multiple poisons with a single use of Lay on Hands, expending hit points separately for each one.
This feature has no effect on undead and constructs.</t>
  </si>
  <si>
    <t>You adopt a particular style of fighting as your specialty. Choose one of the following options. You can't take a Fighting Style option more than once, even if you later get to choose again.
• Close Quarters Shooter (UA)
When making a ranged attack while you are within 5 feet of a hostile creature, you do not have disadvantage on the attack roll. Your ranged attacks ignore half cover and three-quarters cover against targets within 30 feet of you. You have a +1 bonus to attack rolls on ranged attacks.
• Defense
While you are wearing armor, you gain a +1 bonus to AC.
• Dueling
When you are wielding a melee weapon in one hand and no other weapons, you gain a +2 bonus to damage rolls with that weapon.
• Great Weapon Fighting
When you roll a 1 or 2 on a damage die for an attack you make with a melee weapon that you are wielding with two hands, you can reroll the die and must use the new roll, even if the new roll is a 1 or a 2. The weapon must have the two-handed or versatile property for you to gain this benefit.
• Mariner (UA)
As long as you not wearing heavy armor or using a shield, you have a swimming speed and a climbing speed equal to your normal speed, and you gain a +1 bonus to armor class.
• Protection
When a creature you can see attacks a target other than you that is within 5 feet of you, you can use your reaction to impose disadvantage on the attack roll. You must be wielding a shield.
• Tunnel Fighter (UA)
As a bonus action, you can enter a defensive stance that lasts until the start of your next turn. While in your defensive stance, you can make opportunity attacks without using your reaction, and you can use your reaction to make a melee attack against a creature that moves more than 5 feet while within your reach.</t>
  </si>
  <si>
    <t>Divine Smite</t>
  </si>
  <si>
    <t>Starting at 2nd level, when you hit a creature with a melee weapon attack, you can expend one spell slot to deal radiant damage to the target, in addition to the weapon's damage. The extra damage is 2d8 for a 1st-level spell slot, plus 1d8 for each spell level higher than 1st, to a maximum of 5d8. The damage increases by 1d8 if the target is an undead or a fiend, to a maximum of 6d8.</t>
  </si>
  <si>
    <t>Divine Health</t>
  </si>
  <si>
    <t>By 3rd level, the divine magic flowing through you makes you immune to disease.</t>
  </si>
  <si>
    <t>Tenets of the Ancients</t>
  </si>
  <si>
    <t>The tenets of the Oath of the Ancients have been preserved for uncounted centuries. This oath emphasizes the principles of good above any concerns of law or chaos. Its four central principles are simple.
Kindle the Light. Through your acts of mercy, kindness, and forgiveness, kindle the light of hope in the world, beating back despair.
Shelter the Light. Where there is good, beauty, love, and laughter in the world, stand against the wickedness that would swallow it. Where life flourishes, stand against the forces that would render it barren.
Preserve Your Own Light. Delight in song and laughter, in beauty and art. If you allow the light to die in your own heart, you can't preserve it in the world.
Be the Light. Be a glorious beacon for all who live in despair. Let the light of your joy and courage shine forth in all your deeds.</t>
  </si>
  <si>
    <t>When you take this oath at 3rd level, you gain the following two Channel Divinity options.
Nature's Wrath. You can use your Channel Divinity to invoke primeval forces to ensnare a foe. As an action, you can cause spectral vines to spring up and reach for a creature within 10 feet of you that you can see. The creature must succeed on a Strength or Dexterity saving throw (its choice) or be restrained. While restrained by the vines, the creature repeats the saving throw at the end of each of its turns. On a success, it frees itself and the vines vanish.
Turn the Faithless. You can use your Channel Divinity to utter ancient words that are painful for fey and fiends to hear. As an action, you present your holy symbol, and each fey or fiend within 30 feet of you that can hear you must make a Wisdom saving throw. On a failed save, the creature is turned for 1 minute or until it takes damage.
A turned creature must spend its turns trying to move as far away from you as it can, and it can't willingly move to a space within 30 feet of you. It also can't take reactions. For its action, it can use only the Dash action or try to escape from an effect that prevents it from moving. If there's nowhere to move, the creature can use the Dodge action.
If the creature's true form is concealed by an illusion, shapeshifting, or other effect, that form is revealed while it is turned.</t>
  </si>
  <si>
    <t>Tenets of Conquest</t>
  </si>
  <si>
    <t>A paladin who takes this oath has the tenets of conquest seared on the upper arm.
Douse the Flame of Hope. It is not enough to merely defeat an enemy in battle. Your victory must be so overwhelming that your enemies’ will to fight is shattered forever. A blade can end a life. Fear can end an empire.
Rule with an Iron Fist. Once you have conquered, tolerate no dissent. Your word is law. Those who obey it shall be favored. Those who defy it shall be punished as an example to all who might follow.
Strength Above All. You shall rule until a stronger one arises. Then you must grow mightier and meet the challenge, or fall to your own ruin.</t>
  </si>
  <si>
    <t>When you take this oath at 3rd level, you gain the following two Channel Divinity options.
Conquering Presence. You can use your Channel Divinity to exude a terrifying presence. As an action, you force each creature of your choice that you can see within 30 feet of you to make a Wisdom saving throw. On a failed save, a creature becomes frightened of you for 1 minute. The frightened creature can repeat this saving throw at the end of each of its turns, ending the effect on itself on a success.
Guided Strike. You can use your Channel Divinity to strike with supernatural accuracy. When you make an attack roll, you can use your Channel Divinity to gain a +10 bonus to the roll. You make this choice after you see the roll, but before the DM says whether the attack hits or misses.</t>
  </si>
  <si>
    <t>Tenets of the Crown</t>
  </si>
  <si>
    <t>The tenets of the Oath of the Crown are often set by the sovereign to which their oath is sworn, but generally emphasize the following tenets.
Law. The law is paramount. It is the mortar that holds the stones of civilization together, and it must be respected.
Loyalty. Your word is your bond. Without loyalty, oaths and laws are meaningless.
Courage. You must be willing to do what needs to be done for the sake of order, even in the face of overwhelming odds. If you don't act, then who will?
Responsibility. You must deal with the consequences of your actions, and you are responsible for fulfilling your duties and obligations.</t>
  </si>
  <si>
    <t>When you take this oath at 3rd level, you gain the following two Channel Divinity options.
Champion Challenge. As a bonus action, you issue a challenge that compels other creatures to do battle with you. Each creature of your choice that you can see within 30 feet of you must make a Wisdom saving throw. On a failed save, a creature can't willingly move more than 30 feet away from you. This effect ends on the creature if you are incapacitated or die or if the creature is more than 30 feet away from you.
Turn the Tide. As a bonus action, you can bolster injured creatures with your Channel Divinity. Each creature of your choice that can hear you within 30 feet of you regains hit points equal to 1d6 + your Charisma modifier (minimum of 1) if it has no more than half of its hit points.</t>
  </si>
  <si>
    <t>Tenets of Devotion</t>
  </si>
  <si>
    <t>Though the exact words and strictures of the Oath of Devotion vary, paladins of this oath share these tenets.
Honesty. Don't lie or cheat. Let your word be your promise.
Courage. Never fear to act, though caution is wise.
Compassion. Aid others, protect the weak, and punish those who threaten them. Show mercy to your foes, but temper it with wisdom.
Honor. Treat others with fairness, and let your honorable deeds be an example to them. Do as much good as possible while causing the least amount of harm.
Duty. Be responsible for your actions and their consequences, protect those entrusted to your care, and obey those who have just authority over you.</t>
  </si>
  <si>
    <t>When you take this oath at 3rd level, you gain the following two Channel Divinity options.
Sacred Weapon. As an action, you can imbue one weapon that you are holding with positive energy, using your Channel Divinity. For 1 minute, you add your Charisma modifier to attack rolls made with that weapon (with a minimum bonus of +1). The weapon also emits bright light in a 20-foot radius and dim light 20 feet beyond that. If the weapon is not already magical, it becomes magical for the duration.
You can end this effect on your turn as part of any other action. If you are no longer holding or carrying this weapon, or if you fall unconscious, this effect ends.
Turn the Unholy. As an action, you present your holy symbol and speak a prayer censuring fiends and undead, using your Channel Divinity. Each fiend or undead that can see or hear you within 30 feet of you must make a Wisdom saving throw. If the creature fails its saving throw, it is turned for 1 minute or until it takes damage.
A turned creature must spend its turns trying to move as far away from you as it can, and it can't willingly move to a space within 30 feet of you. It also can't take reactions. For its action, it can use only the Dash action or try to escape from an effect that prevents it from moving. If there's nowhere to move, the creature can use the Dodge action.</t>
  </si>
  <si>
    <t>Tenets of Treachery</t>
  </si>
  <si>
    <t>A paladin who embraces the Oath of Treachery owes allegiance to no one. There are no tenets of this oath, for it lacks any substance. Those who are unfortunate enough to have close contact with blackguards have observed that a blackguard’s overwhelming concern is power and safety, especially if both can be obtained at the expense of others.</t>
  </si>
  <si>
    <t>When you take this oath at 3rd level, you gain the following two Channel Divinity options.
Conjure Duplicate. As an action, you create a visual illusion of yourself that lasts for 1 minute, or until you lose your concentration (as if you were concentrating on a spell). The illusion appears in an unoccupied space of your choice that you can see within 30 feet of you. The illusion looks exactly like you; it is silent; it is your size, is insubstantial, and doesn’t occupy its space; and it is unaffected by attacks and damage. As a bonus action on your turn, you can move the illusion up to 30 feet to a space you can see, but the illusion must remain within 120 feet of you.
For the duration, you can cast spells as though you were in the illusion’s space, but you must use your own senses. Additionally, when both you and your illusion are within 5 feet of a creature that can see the illusion, you have advantage on attack rolls against that creature, given how uncanny the illusion is.
Poison Strike. You can use your Channel Divinity to make a weapon deadlier. As a bonus action, you touch one weapon or piece of ammunition and conjure a special poison on it. The poison lasts for 1 minute. The next time you hit a target with an attack using that weapon or ammunition, the target takes poison damage immediately after the attack. The poison damage equals 2d10 + your paladin level, or 20 + your paladin level if you had advantage on the attack roll.</t>
  </si>
  <si>
    <t>Tenets of Vengeance</t>
  </si>
  <si>
    <t>The tenets of the Oath of Vengeance vary by paladin, but all the tenets revolve around punishing wrongdoers by any means necessary. Paladins who uphold these tenets are willing to sacrifice even their own righteousness to mete out justice upon those who do evil, so the paladins are often neutral or lawful neutral in alignment. The core principles of the tenets are brutally simple.
Fight the Greater Evil. Faced with a choice of fighting my sworn foes or combating a lesser evil, I choose the greater evil.
No Mercy for the Wicked. Ordinary foes might win my mercy, but my sworn enemies do not.
By Any Means Necessary. My qualms can't get in the way of exterminating my foes.
Restitution. If my foes wreak ruin on the world, it is because I failed to stop them. I must help those harmed by their misdeeds.</t>
  </si>
  <si>
    <t>When you take this oath at 3rd level, you gain the following two Channel Divinity options.
Abjure Enemy. As an action, you present your holy symbol and speak a prayer of denunciation, using your Channel Divinity. Choose one creature within 60 feet of you that you can see. That creature must make a Wisdom saving throw, unless it is immune to being frightened. Fiends and undead have disadvantage on this saving throw.
On a failed save, the creature is frightened for 1 minute or until it takes any damage. While frightened, the creature's speed is 0, and it can't benefit from any bonus to its speed.
On a successful save, the creature's speed is halved for 1 minute or until the creature takes any damage.
Vow of Enmity. As a bonus action, you can utter a vow of enmity against a creature you can see within 10 feet of you, using your Channel Divinity. You gain advantage on attack rolls against the creature for 1 minute or until it drops to 0 hit points or falls unconscious.</t>
  </si>
  <si>
    <t>When you take this oath at 3rd level, you gain the following two Channel Divinity options.
Control Undead. As an action, you target one undead creature you can see within 30 feet of you. The target must make a Wisdom saving throw. On a failed save, the target must obey your commands for the next 24 hours, or until you use this Channel Divinity option again. An undead whose challenge rating is equal to or greater than your paladin level is immune to this effect.
Dreadful Aspect. As an action, you channel the darkest emotions and focus them into a burst of magical menace. Each creature of your choice within 30 feet of you must make a Wisdom saving throw if it can see you. On a failed save, the target is frightened of you for 1 minute. If a creature frightened by this effect ends its turn more than 30 feet away from you, it can attempt another Wisdom saving throw to end the effect on it.</t>
  </si>
  <si>
    <t>Aura of Protection</t>
  </si>
  <si>
    <t>Starting at 6th level, whenever you or a friendly creature within 10 feet of you must make a saving throw, the creature gains a bonus to the saving throw equal to your Charisma modifier (with a minimum bonus of +1). You must be conscious to grant this bonus.
At 18th level, the range of this aura increases to 30 feet.</t>
  </si>
  <si>
    <t>Aura of Warding</t>
  </si>
  <si>
    <t>Beginning at 7th level, ancient magic lies so heavily upon you that it forms an eldritch ward. You and friendly creatures within 10 feet of you have resistance to damage from spells.
At 18th level, the range of this aura increases to 30 feet.</t>
  </si>
  <si>
    <t>Aura of Conquest</t>
  </si>
  <si>
    <t>Starting at 7th level, you constantly emanate a menacing aura while you’re not incapacitated. The aura extends 10 feet from you in every direction, but not through total cover.
If a creature is frightened of you, its speed is reduced to 0 while in the aura, and that creature takes psychic damage equal to half your paladin level if it starts its turn there.
At 18th level, the range of this aura increases to 30 feet.</t>
  </si>
  <si>
    <t>Divine Allegiance</t>
  </si>
  <si>
    <t>Starting at 7th level, when a creature within 5 feet of you takes damage, you can use your reaction to magically substitute your own health for that of the target creature, causing that creature not to take the damage. Instead, you take the damage. This damage to you can't be reduced or prevented in any way.</t>
  </si>
  <si>
    <t>Aura of Devotion</t>
  </si>
  <si>
    <t>Starting at 7th level, you and friendly creatures within 10 feet of you can't be charmed while you are conscious.
At 18th level, the range of this aura increases to 30 feet.</t>
  </si>
  <si>
    <t>Aura of Treachery</t>
  </si>
  <si>
    <t>Starting at 7th level, you emanate an aura of discord, which gives you the following benefits.
Cull the Herd. You have advantage on melee attack rolls against any creature that has one or more of its allies within 5 feet of it.
Treacherous Strike. If a creature within 5 feet of you misses you with a melee attack, you can use your reaction to force the attacker to reroll that attack against a creature of your choice that is also within 5 feet of the attacker. The ability fails and is wasted if the attacker is immune to being charmed. You can use this ability three times, and regain expended uses of it when you finish a short or long rest.</t>
  </si>
  <si>
    <t>Relentless Avenger</t>
  </si>
  <si>
    <t>By 7th level, your supernatural focus helps you close off a foe's retreat. When you hit a creature with an opportunity attack, you can move up to half your speed immediately after the attack and as part of the same reaction. This movement doesn't provoke opportunity attacks.</t>
  </si>
  <si>
    <t>Aura of Hate</t>
  </si>
  <si>
    <t>Starting at 7th level you, as well any fiends and undead within 10 feet of you, gain a bonus to melee weapon damage rolls equal to your Charisma modifier (minimum of +1). A creature can benefit from this feature from only one paladin at a time.
At 18th level, the range of this aura increases to 30 feet.</t>
  </si>
  <si>
    <t>Aura of Courage</t>
  </si>
  <si>
    <t>Starting at 10th level, you and friendly creatures within 10 feet of you can't be frightened while you are conscious.
At 18th level, the range of this aura increases to 30 feet.</t>
  </si>
  <si>
    <t>Improved Divine Smite</t>
  </si>
  <si>
    <t>By 11th level, you are so suffused with righteous might that all your melee weapon strikes carry divine power with them. Whenever you hit a creature with a melee weapon, the creature takes an extra 1d8 radiant damage.</t>
  </si>
  <si>
    <t>Cleansing Touch</t>
  </si>
  <si>
    <t>Beginning at 14th level, you can use your action to end one spell on yourself or on one willing creature that you touch.
You can use this feature a number of times equal to your Charisma modifier (a minimum of once). You regain expended uses when you finish a long rest.</t>
  </si>
  <si>
    <t>Undying Sentinel</t>
  </si>
  <si>
    <t>Starting at 15th level, when you are reduced to 0 hit points and are not killed outright, you can choose to drop to 1 hit point instead. Once you use this ability, you can't use it again until you finish a long rest.
Additionally, you suffer none of the drawbacks of old age, and you can't be aged magically.</t>
  </si>
  <si>
    <t>Scornful Rebuke</t>
  </si>
  <si>
    <t>Starting at 15th level, those who dare to strike you are psychically punished for their audacity. Whenever a creature hits you with an attack, that creature takes psychic damage equal to your Charisma modifier (minimum of 1) if you’re not incapacitated.</t>
  </si>
  <si>
    <t>Unyielding Saint</t>
  </si>
  <si>
    <t>Starting at 15th level, you have advantage on saving throws to avoid becoming paralyzed or stunned.</t>
  </si>
  <si>
    <t>Purity of Spirit</t>
  </si>
  <si>
    <t>Beginning at 15th level, you are always under the effects of a Protection from Evil and Good spell.</t>
  </si>
  <si>
    <t>Blackguard's Escape</t>
  </si>
  <si>
    <t>At 15th level, you have the ability to slip away from your foes. Immediately after you are hit by an attack, you can use your reaction to turn invisible and teleport up to 60 feet to a spot you can see. You remain invisible until the end of your next turn or until you attack, deal damage, or force a creature to make a saving throw. Once you use this feature, you must finish a short or long rest before you can use it again.</t>
  </si>
  <si>
    <t>Soul of Vengeance</t>
  </si>
  <si>
    <t>Starting at 15th level, the authority with which you speak your Vow of Enmity gives you greater power over your foe. When a creature under the effect of your Vow of Enmity makes an attack, you can use your reaction to make a melee weapon attack against that creature if it is within range.</t>
  </si>
  <si>
    <t>Supernatural Resistance</t>
  </si>
  <si>
    <t>At 15th level, you gain resistance to bludgeoning, piercing, and slashing damage from nonmagical weapons.</t>
  </si>
  <si>
    <t>Elder Champion</t>
  </si>
  <si>
    <t>At 20th level, you can assume the form of an ancient force of nature, taking on an appearance you choose. For example, your skin might turn green or take on a bark-like texture, your hair might become leafy or moss-like, or you might sprout antlers or a lion-like mane.
Using your action, you undergo a transformation. For 1 minute, you gain the following benefits:
• At the start of each of your turns, you regain 10 hit points.
• Whenever you cast a paladin spell that has a casting time of 1 action, you can cast it using a bonus action instead.
• Enemy creatures within 10 feet of you have disadvantage on saving throws against your paladin spells and Channel Divinity options.
Once you use this feature, you can't use it again until you finish a long rest.</t>
  </si>
  <si>
    <t>Invicible Conqueror</t>
  </si>
  <si>
    <t>At 20th level, you gain the ability to harness extraordinary martial prowess. As an action, you can magically become an avatar of conquest, gaining the following benefits for 1 minute:
• You have resistance to all damage.
• When you take the Attack action on your turn, you can make one additional attack as part of that action.
• Your melee weapon attacks score a critical hit on a roll of 19 or 20 on the d20.
Once you use this feature, you can’t use it again until you finish a long rest.</t>
  </si>
  <si>
    <t>Exalted Chamption</t>
  </si>
  <si>
    <t>At 20th level, your presence on the field of battle is an inspiration to those dedicated to your cause. You can use your action to gain the following benefits for 1 hour:
• You have resistance to bludgeoning, piercing, and slashing damage from nonmagical weapons.
• Your allies have advantage on death saving throws while within 30 feet of you.
• You have advantage on Wisdom saving throws, as do your allies within 30 feet of you.
This effect ends early if you are incapacitated or die. Once you use this feature, you can't use it again until you finish a long rest.</t>
  </si>
  <si>
    <t>Holy Nimbus</t>
  </si>
  <si>
    <t>At 20th level, as an action, you can emanate an aura of sunlight. For 1 minute, bright light shines from you in a 30-foot radius, and dim light shines 30 feet beyond that.
Whenever an enemy creature starts its turn in the bright light, the creature takes 10 radiant damage.
In addition, for the duration, you have advantage on saving throws against spells cast by fiends or undead.
Once you use this feature, you can't use it again until you finish a long rest.</t>
  </si>
  <si>
    <t>Icon of Deceit</t>
  </si>
  <si>
    <t>At 20th level, you gain the ability to emanate feelings of treachery. As an action, you can magically become an avatar of deceit, gaining the following benefits for 1 minute:
• You are invisible.
• If a creature damages you on its turn, it must succeed on a Wisdom saving throw (DC equal to your spell save DC) or you control its next action, provided that you aren’t incapacitated when it takes the action. A creature automatically succeeds on the save if the creature is immune to being charmed.
• If you have advantage on an attack roll, you gain a bonus to its damage roll equal to your paladin level.
Once you use this feature, you can’t use it again until you finish a long rest.</t>
  </si>
  <si>
    <t>Avenging Angel</t>
  </si>
  <si>
    <t>At 20th level, you can assume the form of an angelic avenger. Using your action, you undergo a transformation. For 1 hour, you gain the following benefits:
• Wings sprout from your back and grant you a flying speed of 60 feet.
• You emanate an aura of menace in a 30-foot radius. The first time any enemy creature enters the aura or starts its turn there during a battle, the creature must succeed on a Wisdom saving throw or become frightened of you for 1 minute or until it takes any damage. Attack rolls against the frightened creature have advantage.
Once you use this feature, you can't use it again until you finish a long rest.</t>
  </si>
  <si>
    <t>Dread Lord</t>
  </si>
  <si>
    <t>At 20th level, you can, as an action, surround yourself with an aura of gloom that lasts for 1 minute. The aura reduces any bright light in a 30-foot radius around you to dim light. Whenever an enemy that is frightened by you starts its turn in the aura, it takes 4d10 psychic damage. Additionally, you and any creatures of your choosing in the aura are draped in deeper shadow. Creatures that rely on sight have disadvantage on attack rolls against creatures draped in this shadow.
While the aura lasts, you can use a bonus action on your turn to cause the shadows in the aura to attack one creature. Make a melee spell attack against the target. If the attack hits, the target takes necrotic damage equal to 3d10 + your Charisma modifier.
After activating the aura, you can't do so again until you finish a long rest.</t>
  </si>
  <si>
    <t>I Know the Way</t>
  </si>
  <si>
    <t>As a ranger, you gain the following class features.
Hit Points
Hit Dice: 1d10 per ranger level
Hit Points at 1st Level: 10 + your Constitution modifier
Hit Points at Higher Levels: 1d10 (or 6) + your Constitution modifier per ranger level after 1st
Proficiencies
Armor: Light armor, medium armor, shields
Weapons: Simple weapons, martial weapons
Tools: None
Saving Throws: Strength, Dexterity
Skills: Choose three from Animal Handling, Athletics, Insight, Investigation, Nature, Perception, Stealth, and Survival
Equipment
You start with the following equipment, in addition to the equipment granted by your background:
(a) scale mail or (b) leather armor
(a) two shortswords or (b) two simple melee weapons
(a) a dungeoneer's pack or (b) an explorer's pack
A longbow and a quiver of 20 arrows</t>
  </si>
  <si>
    <t>Favored Enemy</t>
  </si>
  <si>
    <t>Beginning at 1st level, you have significant experience studying, tracking, hunting, and even talking to a certain type of enemy commonly encountered in the wilds.
Choose a type of favored enemy: beasts, fey, humanoids, monstrosities, or undead. You gain a +2 bonus to damage rolls with weapon attacks against creatures of the chosen type. Additionally, you have advantage on Wisdom (Survival) checks to track your favored enemies, as well as on Intelligence checks to recall information about them.
When you gain this feature, you also learn one language of your choice, typically one spoken by your favored enemy or creatures associated with it. However, you are free to pick any language you wish to learn.</t>
  </si>
  <si>
    <t>You are a master of navigating the natural world, and you react with swift and decisive action when attacked. This grants you the following benefits:
• You ignore difficult terrain.
• You have advantage on initiative rolls.
• On your first turn during combat, you have advantage on attack rolls against creatures that have not yet acted.
In addition, you are skilled at navigating the wilderness. You gain the following benefits when traveling for an hour or more:
• Difficult terrain doesn’t slow your group’s travel.
• Your group can’t become lost except by magical means.
• Even when you are engaged in another activity while traveling (such as foraging, navigating, or tracking), you remain alert to danger.
• If you are traveling alone, you can move stealthily at a normal pace.
• When you forage, you find twice as much food as you normally would.
• While tracking other creatures, you also learn their exact number, their sizes, and how long ago they passed through the area.</t>
  </si>
  <si>
    <t>At 2nd level, you adopt a particular style of fighting as your specialty. Choose one of the following options. You can't take a Fighting Style option more than once, even if you later get to choose again.
• Archery
You gain a +2 bonus to attack rolls you make with ranged weapons.
• Close Quarters Shooter (UA)
When making a ranged attack while you are within 5 feet of a hostile creature, you do not have disadvantage on the attack roll. Your ranged attacks ignore half cover and three-quarters cover against targets within 30 feet of you. You have a +1 bonus to attack rolls on ranged attacks.
• Defense
While you are wearing armor, you gain a +1 bonus to AC.
• Dueling
When you are wielding a melee weapon in one hand and no other weapons, you gain a +2 bonus to damage rolls with that weapon.
• Mariner (UA)
As long as you not wearing heavy armor or using a shield, you have a swimming speed and a climbing speed equal to your normal speed, and you gain a +1 bonus to armor class.
• Tunnel Fighter (UA)
As a bonus action, you can enter a defensive stance that lasts until the start of your next turn. While in your defensive stance, you can make opportunity attacks without using your reaction, and you can use your reaction to make a melee attack against a creature that moves more than 5 feet while within your reach.
• Two-Weapon Fighting
When you engage in two-weapon fighting, you can add your ability modifier to the damage of the second attack.</t>
  </si>
  <si>
    <t>Primeval Awareness</t>
  </si>
  <si>
    <t>Beginning at 3rd level, your mastery of ranger lore allows you to establish a powerful link to beasts and to the land around you.
You have an innate ability to communicate with beasts, and they recognize you as a kindred spirit. Through sounds and gestures, you can communicate simple ideas to a beast as an action, and can read its basic mood and intent. You learn its emotional state, whether it is affected by magic of any sort, its short-term needs (such as food or safety), and actions you can take (if any) to persuade it to not attack.
You cannot use this ability against a creature that you have attacked within the past 10 minutes.
Additionally, you can attune your senses to determine if any of your favored enemies lurk nearby. By spending 1 uninterrupted minute in concentration (as if you were concentrating on a spell), you can sense whether any of your favored enemies are present within 5 miles of you. This feature reveals which of your favored enemies are present, their numbers, and the creatures’ general direction and distance (in miles) from you.
If there are multiple groups of your favored enemies within range, you learn this information for each group.</t>
  </si>
  <si>
    <t>Animal Companion</t>
  </si>
  <si>
    <t>At 3rd level, you learn to use your magic to create a powerful bond with a creature of the natural world.
With 8 hours of work and the expenditure of 50 gp worth of rare herbs and fine food, you call forth an animal from the wilderness to serve as your faithful companion. You normally select you companion from among the following animals: an ape, a black bear, a boar, a giant badger, a giant weasel, a mule, a panther, or a wolf. However, your DM might pick one of these animals for you, based on the surrounding terrain and on what types of creatures would logically be present in the area.
At the end of the 8 hours, your animal companion appears and gains all the benefits of your Companion’s Bond ability. You can have only one animal companion at a time.
If your animal companion is ever slain, the magical bond you share allows you to return it to life. With 8 hours of work and the expenditure of 25 gp worth of rare herbs and fine food, you call forth your companion’s spirit and use your magic to create a new body for it. You can return an animal companion to life in this manner even if you do not possess any part of its body.
If you use this ability to return a former animal companion to life while you have a current animal companion, your current companion leaves you and is replaced by the restored companion.</t>
  </si>
  <si>
    <t>Companion's Bond</t>
  </si>
  <si>
    <t>Your animal companion gains a variety of benefits while it is linked to you.
The animal companion loses its Multiattack action, if it has one.
The companion obeys your commands as best it can. It rolls for initiative like any other creature, but you determine its actions, decisions, attitudes, and so on. If you are incapacitated or absent, your companion acts on its own.
When using your Natural Explorer feature, you and your animal companion can both move stealthily at a normal pace.
Your animal companion has abilities and game statistics determined in part by your level. Your companion uses your proficiency bonus rather than its own. In addition to the areas where it normally uses its proficiency bonus, an animal companion also adds its proficiency bonus to its AC and to its damage rolls.
Your animal companion gains proficiency in two skills of your choice. It also becomes proficient with all saving throws.
For each level you gain after 3rd, your animal companion gains an additional hit die and increases its hit points accordingly.
Whenever you gain the Ability Score Improvement class feature, your companion’s abilities also improve. Your companion can increase one ability score of your choice by 2, or it can increase two ability scores of your choice by 1. As normal, your companion can’t increase an ability score above 20 using this feature unless its description specifies otherwise.
Your companion shares your alignment, and has a personality trait and a flaw that you can roll for or select from the tables below. Your companion shares your ideal, and its bond is always, “The ranger who travels with me is a beloved companion for whom I would gladly give my life.”
Your animal companion gains the benefits of your Favored Enemy feature, and of your Greater Favored Enemy feature when you gain that feature at 6th level. It uses the favored enemies you selected for those features.</t>
  </si>
  <si>
    <t>Gloom Stalker Magic</t>
  </si>
  <si>
    <t>Starting at 3rd level, you learn an additional spell when you reach certain levels in this class, as shown in the Gloom Stalker Spells table. The spell counts as a ranger spell for you, but it doesn't count against the number of ranger spells you know.</t>
  </si>
  <si>
    <t>GloomStalkerMagic</t>
  </si>
  <si>
    <t>Dread Ambusher</t>
  </si>
  <si>
    <t>At 3rd level, you master the art of the ambush. You can give yourself a bonus to your initiative rolls equal to your Wisdom modifier.
At the start of your first turn of each combat, your walking speed increases by 10 feet, which lasts until the end of that turn. If you take the Attack action on that turn, you can make one additional weapon attack as part of that action. If that attack hits, the target takes an extra 1d8 damage of the weapon's damage type.</t>
  </si>
  <si>
    <t>Umbral Sight</t>
  </si>
  <si>
    <t>At 3rd level, you gain darkvision out to a range of 60 feet. If you already have darkvision from your race, its range increases by 30 feet.
You are also adept at evading creatures that rely on darkvision. While in darkness, you are invisible to any creature that relies on darkvision to see you in that darkness.</t>
  </si>
  <si>
    <t>Horizon Walker Magic</t>
  </si>
  <si>
    <t>Starting at 3rd level, you learn an additional spell when you reach certain levels in this class, as shown in the Horizon Walker Spells table. The spell counts as a ranger spell for you, but it doesn’t count against the number of ranger spells you know.</t>
  </si>
  <si>
    <t>HorizonWalkerMagic</t>
  </si>
  <si>
    <t>Detect Portal</t>
  </si>
  <si>
    <t>At 3rd level, you gain the ability to magically sense the presence of a planar portal. As an action, you detect the distance and direction to the closest planar portal within 1 mile of you.
Once you use this feature, you can't use it again until you finish a short or long rest.
See the "Planar Travel" section in chapter 2 of the Dungeon Master's Guide for examples of planar portals.</t>
  </si>
  <si>
    <t>Planar Warrior</t>
  </si>
  <si>
    <t>At 3rd level, you learn to draw on the energy of the multiverse to augment your attacks.
As a bonus action, choose one creature you can see within 30 feet of you. The next time you hit that creature on this turn with a weapon attack, all damage dealt by the attack becomes force damage, and the creature takes an extra 1d8 force damage from the attack. When you reach 11th level in this class, the extra damage increases to 2d8.</t>
  </si>
  <si>
    <t>Hunter's Prey</t>
  </si>
  <si>
    <t>At 3rd level, you gain one of the following features of your choice.
Colossus Slayer
Your tenacity can wear down the most potent foes. When you hit a creature with a weapon attack, the creature takes an extra 1d8 damage if it’s below its hit point maximum. You can deal this extra damage only once per turn.
Giant Killer
When a Large or larger creature within 5 feet of you hits or misses you with an attack, you can use your reaction to attack that creature immediately after its attack, provided that you can see the creature.
Horde Breaker
Once on each of your turns when you make a weapon attack, you can make another attack with the same weapon against a different creature that is within 5 feet of the original target and within range of your weapon.</t>
  </si>
  <si>
    <t>Monster Slayer Magic</t>
  </si>
  <si>
    <t>Starting at 3rd level, you learn an additional spell when you reach certain levels in this class, as shown in the Monster Slayer Spells table. The spell counts as a ranger spell for you, but it doesn't count against the number of ranger spells you know.</t>
  </si>
  <si>
    <t>MonsterSlayerMagic</t>
  </si>
  <si>
    <t>Hunter's Sense</t>
  </si>
  <si>
    <t>At 3rd level, you gain the ability to peer at a creature and magically discern how best to hurt it. As an action, choose one creature you can see within 60 feet of you. You immediately learn whether the creature has any damage immunities, resistances, or vulnerabilities and what they are. If the creature is hidden from divination magic, you sense that it has no damage immunities, resistances, or vulnerabilities.
You can use this feature a number of times equal to your Wisdom modifier (minimum of once). You regain all expended uses of it when you finish a long rest.</t>
  </si>
  <si>
    <t>Slayer's Prey</t>
  </si>
  <si>
    <t>Starting at 3rd level, you can focus your ire on one foe, increasing the harm you inflict on it. As a bonus action, you designate one creature you can see within 60 feet of you as the target of this feature. The first time each turn that you hit that target with a weapon attack, it takes an extra 1d6 damage from the weapon.
This benefit lasts until you finish a short or long rest. It ends early if you designate a different creature.</t>
  </si>
  <si>
    <t>Guardian Magic</t>
  </si>
  <si>
    <t>Starting at 3rd level, you learn an additional spell when you reach certain levels in this class, as shown in the Primeval Guardian Spells table. The spell counts as a ranger spell for you, and it doesn’t count against the number of ranger spells you know.</t>
  </si>
  <si>
    <t>PrimevalGuardianMagic</t>
  </si>
  <si>
    <t>Guardian Soul</t>
  </si>
  <si>
    <t>Starting at 3rd level, you gain the ability to temporarily grow and take on the appearance of a treelike person, covered with leaves and bark. As a bonus action, you assume this guardian form, which lasts until you end it as a bonus action or until you are incapacitated.
You undergo the following changes while in your guardian form:
• Your size becomes Large, unless you were larger.
• Any speed you have becomes 5 feet, unless the speed was lower.
• Your reach increases by 5 feet.
• You gain a number of temporary hit points at the start of each of your turns. The number equals half your ranger level. When the form ends, you lose any temporary hit points you have from it.</t>
  </si>
  <si>
    <t>Piercing Thorns</t>
  </si>
  <si>
    <t>At 3rd level, your command of primal magic allows you to enhance your attacks with thorns. Once during each of your turns, you can deal an additional 1d6 piercing damage to one creature you hit with a weapon attack.</t>
  </si>
  <si>
    <t>Coordinated Attack</t>
  </si>
  <si>
    <t>Beginning at 5th level, you and your animal companion form a more potent fighting team. When you use the Attack action on your turn, if your companion can see you, it can use its reaction to make a melee attack.</t>
  </si>
  <si>
    <t>Greater Favored Enemy</t>
  </si>
  <si>
    <t>At 6th level, you are ready to hunt even deadlier game. Choose a type of greater favored enemy: aberrations, celestials, constructs, dragons, elementals, fiends, or giants. You gain all the benefits against this chosen enemy that you normally gain against your favored enemy, including an additional language. Your bonus to damage rolls against all your favored enemies increases to +4.
Additionally, you have advantage on saving throws against the spells and abilities used by a greater favored enemy.</t>
  </si>
  <si>
    <t>Beast's Defense</t>
  </si>
  <si>
    <t>At 7th level, while your companion can see you, it has advantage on all saving throws.</t>
  </si>
  <si>
    <t>Iron Mind</t>
  </si>
  <si>
    <t>By 7th level, you have honed your ability to resist the mind-altering powers of your prey. You gain proficiency in Wisdom saving throws. If you already have this proficiency, you instead gain proficiency in Intelligence or Charisma saving throws (your choice).</t>
  </si>
  <si>
    <t>Ethereal Step</t>
  </si>
  <si>
    <t>At 7th level, you learn to step through the Ethereal Plane. As a bonus action on your turn, you can cast the Etherealness spell with this feature, without expending a spell slot, but the spell ends at the end of the current turn.
Once you use this feature, you can’t use it again until you finish a short or long rest.</t>
  </si>
  <si>
    <t>Defensive Tactics</t>
  </si>
  <si>
    <t>At 7th level, you gain one of the following features of your choice.
Escape the Horde
Opportunity attacks against you are made with disadvantage.
Multiattack Defense
When a creature hits you with an attack, you gain a +4 bonus to AC against all subsequent attacks made by that creature for the rest of the turn.
Steel Will
You have advantage on saving throws against being frightened.</t>
  </si>
  <si>
    <t>Supernatural Defense</t>
  </si>
  <si>
    <t>At 7th level, you gain extra resilience against your prey’s assaults on your mind and body. Whenever the target of your Slayer’s Prey forces you to make a saving throw and whenever you make an ability check to escape that target's grapple, add 1d6 to your roll.</t>
  </si>
  <si>
    <t>Ancient Fortitude</t>
  </si>
  <si>
    <t>At 7th level, you gain the endurance of the ancient forests. Your hit point maximum and current hit points increase by 2 per ranger level when you assume your guardian form. This increase lasts until you leave the form; your hit point maximum then returns to normal, but your current hit points remain the same, unless they must decrease to abide by your hit point maximum</t>
  </si>
  <si>
    <t>Fleet of Foot</t>
  </si>
  <si>
    <t>Beginning at 8th level, you can use the Dash action as a bonus action on your turn.</t>
  </si>
  <si>
    <t>Hide in Plain Sight</t>
  </si>
  <si>
    <t>Starting at 10th level, you can remain perfectly still for long periods of time to set up ambushes.
When you attempt to hide on your turn, you can opt to not move on that turn. If you avoid moving, creatures that attempt to detect you take a −10 penalty to their Wisdom (Perception) checks until the start of your next turn. You lose this benefit if you move or fall prone, either voluntarily or because of some external effect. You are still automatically detected if any effect or action causes you to no longer be hidden.
If you are still hidden on your next turn, you can continue to remain motionless and gain this benefit until you are detected.</t>
  </si>
  <si>
    <t>Storm of Claws and Fangs</t>
  </si>
  <si>
    <t>At 11th level, your companion can use its action to make a melee attack against each creature of its choice within 5 feet of it, with a separate attack roll for each target.</t>
  </si>
  <si>
    <t>Stalker's Flurry</t>
  </si>
  <si>
    <t>At 11th level, you learn to attack with such unexpected speed that you can turn a miss into another strike. Once on each of your turns when you miss with a weapon attack, you can make another weapon attack as part of the same action.</t>
  </si>
  <si>
    <t>Distant Strike</t>
  </si>
  <si>
    <t>At 11th level, you gain the ability to pass between the planes in a blink of an eye. When you use the Attack action, you can teleport up to 10 feet before each attack to an unoccupied space you can see.
If you attack at least two different creatures with the action, you can make one additional attack with it against a third creature.</t>
  </si>
  <si>
    <t>Multiattack</t>
  </si>
  <si>
    <t>At 11th level, you gain one of the following features of your choice.
Volley
You can use your action to make a ranged attack against any number of creatures within 10 feet of a point you can see within your weapon’s range. You must have ammunition for each target, as normal, and you make a separate attack roll for each target
Whirlwind Attack
You can use your action to make melee attacks against any number of creatures within 5 feet of you, with a separate attack roll for each target.</t>
  </si>
  <si>
    <t>Magic-User's Nemesis</t>
  </si>
  <si>
    <t>At 11th level, you gain the ability to thwart someone else's magic. When you see a creature casting a spell or teleporting within 60 feet of you, you can use your reaction to try to magically foil it. The creature must succeed on a Wisdom saving throw against your spell save DC, or its spell or teleport fails and is wasted.
Once you use this feature, you can't use it again until you finish a short or long rest.</t>
  </si>
  <si>
    <t>Rooted Defense</t>
  </si>
  <si>
    <t>At 11th level, you gain the ability to twist and turn the ground beneath you. While you are in your guardian form, the ground within 30 feet of you is difficult terrain for your enemies.</t>
  </si>
  <si>
    <t>Vanish</t>
  </si>
  <si>
    <t>Starting at 14th level, you can use the Hide action as a bonus action on your turn. Also, you can't be tracked by nonmagical means, unless you choose to leave a trail.</t>
  </si>
  <si>
    <t>Superior Beast's Defense</t>
  </si>
  <si>
    <t>At 15th level, whenever an attacker that your companion can see hits it with an attack, it can use its reaction to halve the attack’s damage against it.</t>
  </si>
  <si>
    <t>Shadowy Dodge</t>
  </si>
  <si>
    <t>Starting at 15th level, you can dodge in unforeseen ways, with wisps of supernatural shadow around you. Whenever a creature makes an attack roll against you and doesn't have advantage on the roll, you can use your reaction to impose disadvantage on it. You must use this feature before you know the outcome of the attack roll.</t>
  </si>
  <si>
    <t>Spectral Defense</t>
  </si>
  <si>
    <t>At 15th level, your ability to move between planes enables you to slip through the planar boundaries to lessen the harm done to you during battle. When you take damage from an attack, you can use your reaction to give yourself resistance to all of that attack's damage on this turn.</t>
  </si>
  <si>
    <t>Superior Hunter's Defense</t>
  </si>
  <si>
    <t>At 15th level, you gain one of the following features of your choice.
Evasion
When you are subjected to an effect, such as a red dragon’s fiery breath or a lightning bolt spell, that allows you to make a Dexterity saving throw to take only half damage, you instead take no damage if you succeed on a saving throw, and only half damage if you fail
Stand Against the Tide
When a hostile creature misses you with a melee attack, you can use your reaction to force that creature to repeat the same attack against another creature (other than itself) of your choice.
Uncanny Dodge
When an attacker that you can see hits you with an attack, you can use your reaction to halve the attack’s damage against you.</t>
  </si>
  <si>
    <t>Slayer's Counter</t>
  </si>
  <si>
    <t>At 15th level, you gain the ability to counterattack when your prey tries to sabotage you. If the target of your Slayer’s Prey forces you to make a saving throw, you can use your reaction to make one weapon attack against the quarry. You make this attack immediately before making the saving throw. If the attack hits, your save automatically succeeds, in addition to the attack’s normal effects.</t>
  </si>
  <si>
    <t>Guardian Aura</t>
  </si>
  <si>
    <t>Starting at 15th level, your guardian form emanates a magical aura that fortifies your injured allies. When any ally starts their turn within 30 feet of your guardian form, that ally regains a number of hit points equal to half your ranger level. This aura has no effect on a creature that has half or more of its hit points, and it has no effect on undead and constructs.</t>
  </si>
  <si>
    <t>Feral Senses</t>
  </si>
  <si>
    <t>At 18th level, you gain preternatural senses that help you fight creatures you can't see. When you attack a creature you can't see, your inability to see it doesn't impose disadvantage on your attack rolls against it.
You are also aware of the location of any invisible creature within 30 feet of you, provided that the creature isn't hidden from you and you aren't blinded or deafened.</t>
  </si>
  <si>
    <t>Foe Slayer</t>
  </si>
  <si>
    <t>At 20th level, you become an unparalleled hunter of your enemies. Once on each of your turns, you can add your Wisdom modifier to the attack roll or the damage roll of an attack you make against one of your favored enemies. You can choose to use this feature before or after the roll, but before any effects of the roll are applied.</t>
  </si>
  <si>
    <t>I have a Knack</t>
  </si>
  <si>
    <t>As a rogue, you gain the following class features.
Hit Points
Hit Dice: 1d8 per rogue level
Hit Points at 1st Level: 8 + your Constitution modifier
Hit Points at Higher Levels: 1d8 (or 5) + your Constitution modifier per rogue level after 1st
Proficiencies
Armor: Light armor
Weapons: Simple weapons, hand crossbows, longswords, rapiers, shortswords
Tools: Thieves' tools
Saving Throws: Dexterity, Intelligence
Skills: Choose four from Acrobatics, Athletics, Deception, Insight, Intimidation, Investigation, Perception, Performance, Persuasion, Sleight of Hand, and Stealth
Equipment
You start with the following equipment, in addition to the equipment granted by your background:
(a) a rapier or (b) a shortsword
(a) a shortbow and quiver of 20 arrows or (b) a shortsword
(a) a burglar's pack, (b) dungeoneer's pack, or (c) an explorer's pack
Leather armor, two daggers, and thieves' tools</t>
  </si>
  <si>
    <t xml:space="preserve"> </t>
  </si>
  <si>
    <t>At 1st level, choose two of your skill proficiencies, or one of your skill proficiencies and your proficiency with thieves' tools. Your proficiency bonus is doubled for any ability check you make that uses either of the chosen proficiencies.
At 6th level, you can choose two more of your proficiencies (in skills or with thieves' tools) to gain this benefit.</t>
  </si>
  <si>
    <t>SneakAttack</t>
  </si>
  <si>
    <t>Sneak Attack</t>
  </si>
  <si>
    <t>Beginning at 1st level, you know how to strike subtly and exploit a foe's distraction. Once per turn, you can deal an extra 1d6 damage to one creature you hit with an attack if you have advantage on the attack roll. The attack must use a finesse or a ranged weapon.
You don't need advantage on the attack roll if another enemy of the target is within 5 feet of it, that enemy isn't incapacitated, and you don't have disadvantage on the attack roll.
The amount of the extra damage increases as you gain levels in this class, as shown in the Sneak Attack column of the Rogue table.</t>
  </si>
  <si>
    <t>Thieves' Cant</t>
  </si>
  <si>
    <t>During your rogue training you learned thieves' cant, a secret mix of dialect, jargon, and code that allows you to hide messages in seemingly normal conversation. Only another creature that knows thieves' cant understands such messages. It takes four times longer to convey such a message than it does to speak the same idea plainly.
In addition, you understand a set of secret signs and symbols used to convey short, simple messages, such as whether an area is dangerous or the territory of a thieves' guild, whether loot is nearby, or whether the people in an area are easy marks or will provide a safe house for thieves on the run.</t>
  </si>
  <si>
    <t>Cunning Action</t>
  </si>
  <si>
    <t>Starting at 2nd level, your quick thinking and agility allow you to move and act quickly. You can take a bonus action on each of your turns in combat. This action can be used only to take the Dash, Disengage, or Hide action.</t>
  </si>
  <si>
    <t>Mage Hand Legerdemain</t>
  </si>
  <si>
    <t>Starting at 3rd level, when you cast Mage Hand, you can make the spectral hand invisible, and you can perform the following additional tasks with it:
• You can stow one object the hand is holding in a container worn or carried by another creature.
• You can retrieve an object in a container worn or carried by another creature.
• You can use thieves' tools to pick locks and disarm traps at range.
You can perform one of these tasks without being noticed by a creature if you succeed on a Dexterity (Sleight of Hand) check contested by the creature's Wisdom (Perception) check.
In addition, you can use the bonus action granted by your Cunning Action to control the hand.</t>
  </si>
  <si>
    <t>When you choose this archetype at 3rd level, you gain proficiency with the disguise kit and the poisoner's kit.</t>
  </si>
  <si>
    <t>Assassinate</t>
  </si>
  <si>
    <t>Starting at 3rd level, you are at your deadliest when you get the drop on your enemies. You have advantage on attack rolls against any creature that hasn't taken a turn in the combat yet. In addition, any hit you score against a creature that is surprised is a critical hit.</t>
  </si>
  <si>
    <t>Ear for Deceit</t>
  </si>
  <si>
    <t>When you choose this archetype at 3rd level, you develop a keen ear for picking out lies. Whenever you make a Wisdom (Insight) check to determine whether a creature is lying, treat a roll of 7 or lower on the d20 as an 8.</t>
  </si>
  <si>
    <t>Eye for Detail</t>
  </si>
  <si>
    <t>Starting at 3rd level, you can use a bonus action to make a Wisdom (Perception) check to spot a hidden creature or object or to make an Intelligence (Investigation) check to uncover or decipher clues.</t>
  </si>
  <si>
    <t>Insightful Fighting</t>
  </si>
  <si>
    <t>At 3rd level, you gain the ability to decipher an opponent’s tactics and develop a counter to them. As a bonus action, you make a Wisdom (Insight) check against a creature you can see that isn’t incapacitated, contested by the target’s Charisma (Deception) check. If you succeed, you can use your Sneak Attack against that target even if you don't have advantage on the attack roll, but not if you have disadvantage on it.
This benefit lasts for 1 minute or until you successfully use this feature against a different target.</t>
  </si>
  <si>
    <t>Master of Intrigue</t>
  </si>
  <si>
    <t>When you choose this archetype at 3rd level, you gain proficiency with the disguise kit, the forgery kit, and one gaming set of your choice. You also learn two languages of your choice.
Additionally, you can unerringly mimic the speech patterns and accent of a creature that you hear speak for at least 1 minute, enabling you to pass yourself off as a native speaker of a particular land, provided that you know the language.</t>
  </si>
  <si>
    <t>Master of Tactics</t>
  </si>
  <si>
    <t>Starting at 3rd level, you can use the Help action as a bonus action. Additionally, when you use the Help action to aid an ally in attacking a creature, the target of that attack can be within 30 feet of you, rather than 5 feet of you, if the target can see or hear you.</t>
  </si>
  <si>
    <t>Skirmisher</t>
  </si>
  <si>
    <t>Starting at 3rd level, you are difficult to pin down during a fight. You can move up to half your speed as a reaction when an enemy ends its turn within 5 feet of you. This movement doesn’t provoke opportunity attacks.</t>
  </si>
  <si>
    <t>Survivalist</t>
  </si>
  <si>
    <t>When you choose this archetype at 3rd level, you gain proficiency in the Nature and Survival skills if you don't already have it. Your proficiency bonus is doubled for any ability check you make that uses either of those proficiencies.</t>
  </si>
  <si>
    <t>Fancy Footwork</t>
  </si>
  <si>
    <t>When you choose this archetype at 3rd level, you learn how to land a strike and then slip away without reprisal. During your turn, if you make a melee attack against a creature, that creature can't make opportunity attacks against you for the rest of your turn.</t>
  </si>
  <si>
    <t>Rakish Audacity</t>
  </si>
  <si>
    <t>Starting at 3rd level, your confidence propels you into battle. You can give yourself a bonus to your initiative rolls equal to your Charisma modifier.
You also gain an additional way to use your Sneak Attack; you don't need advantage on the attack roll to use your Sneak Attack against a creature if you are within 5 feet of it, no other creatures are within 5 feet of you, and you don't have disadvantage on the attack roll. All the other rules for Sneak Attack still apply to you.</t>
  </si>
  <si>
    <t>Fast Hands</t>
  </si>
  <si>
    <t>Starting at 3rd level, you can use the bonus action granted by your Cunning Action to make a Dexterity (Sleight of Hand) check, use your thieves' tools to disarm a trap or open a lock, or take the Use an Object action.</t>
  </si>
  <si>
    <t>Second-Story Work</t>
  </si>
  <si>
    <t>When you choose this archetype at 3rd level, you gain the ability to climb faster than normal; climbing no longer costs you extra movement.
In addition, when you make a running jump, the distance you cover increases by a number of feet equal to your Dexterity modifier.</t>
  </si>
  <si>
    <t>Uncanny Dodge</t>
  </si>
  <si>
    <t>Starting at 5th level, when an attacker that you can see hits you with an attack, you can use your reaction to halve the attack's damage against you.</t>
  </si>
  <si>
    <t>Beginning at 7th level, you can nimbly dodge out of the way of certain area effects, such as a red dragon's fiery breath or an Ice Storm spell. When you are subjected to an effect that allows you to make a Dexterity saving throw to take only half damage, you instead take no damage if you succeed on the saving throw, and only half damage if you fail.</t>
  </si>
  <si>
    <t>Magical Ambush</t>
  </si>
  <si>
    <t>Starting at 9th level, if you are hidden from a creature when you cast a spell on it, the creature has disadvantage on any saving throw it makes against the spell this turn.</t>
  </si>
  <si>
    <t>Infiltration Expertise</t>
  </si>
  <si>
    <t>Starting at 9th level, you can unfailingly create false identities for yourself. You must spend seven days and 25 gp to establish the history, profession, and affiliations for an identity. You can't establish an identity that belongs to someone else. For example, you might acquire appropriate clothing, letters of introduction, and official- looking certification to establish yourself as a member of a trading house from a remote city so you can insinuate yourself into the company of other wealthy merchants.
Thereafter, if you adopt the new identity as a disguise, other creatures believe you to be that person until given an obvious reason not to.</t>
  </si>
  <si>
    <t>Steady Eye</t>
  </si>
  <si>
    <t>At 9th level, you gain advantage on any Wisdom (Perception) or Intelligence (Investigation) check if you move no more than half your speed on the same turn.</t>
  </si>
  <si>
    <t>Insightful Manipulator</t>
  </si>
  <si>
    <t>Starting at 9th level, if you spend at least 1 minute observing or interacting with another creature outside combat, you can learn certain information about its capabilities compared to your own. The DM tells you if the creature is your equal, superior, or inferior in regard to two of the following characteristics of your choice:
• Intelligence score
• Wisdom score
• Charisma score
• Class levels (if any)
At the DM's option, you might also realize you know a piece of the creature's history or one of its personality traits, if it has any.</t>
  </si>
  <si>
    <t>Superior Mobility</t>
  </si>
  <si>
    <t>At 9th level, your walking speed increases by 10 feet. If you have a climbing or swimming speed, this increase applies to that speed as well.</t>
  </si>
  <si>
    <t>Panache</t>
  </si>
  <si>
    <t>At 9th level, your charm becomes extraordinarily beguiling. As an action, you can make a Charisma (Persuasion) check contested by a creature's Wisdom (Insight) check. The creature must be able to hear you, and the two of you must share a language.
If you succeed on the check and the creature is hostile to you, it has disadvantage on attack rolls against targets other than you and can't make opportunity attacks against targets other than you. This effect lasts for 1 minute, until one of your companions attacks the target or affects it with a spell, or until you and the target are more than 60 feet apart.
If you succeed on the check and the creature isn't hostile to you, it is charmed by you for 1 minute. While charmed, it regards you as a friendly acquaintance. This effect ends immediately if you or your companions do anything harmful to it.</t>
  </si>
  <si>
    <t>Supreme Sneak</t>
  </si>
  <si>
    <t>Starting at 9th level, you have advantage on a Dexterity (Stealth) check if you move no more than half your speed on the same turn.</t>
  </si>
  <si>
    <t>Reliable Talent</t>
  </si>
  <si>
    <t>By 11th level, you have refined your chosen skills until they approach perfection. Whenever you make an ability check that lets you add your proficiency bonus, you can treat a d20 roll of 9 or lower as a 10.</t>
  </si>
  <si>
    <t>Versatile Trickster</t>
  </si>
  <si>
    <t>At 13th level, you gain the ability to distract targets with your Mage Hand. As a bonus action on your turn, you can designate a creature within 5 feet of the spectral hand created by the spell. Doing so gives you advantage on attack rolls against that creature until the end of the turn.</t>
  </si>
  <si>
    <t>Imposter</t>
  </si>
  <si>
    <t>At 13th level, you gain the ability to unerringly mimic another person's speech, writing, and behavior. You must spend at least three hours studying these three components of the person's behavior, listening to speech, examining handwriting, and observing mannerisms.
Your ruse is indiscernible to the casual observer. If a wary creature suspects something is amiss, you have advantage on any Charisma (Deception) check you make to avoid detection.</t>
  </si>
  <si>
    <t>Unerring Eye</t>
  </si>
  <si>
    <t>At 13th level, your senses are almost impossible to foil. As an action, you sense the presence of illusions, shapechangers not in their original form, and other magic designed to deceive the senses within 30 feet of you, provided you aren't blinded or deafened. You sense that an effect is attempting to trick you, but you gain no insight into what is hidden or into its true nature.
You can use this feature a number of times equal to your Wisdom modifier (minimum of once), and you regain all expended uses of it when you finish a long rest.</t>
  </si>
  <si>
    <t>Misdirection</t>
  </si>
  <si>
    <t>Beginning at 13th level, you can sometimes cause another creature to suffer an attack meant for you. When you are targeted by an attack while a creature within 5 feet of you is granting you cover against that attack, you can use your reaction to have the attack target that creature instead of you.</t>
  </si>
  <si>
    <t>Ambush Master</t>
  </si>
  <si>
    <t>Starting at 13th level, you excel at leading ambushes and acting first in a fight.
You have advantage on initiative rolls. In addition, the first creature you hit during the first round of a combat becomes easier for you and others to strike; attack rolls against that target have advantage until the start of your next turn.</t>
  </si>
  <si>
    <t>Elegant Maneuver</t>
  </si>
  <si>
    <t>Starting at 13th level, you can use a bonus action on your turn to gain advantage on the next Dexterity (Acrobatics) or Strength (Athletics) check you make during the same turn.</t>
  </si>
  <si>
    <t>Use Magic Device</t>
  </si>
  <si>
    <t>By 13th level, you have learned enough about the workings of magic that you can improvise the use of items even when they are not intended for you. You ignore all class, race, and level requirements on the use of magic items.</t>
  </si>
  <si>
    <t>Blindsense</t>
  </si>
  <si>
    <t>Starting at 14th level, if you are able to hear, you are aware of the location of any hidden or invisible creature within 10 feet of you.</t>
  </si>
  <si>
    <t>Slippery Mind</t>
  </si>
  <si>
    <t>By 15th level, you have acquired greater mental strength. You gain proficiency in Wisdom saving throws.</t>
  </si>
  <si>
    <t>Spell Thief</t>
  </si>
  <si>
    <t>At 17th level, you gain the ability to magically steal the knowledge of how to cast a spell from another spellcaster.
Immediately after a creature casts a spell that targets you or includes you in its area of effect, you can use your reaction to force the creature to make a saving throw with its spellcasting ability modifier. The DC equals your spell save DC. On a failed save, you negate the spell's effect against you, and you steal the knowledge of the spell if it is at least 1st level and of a level you can cast (it doesn't need to be a wizard spell). For the next 8 hours, you know the spell and can cast it using your spell slots. The creature can't cast that spell until the 8 hours have passed.
Once you use this feature, you can't use it again until you finish a long rest.</t>
  </si>
  <si>
    <t>Death Strike</t>
  </si>
  <si>
    <t>Starting at 17th level, you become a master of instant death. When you attack and hit a creature that is surprised, it must make a Constitution saving throw (DC 8 + your Dexterity modifier + your proficiency bonus). On a failed save, double the damage of your attack against the creature.</t>
  </si>
  <si>
    <t>Eye for Weakness</t>
  </si>
  <si>
    <t>At 17th level, you learn to exploit a creature’s weaknesses by carefully studying its tactics and movement. While your Insightful Fighting feature applies to a creature, your Sneak Attack damage against that creature increases by 3d6.</t>
  </si>
  <si>
    <t>Soul of Deceit</t>
  </si>
  <si>
    <t>Starting at 17th level, your thoughts can't be read by telepathy or other means, unless you allow it. You can present false thoughts by making a Charisma (Deception) check contested by the mind reader's Wisdom (Insight) check.
Additionally, no matter what you say, magic that would determine if you are telling the truth indicates you are being truthful if you so choose, and you can't be compelled to tell the truth by magic.</t>
  </si>
  <si>
    <t>Sudden Strike</t>
  </si>
  <si>
    <t>Starting at 17th level, you can strike with deadly speed. If you take the Attack action on your turn, you can make one additional attack as a bonus action. This attack can benefit from your Sneak Attack even if you have already used it this turn, but you can't use your Sneak Attack against the same target more than once in a turn.</t>
  </si>
  <si>
    <t>Master Duelist</t>
  </si>
  <si>
    <t>Beginning at 17th level, your mastery of the blade lets you turn failure into success in combat. If you miss with an attack roll, you can roll it again with advantage. Once you do so, you can't use this feature again until you finish a short or long rest.</t>
  </si>
  <si>
    <t>Thief's Reflexes</t>
  </si>
  <si>
    <t>When you reach 17th level, you have become adept at laying ambushes and quickly escaping danger. You can take two turns during the first round of any combat. You take your first turn at your normal initiative and your second turn at your initiative minus 10. You can't use this feature when you are surprised.</t>
  </si>
  <si>
    <t>Elusive</t>
  </si>
  <si>
    <t>Beginning at 18th level, you are so evasive that attackers rarely gain the upper hand against you. No attack roll has advantage against you while you aren't incapacitated.</t>
  </si>
  <si>
    <t>Stroke of Luck</t>
  </si>
  <si>
    <t>At 20th level, you have an uncanny knack for succeeding when you need to. If your attack misses a target within range, you can turn the miss into a hit. Alternatively, if you fail an ability check, you can treat the d20 roll as a 20.
Once you use this feature, you can't use it again until you finish a short or long rest.</t>
  </si>
  <si>
    <t>FontofMagic</t>
  </si>
  <si>
    <t>As a sorcerer, you gain the following class features.
Hit Points
Hit Dice: 1d6 per sorcerer level
Hit Points at 1st Level: 6 + your Constitution modifier
Hit Points at Higher Levels: 1d6 (or 4) + your Constitution modifier per sorcerer level after 1st
Proficiencies
Armor: None
Weapons: Daggers, darts, slings, quarterstaffs, light crossbows
Tools: None
Saving Throws: Constitution, Charisma
Skills: Choose two from Arcana, Deception, Insight, Intimidation, Persuasion, and Religion
Equipment
You start with the following equipment, in addition to the equipment granted by your background:
(a) a light crossbow and 20 bolts or (b) any simple weapon
(a) a component pouch or (b) an arcane focus
(a) a dungeoneer's pack or (b) an explorer's pack
Two daggers</t>
  </si>
  <si>
    <t>Dragon Ancestor</t>
  </si>
  <si>
    <t>At 1st level, you choose one type of dragon as your ancestor. The damage type associated with each dragon is used by features you gain later.
You can speak, read, and write Draconic. Additionally, whenever you make a Charisma check when interacting with dragons, your proficiency bonus is doubled if it applies to the check.</t>
  </si>
  <si>
    <t>Draconic Resilience</t>
  </si>
  <si>
    <t>As magic flows through your body, it causes physical traits of your dragon ancestors to emerge. At 1st level, your hit point maximum increases by 1 and increases by 1 again whenever you gain a level in this class.
Additionally, parts of your skin are covered by a thin sheen of dragon-like scales. When you aren't wearing armor, your AC equals 13 + your Dexterity modifier.</t>
  </si>
  <si>
    <t>Divine Magic</t>
  </si>
  <si>
    <t>Your link to the divine allows you to learn spells normally associated with the cleric class. When your Spellcasting feature lets you learn a sorcerer cantrip or a sorcerer spell of 1st level or higher, you can choose the new spell from the cleric spell list or the sorcerer spell list. You must otherwise obey all the restrictions for selecting the spell, and it becomes a sorcerer spell for you.
In addition, choose an affinity for the source of your divine power: good, evil, law, chaos, or neutrality. You learn an additional spell based on that affinity, as shown below. It is a sorcerer spell for you, but it doesn't count against your number of sorcerer spells known. If you later replace this spell, you must replace it with a spell from the cleric spell list.</t>
  </si>
  <si>
    <t>Favored by the Gods</t>
  </si>
  <si>
    <t>Starting at 1st level, divine power guards your destiny. If you fail a saving throw or miss with an attack roll, you can roll 2d4 and add it to the total, possibly changing the outcome.
Once you use this feature, you can’t use it again until you finish a short or long rest.</t>
  </si>
  <si>
    <t>Joton Resilience</t>
  </si>
  <si>
    <t>The resilience of giants flows through your body. At 1st level, your hit point maximum increases by 1, and it increases by 1 again whenever you gain a level in this class.</t>
  </si>
  <si>
    <t>Mark of the Ordning</t>
  </si>
  <si>
    <t>At 1st level, you discover innate magical abilities within yourself that are based on your giant heritage. Select one of the giant types from the Mark of the Ordning table. At 1st and 3rd level, you learn the spells associated with your choice, as shown in the table. These spells count as sorcerer spells for you, but they don’t count against your number of sorcerer spells known.</t>
  </si>
  <si>
    <t>Ignite</t>
  </si>
  <si>
    <t>At 1st level, you gain the ability to start fires with a touch. As an action, you can magically ignite a flammable object you touch with your hand—an object such as a torch, a piece of tinder, or the hem of drapes.</t>
  </si>
  <si>
    <t>Mantle of Flame</t>
  </si>
  <si>
    <t>Starting at 1st level, you can unleash the phoenix fire that blazes within you.
As a bonus action, you magically wreathe yourself in swirling fire, as your eyes glow like hot coals. For 1 minute, you gain the following benefits:
• You shed bright light in a 30-foot radius and dim light for an additional 30 feet.
• Any creature takes fire damage equal to your Charisma modifier if it hits you with a melee attack from within 5 feet of you or if it touches you.
• Whenever you roll fire damage on your turn, the roll gains a bonus equal to your Charisma modifier.
Once you use this feature, you can’t use it again until you finish a long rest.</t>
  </si>
  <si>
    <t>Heart of Fire</t>
  </si>
  <si>
    <t>At 1st level, whenever you start casting a spell of 1st level or higher that deals fire damage, fiery magic erupts from you. This eruption causes creatures of your choice that you can see within 10 feet of you to take fire damage equal to half your sorcerer level (minimum of 1).</t>
  </si>
  <si>
    <t>Soul of the Sea</t>
  </si>
  <si>
    <t>At 1st level, your tie to the sea grants you the ability to breathe underwater, and you have a swim speed equal to your walking speed.</t>
  </si>
  <si>
    <t>Curse of the Sea</t>
  </si>
  <si>
    <t>When you choose this origin at 1st level, you learn the secret of infusing your spells with a watery curse.
When you hit a creature with a cantrip’s attack or when a creature fails a saving throw against your cantrip, you can curse the target until the end of your next turn or until you curse a different creature with this feature.
Once per turn when you cast a spell, you can trigger the curse if that spell deals cold or lightning damage to the cursed target or forces it to move. Doing so subjects the target to the appropriate additional effect below, and then the curse ends if the spell isn’t a cantrip (you choose the effect to use if more than one effect applies):
Cold Damage. If the affected target takes cold damage from your spell, the target’s speed is also reduced by 15 feet until the end of your next turn. If the spell already reduces the target’s speed, use whichever reduction is greater.
Lightning Damage. If the affected target takes lightning damage from your spell, the target takes additional lightning damage equal to your Charisma modifier.
Forced Movement. If the target is moved by your spell, increase the distance it is moved by 15 feet.</t>
  </si>
  <si>
    <t>Eyes of the Dark</t>
  </si>
  <si>
    <t>From 1st level, you have darkvision with a range of 120 feet.
When you reach 3rd level in this class, you learn the Darkness spell, which doesn't count against your number of sorcerer spells known. In addition, you can cast it by spending 2 sorcery points or by expending a spell slot. If you cast it with sorcery points, you can see through the darkness created by the spell.</t>
  </si>
  <si>
    <t>Strength of the Grave</t>
  </si>
  <si>
    <t>Starting at 1st level, your existence in a twilight state between life and death makes you difficult to defeat. When damage reduces you to 0 hit points, you can make a Charisma saving throw (DC 5 + the damage taken). On a success, you instead drop to 1 hit point. You can't use this feature if you are reduced to 0 hit points by radiant damage or by a critical hit.
After the saving throw succeeds, you can't use this feature again until you finish a long rest.</t>
  </si>
  <si>
    <t>At 1st level, you gain proficiency with shields, simple weapons, and martial weapons.</t>
  </si>
  <si>
    <t>Metal Magic</t>
  </si>
  <si>
    <t>Your affinity for metal gives you the option to learn some non-sorcerer spells that focus on weapon attacks. When your Spellcasting feature lets you learn a sorcerer spell of 1st level or higher, you can select the spell from the following list of spells, in addition to the sorcerer spell list. You must otherwise obey all the restrictions for selecting the spell, and it becomes a sorcerer spell for you.</t>
  </si>
  <si>
    <t>Stone's Durability</t>
  </si>
  <si>
    <t>At 1st level, your connection to stone gives you extra fortitude. Your hit point maximum increases by 1, and it increases by 1 again whenever you gain a level in this class.
As an action, you can gain a base AC of 13 + your Constitution modifier if you aren’t wearing armor, and your skin assumes a stony appearance. This effect lasts until you end it as a bonus action, you are incapacitated, or you don armor other than a shield.</t>
  </si>
  <si>
    <t>Wind Speaker</t>
  </si>
  <si>
    <t>The arcane magic you command is infused with elemental air. You can speak, read, and write Primordial. Knowing this language allows you to understand and be understood by those who speak its dialects: Aquan, Auran, Ignan, and Terran.</t>
  </si>
  <si>
    <t>Tempestuous Magic</t>
  </si>
  <si>
    <t>Starting at 1st level, you can use a bonus action on your turn to cause whirling gusts of elemental air to briefly surround you, immediately before or after you cast a spell of 1st level or higher. Doing so allows you to fly up to 10 feet without provoking opportunity attacks.</t>
  </si>
  <si>
    <t>Wild Magic Surge</t>
  </si>
  <si>
    <t>Starting when you choose this origin at 1st level, your spellcasting can unleash surges of untamed magic. Immediately after you cast a sorcerer spell of 1st level or higher, the DM can have you roll a d20. If you roll a 1, roll on the Wild Magic Surge table to create a random magical effect.</t>
  </si>
  <si>
    <t>SHEETS_Features</t>
  </si>
  <si>
    <t>Tides of Chaos</t>
  </si>
  <si>
    <t>Starting at 1st level, you can manipulate the forces of chance and chaos to gain advantage on one attack roll, ability check, or saving throw. Once you do so, you must finish a long rest before you can use this feature again.
Any time before you regain the use of this feature, the DM can have you roll on the Wild Magic Surge table immediately after you cast a sorcerer spell of 1st level or higher. You then regain the use of this feature.</t>
  </si>
  <si>
    <t>Font of Magic</t>
  </si>
  <si>
    <t>At 2nd level, you tap into a deep wellspring of magic within yourself. This wellspring is represented by sorcery points, which allow you to create a variety of magical effects.
Sorcery Points
You have 2 sorcery points, and you gain more as you reach higher levels, as shown in the Sorcery Points column of the Sorcerer table. You can never have more sorcery points than shown on the table for your level. You regain all spent sorcery points when you finish a long rest.
Flexible Casting
You can use your sorcery points to gain additional spell slots, or sacrifice spell slots to gain additional sorcery points. You learn other ways to use your sorcery points as you reach higher levels.
Creating Spell Slots. You can transform unexpended sorcery points into one spell slot as a bonus action on your turn. The Creating Spell Slots table shows the cost of creating a spell slot of a given level. You can create spell slots no higher in level than 5th. The created spell slots vanish at the end of a long rest.
Converting a Spell Slot to Sorcery Points. As a bonus action on your turn, you can expend one spell slot and gain a number of sorcery points equal to the slot's level.</t>
  </si>
  <si>
    <t>Metamagic</t>
  </si>
  <si>
    <t>At 3rd level, you gain the ability to twist your spells to suit your needs. You gain two of the following Metamagic options of your choice. You gain another one at 10th and 17th level.
You can use only one Metamagic option on a spell when you cast it, unless otherwise noted.
• Careful Spell
When you cast a spell that forces other creatures to make a saving throw, you can protect some of those creatures from the spell's full force. To do so, you spend 1 sorcery point and choose a number of those creatures up to your Charisma modifier (minimum of one creature). A chosen creature automatically succeeds on its saving throw against the spell.
• Distant Spell
When you cast a spell that has a range of 5 feet or greater, you can spend 1 sorcery point to double the range of the spell.
When you cast a spell that has a range of touch, you can spend 1 sorcery point to make the range of the spell 30 feet.
• Empowered Spell
When you roll damage for a spell, you can spend 1 sorcery point to reroll a number of the damage dice up to your Charisma modifier (minimum of one). You must use the new rolls.
You can use Empowered Spell even if you have already used a different Metamagic option during the casting of the spell.
• Extended Spell
When you cast a spell that has a duration of 1 minute or longer, you can spend 1 sorcery point to double its duration, to a maximum duration of 24 hours.
• Heightened Spell
When you cast a spell that forces a creature to make a saving throw to resist its effects, you can spend 3 sorcery points to give one target of the spell disadvantage on its first saving throw made against the spell.
• Quickened Spell
When you cast a spell that has a casting time of 1 action, you can spend 2 sorcery points to change the casting time to 1 bonus action for this casting.
• Subtle Spell
When you cast a spell, you can spend 1 sorcery point to cast it without any somatic or verbal components.
• Twinned Spell
When you cast a spell that targets only one creature and doesn't have a range of self, you can spend a number of sorcery points equal to the spell's level to target a second creature in range with the same spell (1 sorcery point if the spell is a cantrip). To be eligible for Twinned Spell, a spell must be incapable of targeting more than one creature at the spell's current level.</t>
  </si>
  <si>
    <t>Elemental Affinity</t>
  </si>
  <si>
    <t>Starting at 6th level, when you cast a spell that deals damage of the type associated with your draconic ancestry, add your Charisma modifier to that damage. At the same time, you can spend 1 sorcery point to gain resistance to that damage type for 1 hour.</t>
  </si>
  <si>
    <t>Empowered Healing</t>
  </si>
  <si>
    <t>Starting at 6th level, the divine energy coursing through you can empower healing spells. Whenever you or an ally within 5 feet of you rolls dice to determine the number of hit points a spell restores, you can spend 1 sorcery point to reroll any number of those dice once, provided you aren't incapacitated. You can use this feature only once per turn.</t>
  </si>
  <si>
    <t>Soul of Lost Ostoria</t>
  </si>
  <si>
    <t>Starting at 6th level, you gain a benefit whenever you cast one of the spells granted by your Mark of the Ordning Feature.
Cloud Giant. Immediately after you cast any of your Mark of the Ordning spells, you can magically teleport as a bonus action. You teleport to an unoccupied space you can see that is no farther away than a number of feet equal to 10 + your Constitution modifier.
Fire Giant. You gain a bonus to the damage rolls of your Mark of the Ordning spells. The bonus equals your Constitution modifier (minimum of +1).
Frost Giant. Immediately after you cast any of your Mark of the Ordning spells, you gain temporary hit points equal to your Constitution modifier (minimum of 1). If the spell is Armor of Agathys, you instead increase its temporary hit points by an amount equal to your Constitution modifier (minimum of 1).
Hill Giant. Immediately after you cast any of your Mark of the Ordning spells, you can target up to two creatures within 5 feet of you that you can see. Each target must succeed on a Strength saving throw against your spell save DC or be pushed a number of feet away from you equal to 5 + your Constitution modifier (minimum of +1). A target can choose to fail this save.
Stone Giant. Immediately after you cast any of your Mark of the Ordning spells, you gain a bonus to AC equal to your Constitution modifier (minimum of +1) until the end of your next turn.
Storm Giant. Immediately after you cast any of your Mark of the Ordning spells, up to three creatures of your choice that you can see within 30 feet of you take lightning damage equal to your Constitution modifier (minimum of 1).</t>
  </si>
  <si>
    <t>Phoenix Spark</t>
  </si>
  <si>
    <t>Starting at 6th level, the fiery energy within you grows restless and vengeful. In the face of defeat, it surges outward to preserve you in a fiery roar.
If you are reduced to 0 hit points, you can use your reaction to draw on the spark of the phoenix. You are instead reduced to 1 hit point, and each creature within 10 feet of you takes fire damage equal to half your sorcerer level + your Charisma modifier.
If you use this feature while under the effects of your Mantle of Flame, this feature instead deals fire damage equal to your sorcerer level + double your Charisma modifier, and your Mantle of Flame immediately ends.
Once you use this feature, you can’t use it again until you finish a long rest.</t>
  </si>
  <si>
    <t>Fire in the Veins</t>
  </si>
  <si>
    <t>At 6th level, you gain resistance to fire damage. In addition, spells you cast ignore resistance to fire damage.</t>
  </si>
  <si>
    <t>Watery Defense</t>
  </si>
  <si>
    <t>At 6th level, you gain resistance to fire damage.
You also gain the ability to defend yourself by momentarily assuming a watery form. As a reaction when you are hit by an attack and take bludgeoning, piercing, or slashing damage from it, you can reduce that damage by an amount equal to your sorcerer level plus your Charisma score, and then you can move up to 30 feet without provoking opportunity attacks. Once you use this special reaction, you can’t use it again until you finish a short or long rest.</t>
  </si>
  <si>
    <t>Stone Aegis</t>
  </si>
  <si>
    <t>Starting at 6th level, your command of earth magic grows stronger, allowing you to harness it for your allies’ protection.
As a bonus action, you can grant an aegis to one allied creature you can see within 60 feet of you. The aegis is a dim, gray aura of earth magic that protects the target. Any bludgeoning, piercing, or slashing damage the target takes is reduced by 2 + your sorcerer level divided by 4. This effect lasts for 1 minute, until you use it again, or until you are incapacitated.
In addition, when a creature you can see within 60 feet of you hits the protected target with a melee attack, you can use your reaction to teleport to an unoccupied space you can see within 5 feet of the attacker. You can teleport only if you and the attacker are on the same surface. You can then make one melee weapon attack against the attacker. If that attack hits, it deals an extra 1d10 force damage. This extra damage increases to 2d10 at 11th level and 3d10 at 17th level.</t>
  </si>
  <si>
    <t>Hound of Ill Omen</t>
  </si>
  <si>
    <t>At 6th level, you gain the ability to call forth a howling creature of darkness to harass your foes. As a bonus action, you can spend 3 sorcery points to summon a hound of ill omen to target one creature you can see within 120 feet of you. The hound uses the dire wolf’s statistics, with the following changes:
• The hound is size Medium, not Large, and it counts as a monstrosity, not a beast.
• It appears with a number of temporary hit points equal to half your sorcerer level.
• It can move through other creatures and objects as if they were difficult terrain. The hound takes 5 force damage if it ends its turn inside an object.
• At the start of its turn, the hound automatically knows its target’s location. If the target was hidden, it is no longer hidden from the hound.
The hound appears in an unoccupied space of your choice within 30 feet of the target. Roll initiative for the hound. On its turn, it can move only toward its target by the most direct route, and it can use its action only to attack its target. The hound can make opportunity attacks, but only against its target. Additionally, while the hound is within 5 feet of the target, the target has disadvantage on saving throws against any spell you cast. The hound disappears if it is reduced to 0 hit points, if its target is reduced to 0 hit points, or after 5 minutes.</t>
  </si>
  <si>
    <t>Heart of the Storm</t>
  </si>
  <si>
    <t>At 6th level, you gain resistance to lightning and thunder damage. In addition, whenever you start casting a spell of 1st level or higher that deals lightning or thunder damage, stormy magic erupts from you. This eruption causes creatures of your choice that you can see within 10 feet of you to take lightning or thunder damage (choose each time this ability activates) equal to half your sorcerer level.</t>
  </si>
  <si>
    <t>Storm Guide</t>
  </si>
  <si>
    <t>At 6th level, you gain the ability to subtly control the weather around you.
If it is raining, you can use an action to cause the rain to stop falling in a 20-foot-radius sphere centered on you. You can end this effect as a bonus action.
If it is windy, you can use a bonus action each round to choose the direction that the wind blows in a 100-foot-radius sphere centered on you. The wind blows in that direction until the end of your next turn. This feature doesn't alter the speed of the wind.</t>
  </si>
  <si>
    <t>Bend Luck</t>
  </si>
  <si>
    <t>Starting at 6th level, you have the ability to twist fate using your wild magic. When another creature you can see makes an attack roll, an ability check, or a saving throw, you can use your reaction and spend 2 sorcery points to roll 1d4 and apply the number rolled as a bonus or penalty (your choice) to the creature's roll. You can do so after the creature rolls but before any effects of the roll occur.</t>
  </si>
  <si>
    <t>Dragon Wings</t>
  </si>
  <si>
    <t>At 14th level, you gain the ability to sprout a pair of dragon wings from your back, gaining a flying speed equal to your current speed. You can create these wings as a bonus action on your turn. They last until you dismiss them as a bonus action on your turn.
You can't manifest your wings while wearing armor unless the armor is made to accommodate them, and clothing not made to accommodate your wings might be destroyed when you manifest them.</t>
  </si>
  <si>
    <t>Angelic Form</t>
  </si>
  <si>
    <t>Starting at 14th level, you can use a bonus action to manifest a pair of spectral wings from your back. While the wings are present, you have a flying speed of 30 feet. The wings last until you're incapacitated, you die, or you dismiss them as a bonus action.
The affinity you chose for your Divine Magic feature determines the appearance of the spectral wings: eagle wings for good or law, bat wings for evil or chaos, and dragonfly wings for neutrality.</t>
  </si>
  <si>
    <t>Rage of Fallen Ostoria</t>
  </si>
  <si>
    <t>Starting at 14th level, you gain the ability to channel the souls of your ancestors into your physical form. When you start casting a sorcerer spell on your turn and expend a spell slot, you can increase your size by one category – from Medium to Large, for example. This increase lasts for 1 minute. It ends early if you die or are incapacitated. Until it ends, you gain the following benefits:
• Your current hit points and your hit point maximum both increase by 1 per sorcerer level.
• Your reach increases by 5 feet.
• Your walking speed increases by 5 feet.
• You have advantage on Strength checks and Strength saving throws.
• You gain a bonus to the damage rolls of your melee weapon attacks; the bonus equals your Constitution modifier (minimum of +1).
Once you use this feature, you can’t use it again until you finish a short or long rest.</t>
  </si>
  <si>
    <t>Nourishing Fire</t>
  </si>
  <si>
    <t>Starting at 14th level, your fire spells soothe and restore you. When you expend a spell slot to cast a spell that includes a fire damage roll, you regain hit points equal to the slot’s level + your Charisma modifier.</t>
  </si>
  <si>
    <t>Pyromancer's Fury</t>
  </si>
  <si>
    <t>Starting at 14th level, when you are hit by a melee attack, you can use your reaction to deal fire damage to the attacker. The damage equals your sorcerer level, and ignores resistance to fire damage.</t>
  </si>
  <si>
    <t>Shifting Form</t>
  </si>
  <si>
    <t>Starting at 14th level, you gain the ability to enter a liquid state while moving.
When you move on your turn, you take only half damage from opportunity attacks, and you can move through any enemy’s space but can’t willingly end your move there.
On your turn, you can move through any space that is at least 3 inches in diameter and do so without squeezing. When you stop moving, the regular squeezing rules apply if you’re in a space one size smaller than you. You can’t willingly stop in a space smaller than that, and if you’re forced to do so, you immediately flow to the nearest space that can fit you, back along the path of your movement.</t>
  </si>
  <si>
    <t>Stone's Edge</t>
  </si>
  <si>
    <t>Starting at 14th level, your mastery of earth magic allows you to add the force of elemental earth to your spells. When you cast a spell that deals damage, choose one creature damaged by that spell on the round you cast it. That creature takes extra force damage equal to half your sorcerer level. This feature can be used only once per casting of a spell.</t>
  </si>
  <si>
    <t>Shadow Walk</t>
  </si>
  <si>
    <t>At 14th level, you gain the ability to step from one shadow into another. When you are in dim light or darkness, as a bonus action, you can teleport up to 120 feet to an unoccupied space you can see that is also in dim light or darkness.</t>
  </si>
  <si>
    <t>Storm's Fury</t>
  </si>
  <si>
    <t>Starting at 14th level, when you are hit by a melee attack, you can use your reaction to deal lightning damage to the attacker. The damage equals your sorcerer level. The attacker must also make a Strength saving throw against your sorcerer spell save DC. On a failed save, the attacker is pushed in a straight line up to 20 feet away from you.</t>
  </si>
  <si>
    <t>Controlled Chaos</t>
  </si>
  <si>
    <t>At 14th level, you gain a modicum of control over the surges of your wild magic. Whenever you roll on the Wild Magic Surge table, you can roll twice and use either number.</t>
  </si>
  <si>
    <t>Draconic Presence</t>
  </si>
  <si>
    <t>Beginning at 18th level, you can channel the dread presence of your dragon ancestor, causing those around you to become awestruck or frightened. As an action, you can spend 5 sorcery points to draw on this power and exude an aura of awe or fear (your choice) to a distance of 60 feet. For 1 minute or until you lose your concentration (as if you were casting a concentration spell), each hostile creature that starts its turn in this aura must succeed on a Wisdom saving throw or be charmed (if you chose awe) or frightened (if you chose fear) until the aura ends. A creature that succeeds on this saving throw is immune to your aura for 24 hours.</t>
  </si>
  <si>
    <t>Unearthly Recovery</t>
  </si>
  <si>
    <t>At 18th level, you gain the ability to overcome grievous injuries. As a bonus action when you have fewer than half of your hit points remaining, you can regain a number of hit points equal to half your hit point maximum.
Once you use this feature, you can’t use it again until you finish a long rest.</t>
  </si>
  <si>
    <t>At 18th level, your Constitution score increases by 2, up to a maximum of 22.
In addition, you can now use Rage of Fallen Ostoria twice between rests, but no more than once on a turn. If you use that feature while under its effects, its increases to your size, hit points, reach, and walking speed are cumulative.</t>
  </si>
  <si>
    <t>Form of the Phoenix</t>
  </si>
  <si>
    <t>At 18th level, you finally master the spark of fire that dances within you. While under the effect of your Mantle of Flame feature, you gain additional benefits:
• You have a flying speed of 40 feet and can hover.
• You have resistance to all damage.
• If you use your Phoenix Spark, that feature deals an extra 20 fire damage to each creature.</t>
  </si>
  <si>
    <t>Fiery Soul</t>
  </si>
  <si>
    <t>At 18th level, you gain immunity to fire damage. In addition, any spell or effect you create ignores resistance to fire damage and treats immunity to fire damage as resistance to fire damage.</t>
  </si>
  <si>
    <t>Water Soul</t>
  </si>
  <si>
    <t>Starting at 18th level, your being is altered by the power of the sea. You gain the following benefits:
• You no longer need to eat, drink, or sleep.
• A critical hit against you becomes a normal hit.
• You have resistance to bludgeoning, piercing, and slashing damage.</t>
  </si>
  <si>
    <t>Umbral Form</t>
  </si>
  <si>
    <t>Starting at 18th level, you can spend 6 sorcery points as a bonus action to transform yourself into a shadowy form. In this form, you have resistance to all damage except force and radiant damage, and you can move through other creatures and objects as if they were difficult terrain. You take 5 force damage if you end your turn inside an object.
You remain in this form for 1 minute. It ends early if you are incapacitated, if you die, or if you dismiss it as a bonus action.</t>
  </si>
  <si>
    <t>Earth Master's Aegis</t>
  </si>
  <si>
    <t>Beginning at 18th level, when you use your Stone’s Aegis to protect an ally, you can choose up to three creatures to gain its benefits.</t>
  </si>
  <si>
    <t>Wind Soul</t>
  </si>
  <si>
    <t>At 18th level, you gain immunity to lightning and thunder damage.
You also gain a magical flying speed of 60 feet. As an action, you can reduce your flying speed to 30 feet for 1 hour and choose a number of creatures within 30 feet of you equal to 3 + your Charisma modifier. The chosen creatures gain a magical flying speed of 30 feet for 1 hour. Once you reduce your flying speed in this way, you can't do so again until you finish a short or long rest.</t>
  </si>
  <si>
    <t>Spell Bombardment</t>
  </si>
  <si>
    <t>Beginning at 18th level, the harmful energy of your spells intensifies. When you roll damage for a spell and roll the highest number possible on any of the dice, choose one of those dice, roll it again and add that roll to the damage. You can use the feature only once per turn.</t>
  </si>
  <si>
    <t>Sorcerous Restoration</t>
  </si>
  <si>
    <t>At 20th level, you regain 4 expended sorcery points whenever you finish a short rest.</t>
  </si>
  <si>
    <t>EldritchInvocations</t>
  </si>
  <si>
    <t>As a warlock, you gain the following class features.
Hit Points
Hit Dice: 1d8 per warlock level
Hit Points at 1st Level: 8 + your Constitution modifier
Hit Points at Higher Levels: 1d8 (or 5) + your Constitution modifier per warlock level after 1st
Proficiencies
Armor: Light armor
Weapons: Simple weapons
Tools: None
Saving Throws: Wisdom, Charisma
Skills: Choose two from Arcana, Deception, History, Intimidation, Investigation, Nature, and Religion
Equipment
You start with the following equipment, in addition to the equipment granted by your background:
(a) a light crossbow and 20 bolts or (b) any simple weapon
(a) a component pouch or (b) an arcane focus
(a) a scholar's pack or (b) a dungeoneer's pack
Leather armor, any simple weapon, and two daggers</t>
  </si>
  <si>
    <t>Fey Presence</t>
  </si>
  <si>
    <t>Starting at 1st level, your patron bestows upon you the ability to project the beguiling and fearsome presence of the fey. As an action, you can cause each creature in a 10-foot cube originating from you to make a Wisdom saving throw against your warlock spell save DC. The creatures that fail their saving throws are all charmed or frightened by you (your choice) until the end of your next turn.
Once you use this feature, you can't use it again until you finish a short or long rest.</t>
  </si>
  <si>
    <t>Bonus Cantrips</t>
  </si>
  <si>
    <t>At 1st level, you learn the Light and Sacred Flame cantrips. They count as warlock cantrips for you, but they don’t count against your number of cantrips known.</t>
  </si>
  <si>
    <t>Healing Light</t>
  </si>
  <si>
    <t>At 1st level, you gain the ability to channel celestial energy to heal wounds. You have a pool of d6s that you spend to fuel this healing. The number of dice in the pool equals 1 + your warlock level.
As a bonus action, you can heal one creature you can see within 60 feet of you, spending dice from the pool. The maximum number of dice you can spend at once equals your Charisma modifier (minimum of one die). Roll the dice you spend, add them together, and restore a number of hit points equal to the total.
Your pool regains all expended dice when you finish a long rest.</t>
  </si>
  <si>
    <t>Dark One's Blessing</t>
  </si>
  <si>
    <t>Starting at 1st level, when you reduce a hostile creature to 0 hit points, you gain temporary hit points equal to your Charisma modifier + your warlock level (minimum of 1).</t>
  </si>
  <si>
    <t>Awakened Mind</t>
  </si>
  <si>
    <t>Starting at 1st level, your alien knowledge gives you the ability to touch the minds of other creatures. You can communicate telepathically with any creature you can see within 30 feet of you. You don't need to share a language with the creature for it to understand your telepathic utterances, but the creature must be able to understand at least one language.</t>
  </si>
  <si>
    <t>Hexblade's Curse</t>
  </si>
  <si>
    <t>Starting at 1st level, you gain the ability to place a baleful curse on someone. As a bonus action, choose one creature you can see within 30 feet of you. The target is cursed for 1 minute. The curse ends early if the target dies, you die, or you are incapacitated. Until the curse ends, you gain the following benefits:
• You gain a bonus to damage rolls against the cursed target. The bonus equals your proficiency bonus.
• Any attack roll you make against the cursed target is a critical hit on a roll of 19 or 20 on the d20.
• If the cursed target dies, you regain hit points equal to your warlock level + your Charisma modifier (minimum of 1 hit point).
You can’t use this feature again until you finish a short or long rest.</t>
  </si>
  <si>
    <t>Hex Warrior</t>
  </si>
  <si>
    <t>At 1st level, you acquire the training necessary to effectively arm yourself for battle. You gain proficiency with medium armor, shields, and martial weapons.
The influence of your patron also allows you to mystically channel your will through a particular weapon. Whenever you finish a long rest, you can touch one weapon that you are proficient with and that lacks the two-handed property. When you attack with that weapon, you can use your Charisma modifier, instead of Strength or Dexterity, for the attack and damage rolls. This benefit lasts until you finish a long rest. If you later gain the Pact of the Blade feature, this benefit extends to every pact weapon you conjure with that feature, no matter the weapon's type.</t>
  </si>
  <si>
    <t>Grasp of the Kraken</t>
  </si>
  <si>
    <t>Starting at 1st level, you gain the ability to call forth spectral tentacles that grab at your foes. As an action, pick a point you can see within 60 feet of you. A horde of grasping tendrils appears at that point. Creatures of your choice within 10 feet of that point must make a Strength saving throw against your warlock spell save DC. Creatures that fail their saving throws are grappled for 1 minute or until you use this ability again. The spectral tentacle's Strength (Athletics) bonus is 2 + your proficiency bonus and its reach is 10 feet.</t>
  </si>
  <si>
    <t>Sentinel Raven</t>
  </si>
  <si>
    <t>Starting at 1st level, you gain the service of a spirit sent by the Raven Queen to watch over you. The spirit assumes the form and game statistics of a raven, and it always obeys your commands, which you can give telepathically while it is within 100 feet of you.
While the raven is perched on your shoulder, you gain darkvision with a range of 30 feet and a bonus to your passive Wisdom (Perception) score and to Wisdom (Perception) checks. The bonus equals your Charisma modifier. While perched on your shoulder, the raven can’t be targeted by any attack or other harmful effect; only you can cast spells on it; it can’t take damage; and it is incapacitated.
You can see through the raven’s eyes and hear what it hears while it is within 100 feet of you.
In combat, you roll initiative for the raven and control how it acts. If it is slain by a creature, you gain advantage on all attack rolls against the killer for the next 24 hours.
The raven doesn’t require sleep. While it is within 100 feet of you, it can awaken you from sleep as a bonus action.
The raven vanishes when it dies, if you die, or if the two of you are separated by more than 5 miles.
At the end of a short or long rest, you can call the raven back to you—no matter where it is or whether it died—and it reappears within 5 feet of you.</t>
  </si>
  <si>
    <t>Shielding Aurora</t>
  </si>
  <si>
    <t>Starting at 1st level, you can invoke the Seeker’s power to protect you from harm. As a bonus action, you create a whirling aurora of brilliant energy that swirls around you. Until the end of your next turn, you gain resistance to all damage, and if a hostile creature ends its turn within 10 feet of you, it takes radiant damage equal to your warlock level + your Charisma modifier.
Once you use this feature, you can’t use it again until you finish a short or long rest.</t>
  </si>
  <si>
    <t>Among the Dead</t>
  </si>
  <si>
    <t>Starting at 1st level, you learn the Spare the Dying cantrip, which counts as a warlock cantrip for you. You also have advantage on saving throws against any disease.
Additionally, undead have difficulty harming you. If an undead targets you directly with an attack or a harmful spell, that creature must make a Wisdom saving throw against your spell save DC (an undead needn't make the save when it includes you in an area effect, such as the explosion of Fireball). On a failed save, the creature must choose a new target or forfeit targeting someone instead of you, potentially wasting the attack or spell. On a successful save, the creature is immune to this effect for 24 hours. An undead is also immune to this effect for 24 hours if you target it with an attack or a harmful spell.</t>
  </si>
  <si>
    <t>Eldritch Invocations</t>
  </si>
  <si>
    <t>In your study of occult lore, you have unearthed eldritch invocations, fragments of forbidden knowledge that imbue you with an abiding magical ability.
At 2nd level, you gain two eldritch invocations of your choice. When you gain certain warlock levels, you gain additional invocations of your choice, as shown in the Invocations Known column of the Warlock table.
Additionally, when you gain a level in this class, you can choose one of the invocations you know and replace it with another invocation that you could learn at that level.
A level prerequisite in an invocation refers to warlock level, not character level.</t>
  </si>
  <si>
    <t>Pact Boon</t>
  </si>
  <si>
    <t>At 3rd level, your otherworldly patron bestows a gift upon you for your loyal service. You gain one of the following features of your choice.
• Pact of the Blade
You can use your action to create a pact weapon in your empty hand. You can choose the form that this melee weapon takes each time you create it. You are proficient with it while you wield it. This weapon counts as magical for the purpose of overcoming resistance and immunity to nonmagical attacks and damage.
Your pact weapon disappears if it is more than 5 feet away from you for 1 minute or more. It also disappears if you use this feature again, if you dismiss the weapon (no action required), or if you die.
You can transform one magic weapon into your pact weapon by performing a special ritual while you hold the weapon. You perform the ritual over the course of 1 hour, which can be done during a short rest.
You can then dismiss the weapon, shunting it into an extradimensional space, and it appears whenever you create your pact weapon thereafter. You can't affect an artifact or a sentient weapon in this way. The weapon ceases being your pact weapon if you die, if you perform the 1-hour ritual on a different weapon, or if you use a 1-hour ritual to break your bond to it. The weapon appears at your feet if it is in the extradimensional space when the bond breaks.
• Pact of the Chain
You learn the Find Familiar spell and can cast it as a ritual. The spell doesn't count against your number of spells known.
When you cast the spell, you can choose one of the normal forms for your familiar or one of the following special forms: imp, pseudodragon, quasit, or sprite.
Additionally, when you take the Attack action, you can forgo one of your own attacks to allow your familiar to use its reaction to make one attack of its own.
• Pact of the Tome
Your patron gives you a grimoire called a Book of Shadows. When you gain this feature, choose three cantrips from any class's spell list. While the book is on your person, you can cast those cantrips at will. They are considered warlock spells for you, and they needn't be from the same spell list. They don't count against your number of cantrips known.
If you lose your Book of Shadows, you can perform a 1-hour ceremony to receive a replacement from your patron. This ceremony can be performed during a short or long rest, and it destroys the previous book. The book turns to ash when you die.</t>
  </si>
  <si>
    <t>Pact Boon: Pact of the Star Chain</t>
  </si>
  <si>
    <t>At 3rd level, a character dedicated to the Seeker can select this option instead of one of the warlock’s existing Pact Boon options.
The Seeker grants you a chain forged from starlight, decorated with seven gleaming motes of brightness. While the chain is on your person, you know the augury spell and can cast it as a ritual. The spell doesn’t count against your number of spells known.
Additionally, you can invoke the Seeker’s power to gain advantage on an Intelligence check while you carry this item. Once you use this ability, you cannot use it again until you complete a short or long rest.
If you lose your Star Chain, you can perform a 1-hour ceremony to receive a replacement from the Seeker. The ceremony can be performed during a short or long rest, and it destroys the previous chain. The chain disappears in a flash of light when you die.
The exact form of this item might be different depending on your patron. The Star Chain is inspired by the Greyhawk deity Celestian.</t>
  </si>
  <si>
    <t>Misty Escape</t>
  </si>
  <si>
    <t>Starting at 6th level, you can vanish in a puff of mist in response to harm. When you take damage, you can use your reaction to turn invisible and teleport up to 60 feet to an unoccupied space you can see. You remain invisible until the start of your next turn or until you attack or cast a spell.
Once you use this feature, you can't use it again until you finish a short or long rest.</t>
  </si>
  <si>
    <t>Radiant Soul</t>
  </si>
  <si>
    <t>Starting at 6th level, your link to the Celestial allows you to serve as a conduit for radiant energy. You have resistance to radiant damage, and when you cast a spell that deals radiant or fire damage, you add your Charisma modifier to one radiant or fire damage roll of that spell against one of its targets.</t>
  </si>
  <si>
    <t>Dark One's Own Luck</t>
  </si>
  <si>
    <t>Starting at 6th level, you can call on your patron to alter fate in your favor. When you make an ability check or a saving throw, you can use this feature to add a d10 to your roll. You can do so after seeing the initial roll but before any of the roll's effects occur.
Once you use this feature, you can't use it again until you finish a short or long rest.</t>
  </si>
  <si>
    <t>Entropic Ward</t>
  </si>
  <si>
    <t>At 6th level, you learn to magically ward yourself against attack and to turn an enemy's failed strike into good luck for yourself. When a creature makes an attack roll against you, you can use your reaction to impose disadvantage on that roll. If the attack misses you, your next attack roll against the creature has advantage if you make it before the end of your next turn.
Once you use this feature, you can't use it again until you finish a short or long rest.</t>
  </si>
  <si>
    <t>Accursed Specter</t>
  </si>
  <si>
    <t>Starting at 6th level, you can curse the soul of a person you slay, temporarily binding it in your service. When you slay a humanoid, you can cause its spirit to rise from its corpse as a specter. When the specter appears, it gains temporary hit points equal to half your warlock level. Roll initiative for the specter, which has its own turns. It obeys your verbal commands, and it gains a special bonus to its attack rolls equal to your Charisma modifier (minimum of +0).
The specter remains in your service until the end of your next long rest, at which point it vanishes to the afterlife.
Once you bind a specter with this feature, you can't use the feature again until you finish a long rest.</t>
  </si>
  <si>
    <t>Inky Escape</t>
  </si>
  <si>
    <t>At 6th level, you gain the ability to call upon your patron to escape from your foes. As a reaction when you take damage, you can cast Darkness centered on a point within 5 feet of you. The spell lasts until the end of your next turn, and it has no effect on your vision. Once you use this ability, you cannot use it again until you complete a short or long rest.</t>
  </si>
  <si>
    <t>Soul of the Raven</t>
  </si>
  <si>
    <t>At 6th level, you gain the ability to merge with your raven spirit. As a bonus action when your raven is perched on your shoulder, your body merges with your raven’s form. While merged, you become Tiny, you replace your speed with the raven’s, and you can use your action only to Dash, Disengage, Dodge, Help, Hide, or Search. During this time, you gain the benefits of your raven being perched on your shoulder. As an action, you and the raven return to normal.</t>
  </si>
  <si>
    <t>Astral Refuge</t>
  </si>
  <si>
    <t>At 6th level, you gain the ability to step into an astral refuge. As an action, you disappear from the world for a brief moment and enter the Astral Plane, taking advantage of its timeless nature. While in your astral refuge, you can take two actions to cast spells that target only you. After using those two actions, you return to the space you occupied and your turn ends.</t>
  </si>
  <si>
    <t>Defy Death</t>
  </si>
  <si>
    <t>Starting at 6th level, you can give yourself vitality when you cheat death or when you help someone else cheat it. You can regain hit points equal to 1d8 + your Constitution modifier (minimum of 1 hit point) when you succeed on a death saving throw or when you stabilize a creature with Spare the Dying.
Once you use this feature, you can't use it again until you finish a long rest.</t>
  </si>
  <si>
    <t>Beguiling Defenses</t>
  </si>
  <si>
    <t>Beginning at 10th level, your patron teaches you how to turn the mind-affecting magic of your enemies against them. You are immune to being charmed, and when another creature attempts to charm you, you can use your reaction to attempt to turn the charm back on that creature. The creature must succeed on a Wisdom saving throw against your warlock spell save DC or be charmed by you for 1 minute or until the creature takes any damage.</t>
  </si>
  <si>
    <t>Cleestial Resistance</t>
  </si>
  <si>
    <t>Starting at 10th level, you gain temporary hit points whenever you finish a short or long rest. These temporary hit points equal your warlock level + your Charisma modifier. Additionally, choose up to five creatures you can see at the end of the rest. Those creatures each gain temporary hit points equal to half your warlock level + your Charisma modifier.</t>
  </si>
  <si>
    <t>Fiendish Resilience</t>
  </si>
  <si>
    <t>Starting at 10th level, you can choose one damage type when you finish a short or long rest. You gain resistance to that damage type until you choose a different one with this feature. Damage from magical weapons or silver weapons ignores this resistance.</t>
  </si>
  <si>
    <t>Thought Shield</t>
  </si>
  <si>
    <t>Starting at 10th level, your thoughts can't be read by telepathy or other means unless you allow it. You also have resistance to psychic damage, and whenever a creature deals psychic damage to you, that creature takes the same amount of damage that you do.</t>
  </si>
  <si>
    <t>Armor of Hexes</t>
  </si>
  <si>
    <t>At 10th level, your hex grows more powerful. If the target cursed by your Hexblade’s Curse hits you with an attack roll, roll a d6. On a 4 or higher, the attack instead misses you, regardless of its roll.</t>
  </si>
  <si>
    <t>Scion of the Depths</t>
  </si>
  <si>
    <t>Starting at 10th level, your patron accepts you into its inner court of servitors. You gain the ability to breathe water and a swim speed equal to your normal speed. You gain immunity to lightning damage. When your immunity reduces damage from an effect to 0, you can use your reaction to cause creatures of your choice that you can see within 30 feet of you to take lightning damage equal to your Charisma modifier + your proficiency bonus.</t>
  </si>
  <si>
    <t>Raven's Shield</t>
  </si>
  <si>
    <t>At 10th level, the Raven Queen grants you a protective blessing. You gain advantage on death saving throws, immunity to the frightened condition, and resistance to necrotic damage.</t>
  </si>
  <si>
    <t>Far Wanderer</t>
  </si>
  <si>
    <t>At 10th level, you no longer need to breathe, and you gain resistance to fire damage and cold damage.</t>
  </si>
  <si>
    <t>Undying Nature</t>
  </si>
  <si>
    <t>Beginning at 10th level, you can hold your breath indefinitely, and you don't require food, water, or sleep, although you still require rest to reduce exhaustion and still benefit from finishing short and long rests.
In addition, you age at a slower rate. For every 10 years that pass, your body ages only 1 year, and you are immune to being magically aged.</t>
  </si>
  <si>
    <t>Mystic Arcanum</t>
  </si>
  <si>
    <t>At 11th level, your patron bestows upon you a magical secret called an arcanum. Choose one 6th-level spell from the warlock spell list as this arcanum.
You can cast your arcanum spell once without expending a spell slot. You must finish a long rest before you can do so again.
At higher levels, you gain more warlock spells of your choice that can be cast in this way: one 7th-level spell at 13th level, one 8th-level spell at 15th level, and one 9th-level spell at 17th level. You regain all uses of your Mystic Arcanum when you finish a long rest.</t>
  </si>
  <si>
    <t>Dark Delirium</t>
  </si>
  <si>
    <t>Starting at 14th level, you can plunge a creature into an illusory realm. As an action, choose a creature that you can see within 60 feet of you. It must make a Wisdom saving throw against your warlock spell save DC. On a failed save, it is charmed or frightened by you (your choice) for 1 minute or until your concentration is broken (as if you are concentrating on a spell). This effect ends early if the creature takes any damage.
Until this illusion ends, the creature thinks it is lost in a misty realm, the appearance of which you choose. The creature can see and hear only itself, you, and the illusion.
You must finish a short or long rest before you can use this feature again.</t>
  </si>
  <si>
    <t>Searing Vengeance</t>
  </si>
  <si>
    <t>Starting at 14th level, the radiant energy you channel allows you to resist death. When you have to make a death saving throw at the start of your turn, you can instead spring back to your feet with a burst of radiant energy. You regain hit points equal to half your hit point maximum, and then you stand up if you so choose. Each creature of your choice that is within 30 feet of you takes radiant damage equal to 2d8 + your Charisma modifier, and is blinded until the end of the current turn.
Once you use this feature, you can’t use it again until you finish a long rest.</t>
  </si>
  <si>
    <t>Hurl Through Hell</t>
  </si>
  <si>
    <t>Starting at 14th level, when you hit a creature with an attack, you can use this feature to instantly transport the target through the lower planes. The creature disappears and hurtles through a nightmare landscape.
At the end of your next turn, the target returns to the space it previously occupied, or the nearest unoccupied space. If the target is not a fiend, it takes 10d10 psychic damage as it reels from its horrific experience.
Once you use this feature, you can't use it again until you finish a long rest.</t>
  </si>
  <si>
    <t>Create Thrall</t>
  </si>
  <si>
    <t>At 14th level, you gain the ability to infect a humanoid's mind with the alien magic of your patron. You can use your action to touch an incapacitated humanoid. That creature is then charmed by you until a Remove Curse spell is cast on it, the charmed condition is removed from it, or you use this feature again.
You can communicate telepathically with the charmed creature as long as the two of you are on the same plane of existence.</t>
  </si>
  <si>
    <t>Master of Hexes</t>
  </si>
  <si>
    <t>Starting at 14th level, you can spread your Hexblade's Curse from a slain creature to another creature. When the creature cursed by your Hexblade's Curse dies, you can apply the curse to a different creature you can see within 30 feet of you, provided you aren't incapacitated. When you apply the curse in this way, you don't regain hit points from the death of the previously cursed creature.</t>
  </si>
  <si>
    <t>Unleash the Kraken</t>
  </si>
  <si>
    <t>At 14th level, you gain the ability to call upon your patron for aid. As an action, you open a portal at a point you can see within 30 feet of you and choose one of the following effects.
• Transport. You and up to 5 willing creatures of your choice that you can see are grasped by tentacles that emerge from the portal. A second portal opens at a point of your choice within 100 miles that you have visited within the past 24 hours. A second portal opens, depositing you and your chosen allies there.
• Fury. The tentacles slam onto your foes. Pick up to 5 creatures that you can see within 30 feet of the portal. Those creatures must make Dexterity saving throws against your warlock spell save DC. Creatures that fail their saving throw take 10d6 bludgeoning damage and are restrained for 1 minute. Those that succeed take half the bludgeoning damage and are not restrained. On its turn, a restrained creature can use its action to attempt a DC 15 Strength (Athletics) or Dexterity (Acrobatics) check to end the restrained condition.
Once you use this ability, you cannot use it again until you complete a long rest.</t>
  </si>
  <si>
    <t>Queen's Right Hand</t>
  </si>
  <si>
    <t>Starting at 14th level, you can channel the Raven Queen’s power to slay a creature. You can cast Finger of Death. After you cast the spell with this feature, you can’t do so again until you finish a long rest.</t>
  </si>
  <si>
    <t>Astral Sequestration</t>
  </si>
  <si>
    <t>Starting at 14th level, you gain the ability to sequester yourself and your allies on the Astral Plane.
By performing a special ritual over the course of 5 minutes, you shift yourself and up to ten willing creatures you can see to the Astral Plane. You and those creatures gain the benefits of a short rest while sequestered on the Astral Plane. You then return to the spaces you all occupied when you used this ability, with no time having passed in the world.
During this short rest, you and the creatures you sequester can make use of any options available during a rest that affect only you and the creatures you sequester.
Once you use this ability, you cannot use it again until you complete a long rest.</t>
  </si>
  <si>
    <t>Indestructible Life</t>
  </si>
  <si>
    <t>When you reach 14th level, you partake of some of the true secrets of the Undying. On your turn, you can use a bonus action to regain hit points equal to 1d8 + your warlock level. Additionally, if you put a severed body part of yours back in place when you use this feature, the part reattaches.
Once you use this feature, you can't use it again until you finish a short or long rest.</t>
  </si>
  <si>
    <t>Eldritch Master</t>
  </si>
  <si>
    <t>At 20th level, you can draw on your inner reserve of mystical power while entreating your patron to regain expended spell slots. You can spend 1 minute entreating your patron for aid to regain all your expended spell slots from your Pact Magic feature. Once you regain spell slots with this feature, you must finish a long rest before you can do so again.</t>
  </si>
  <si>
    <t>As a wizard, you gain the following class features.
Hit Points
Hit Dice: 1d6 per wizard level
Hit Points at 1st Level: 6 + your Constitution modifier
Hit Points at Higher Levels: 1d6 (or 4) + your Constitution modifier per wizard level after 1st
Proficiencies
Armor: None
Weapons: Daggers, darts, slings, quarterstaffs, light crossbows
Tools: None
Saving Throws: Intelligence, Wisdom
Skills: Choose two from Arcana, History, Insight, Investigation, Medicine, and Religion
Equipment
You start with the following equipment, in addition to the equipment granted by your background:
(a) a quarterstaff or (b) a dagger
(a) a component pouch or (b) an arcane focus
(a) a scholar's pack or (b) an explorer's pack
A spellbook</t>
  </si>
  <si>
    <t>Arcane Recovery</t>
  </si>
  <si>
    <t>You have learned to regain some of your magical energy by studying your spellbook. Once per day when you finish a short rest, you can choose expended spell slots to recover. The spell slots can have a combined level that is equal to or less than half your wizard level (rounded up), and none of the slots can be 6th level or higher.
For example, if you're a 4th-level wizard, you can recover up to two levels worth of spell slots. You can recover either a 2nd-level spell slot or two 1st-level spell slots.</t>
  </si>
  <si>
    <t>Abjuration Savant</t>
  </si>
  <si>
    <t>Beginning when you select this school at 2nd level, the gold and time you must spend to copy a abjuration spell into your spellbook is halved.</t>
  </si>
  <si>
    <t>Arcane Ward</t>
  </si>
  <si>
    <t>Starting at 2nd level, you can weave magic around yourself for protection. When you cast an abjuration spell of 1st level or higher, you can simultaneously use a strand of the spell's magic to create a magical ward on yourself that lasts until you finish a long rest. The ward has hit points equal to twice your wizard level + your Intelligence modifier. Whenever you take damage, the ward takes the damage instead. If this damage reduces the ward to 0 hit points, you take any remaining damage.
While the ward has 0 hit points, it can't absorb damage, but its magic remains. Whenever you cast an abjuration spell of 1st level or higher, the ward regains a number of hit points equal to twice the level of the spell.
Once you create the ward, you can't create it again until you finish a long rest.</t>
  </si>
  <si>
    <t>Bladesinger</t>
  </si>
  <si>
    <t>Training in War and Song</t>
  </si>
  <si>
    <t>When you adopt this tradition at 2nd level, you gain proficiency with light armor, and you gain proficiency with one type of one-handed melee weapon of your choice.
You also gain proficiency in the Performance skill if you don't already have it.</t>
  </si>
  <si>
    <t>Bladesong</t>
  </si>
  <si>
    <t>Starting at 2nd level, you can invoke a secret elven magic called the Bladesong, provided that you aren't wearing medium or heavy armor or using a shield. It graces you with supernatural speed, agility, and focus.
You can use a bonus action to start the Bladesong, which lasts for 1 minute. It ends early if you are incapacitated, if you don medium or heavy armor or a shield, or if you use two hands to make an attack with a weapon. You can also dismiss the Bladesong at any time you choose (no action required).
While your Bladesong is active, you gain the following benefits:
• You gain a bonus to your AC equal to your Intelligence modifier (minimum of +1).
• Your walking speed increases by 10 feet.
• You have advantage on Dexterity (Acrobatics) checks.
• You gain a bonus to any Constitution saving throw you make to maintain your concentration on a spell. The bonus equals your Intelligence modifier (minimum of +1).
You can use this feature twice. You regain all expended uses of it when you finish a short or long rest.</t>
  </si>
  <si>
    <t>Conjuration Savant</t>
  </si>
  <si>
    <t>Beginning when you select this school at 2nd level, the gold and time you must spend to copy a Conjuration spell into your spellbook is halved.</t>
  </si>
  <si>
    <t>Minor Conjuration</t>
  </si>
  <si>
    <t>Starting at 2nd level when you select this school, you can use your action to conjure up an inanimate object in your hand or on the ground in an unoccupied space that you can see within 10 feet of you. This object can be no larger than 3 feet on a side and weigh no more than 10 pounds, and its form must be that of a nonmagical object that you have seen. The object is visibly magical, radiating dim light out to 5 feet.
The object disappears after 1 hour, when you use this feature again, or if it takes any damage.</t>
  </si>
  <si>
    <t>Divination Savant</t>
  </si>
  <si>
    <t>Beginning when you select this school at 2nd level, the gold and time you must spend to copy a Divination spell into your spellbook is halved.</t>
  </si>
  <si>
    <t>Portent</t>
  </si>
  <si>
    <t>Starting at 2nd level when you choose this school, glimpses of the future begin to press in on your awareness. When you finish a long rest, roll two d20s and record the numbers rolled. You can replace any attack roll, saving throw, or ability check made by you or a creature that you can see with one of these foretelling rolls. You must choose to do so before the roll, and you can replace a roll in this way only once per turn.
Each foretelling roll can be used only once. When you finish a long rest, you lose any unused foretelling rolls.</t>
  </si>
  <si>
    <t>Enchantment Savant</t>
  </si>
  <si>
    <t>Beginning when you select this school at 2nd level, the gold and time you must spend to copy a Enchantment spell into your spellbook is halved.</t>
  </si>
  <si>
    <t>Hypnotic Gaze</t>
  </si>
  <si>
    <t>Starting at 2nd level when you choose this school, your soft words and enchanting gaze can magically enthrall another creature. As an action, choose one creature that you can see within 5 feet of you. If the target can see or hear you, it must succeed on a Wisdom saving throw against your wizard spell save DC or be charmed by you until the end of your next turn. The charmed creature's speed drops to 0, and the creature is incapacitated and visibly dazed.
On subsequent turns, you can use your action to maintain this effect, extending its duration until the end of your next turn. However, the effect ends if you move more than 5 feet away from the creature, if the creature can neither see nor hear you, or if the creature takes damage.
Once the effect ends, or if the creature succeeds on its initial saving throw against this effect, you can't use this feature on that creature again until you finish a long rest.</t>
  </si>
  <si>
    <t>Evocation Savant</t>
  </si>
  <si>
    <t>Beginning when you select this school at 2nd level, the gold and time you must spend to copy a Evocation spell into your spellbook is halved.</t>
  </si>
  <si>
    <t>Scultp Spells</t>
  </si>
  <si>
    <t>Beginning at 2nd level, you can create pockets of relative safety within the effects of your evocation spells. When you cast an evocation spell that affects other creatures that you can see, you can choose a number of them equal to 1 + the spell's level. The chosen creatures automatically succeed on their saving throws against the spell, and they take no damage if they would normally take half damage on a successful save.</t>
  </si>
  <si>
    <t>Illusion Savant</t>
  </si>
  <si>
    <t>Beginning when you select this school at 2nd level, the gold and time you must spend to copy a Illusion spell into your spellbook is halved.</t>
  </si>
  <si>
    <t>Improved Minor Illusion</t>
  </si>
  <si>
    <t>When you choose this school at 2nd level, you learn the Minor Illusion cantrip. If you already know this cantrip, you learn a different wizard cantrip of your choice. The cantrip doesn't count against your number of cantrips known.
When you cast Minor Illusion, you can create both a sound and an image with a single casting of the spell.</t>
  </si>
  <si>
    <t>Tools of the Inventor</t>
  </si>
  <si>
    <t>At 2nd level, you gain proficiency with two tools of your choice.</t>
  </si>
  <si>
    <t>Arcanomechanical Armor</t>
  </si>
  <si>
    <t>Innovation is a dangerous practice, at least as far as members of this school practice it. As a shield against this risk, you have developed a suit of arcane armor.
Starting at 2nd level, you gain proficiency with light armor and gain a suit of arcanomechanical armor—a magic item that only you can attune to. While you are attuned to it and wearing it, it grants you resistance to force damage.
The armor is light armor and provides an AC of 12 + your Dexterity modifier. It weighs 8 pounds.
You can create a new suit of it at the end of a long rest by touching a nonmagical suit of studded leather armor, which magically transforms it. Doing so removes the magic from your previous arcanomechanical armor, turning it into nonmagical studded leather.</t>
  </si>
  <si>
    <t>Reckless Casting</t>
  </si>
  <si>
    <t>Starting at 2nd level, you can attempt to cast a spell you don’t have prepared. When you use this ability, you use your action and choose one of the following options:
• Roll on the Reckless Casting table for cantrips and cast the resulting spell as part of this action.
• Expend a spell slot and roll twice on the Reckless Casting table for its level, or the 5th-level table if the slot is 6th level or higher. Pick which of the two results you want to use and cast the resulting spell as part of this action.
If the spell you cast isn’t a wizard spell, it is nonetheless a wizard spell for you when you cast it with this feature.</t>
  </si>
  <si>
    <t>Starting at 2nd level, you become a compendium of knowledge on a vast array of topics. Your proficiency bonus is doubled for any ability check you make that uses the Arcana, History, Nature, or Religion skill if you are proficient in that skill.
In addition, your analytical abilities are so well-honed that your initiative in combat can be driven by mental agility, rather than physical agility. When you roll initiative, it is either an Intelligence check or a Dexterity check for you (your choice).</t>
  </si>
  <si>
    <t>Spell Secrets</t>
  </si>
  <si>
    <t>At 2nd level, you master the first in a series of arcane secrets uncovered by your extensive studies.
When you cast a spell with a spell slot and the spell deals acid, cold, fire, force, lightning, necrotic, radiant, or thunder damage, you can substitute that damage type with one other type from that list (you can change only one damage type per casting of a spell). You replace one energy type for another by altering the spell’s formula as you cast it.
When you cast a spell with a spell slot and the spell requires a saving throw, you can change the saving throw from one ability score to another of your choice. Once you change a saving throw in this way, you can’t do so again until you finish a short or long rest.</t>
  </si>
  <si>
    <t>Altering Spells</t>
  </si>
  <si>
    <t>While the Spell Secrets feature offers increased versatility, at the table its effects can be difficult to spot by the other players. If you’re playing a savant, take a moment to describe how you alter your spells. Think of a signature change your character is particularly proud of. Be inventive, and make the game more fun for everyone by playing up the sudden, unexpected tricks you character can employ. For example, a Fireball transformed to require a Strength save might become a sphere of burning rock that shatters and slams into its target. A Charm Person that requires a Constitution save might take the form of a vaporous narcotic that alters the target’s mood.</t>
  </si>
  <si>
    <t>Necromancy Savant</t>
  </si>
  <si>
    <t>Beginning when you select this school at 2nd level, the gold and time you must spend to copy a Necromancy spell into your spellbook is halved.</t>
  </si>
  <si>
    <t>Grim Harvest</t>
  </si>
  <si>
    <t>At 2nd level, you gain the ability to reap life energy from creatures you kill with your spells. Once per turn when you kill one or more creatures with a spell of 1st level or higher, you regain hit points equal to twice the spell's level, or three times its level if the spell belongs to the School of Necromancy. You don't gain this benefit for killing constructs or undead.</t>
  </si>
  <si>
    <t>Divine Inspiration</t>
  </si>
  <si>
    <t>When you choose this tradition at 2nd level, choose a cleric domain from your chosen deity’s list of eligible domains. The Knowledge and Light domains are especially appropriate choices for a theurgist.</t>
  </si>
  <si>
    <t>Beginning when you select this tradition at 2nd level, whenever you gain a wizard level, you can replace one of the wizard spells you add to your spellbook with a cleric domain spell for your chosen domain. The spell must be of a level for which you have spell slots.
If you add all of your domain spells to your spellbook, you can subsequently add any spell from the cleric spell list instead. The spell must still be of a level for which you have spell slots.
Any cleric spell you gain from this feature is considered a wizard spell for you, but other wizards can’t copy cleric spells from your spellbook into their own spellbooks.</t>
  </si>
  <si>
    <t>Channel Arcana</t>
  </si>
  <si>
    <t>At 2nd level, you gain the ability to channel arcane energy directly from your deity, using that energy to fuel magical effects. You start with two such effects: Divine Arcana and the Channel Divinity option granted at 2nd level by your chosen domain. You employ that Channel Divinity option by using your Channel Arcana ability.
When you use your Channel Arcana, you choose which effect to create. You must then finish a short or long rest to use your Channel Arcana again.
Some Channel Arcana effects require saving throws. When you use such an effect, the save DC equals your wizard spell save DC.
Beginning at 6th level, you can use your Channel Arcana twice between rests, and beginning at 18th level, you can use it three times between rests. When you finish a short or long rest, you regain your expended uses.
If you gain additional Channel Divinity options from your domain, you can employ them by using your Channel Arcana feature.</t>
  </si>
  <si>
    <t>Channel Arcana: Divine Arcana</t>
  </si>
  <si>
    <t>As a bonus action, you speak a prayer to control the flow of magic around you. The next spell you cast gains a +2 bonus to any attack roll you make for it or to its saving throw DC, as appropriate.</t>
  </si>
  <si>
    <t>Transmutation Savant</t>
  </si>
  <si>
    <t>Beginning when you select this school at 2nd level, the gold and time you must spend to copy a Transmutation spell into your spellbook is halved.</t>
  </si>
  <si>
    <t>Minor Alchemy</t>
  </si>
  <si>
    <t>Starting at 2nd level when you select this school, you can temporarily alter the physical properties of one nonmagical object, changing it from one substance into another. You perform a special alchemical procedure on one object composed entirely of wood, stone (but not a gemstone), iron, copper, or silver, transforming it into a different one of those materials. For each 10 minutes you spend performing the procedure, you can transform up to 1 cubic foot of material. After 1 hour, or until you lose your concentration (as if you were concentrating on a spell), the material reverts to its original substance.</t>
  </si>
  <si>
    <t>Arcane Deflection</t>
  </si>
  <si>
    <t>At 2nd level, you have learned to weave your magic to fortify yourself against harm. When you are hit by an attack or you fail a saving throw, you can use your reaction to gain a +2 bonus to your AC against that attack or a +4 bonus to that saving throw.
When you use this feature, you can’t cast spells other than cantrips until the end of your next turn.</t>
  </si>
  <si>
    <t>Tactical Wit</t>
  </si>
  <si>
    <t>Starting at 2nd level, your keen ability to assess tactical situations allows you to act quickly in battle. You can give yourself a bonus to your initiative rolls equal to your Intelligence modifier.</t>
  </si>
  <si>
    <t>Cantrip Formulas</t>
  </si>
  <si>
    <t>At 3rd level, you have scribed a set of arcane formulas in your spellbook that you can use to formulate a cantrip in your mind. 
Whenever you finish a long rest and consult those formulas in your spellbook, you can replace one wizard cantrip you know with another cantrip from the wizard spell list.</t>
  </si>
  <si>
    <t>Projected Ward</t>
  </si>
  <si>
    <t>Starting at 6th level, when a creature that you can see within 30 feet of you takes damage, you can use your reaction to cause your Arcane Ward to absorb that damage. If this damage reduces the ward to 0 hit points, the warded creature takes any remaining damage.</t>
  </si>
  <si>
    <t>Benign Transportation</t>
  </si>
  <si>
    <t>Starting at 6th level, you can use your action to teleport up to 30 feet to an unoccupied space that you can see. Alternatively, you can choose a space within range that is occupied by a Small or Medium creature. If that creature is willing, you both teleport, swapping places.
Once you use this feature, you can't use it again until you finish a long rest or you cast a conjuration spell of 1st level or higher.</t>
  </si>
  <si>
    <t>Expert Divination</t>
  </si>
  <si>
    <t>Beginning at 6th level, casting divination spells comes so easily to you that it expends only a fraction of your spellcasting efforts. When you cast a divination spell of 2nd level or higher using a spell slot, you regain one expended spell slot. The slot you regain must be of a level lower than the spell you cast and can't be higher than 5th level.</t>
  </si>
  <si>
    <t>Instinctive Charm</t>
  </si>
  <si>
    <t>Beginning at 6th level, when a creature you can see within 30 feet of you makes an attack roll against you, you can use your reaction to divert the attack, provided that another creature is within the attack's range. The attacker must make a Wisdom saving throw against your wizard spell save DC. On a failed save, the attacker must target the creature that is closest to it, not including you or itself. If multiple creatures are closest, the attacker chooses which one to target.
On a successful save, you can't use this feature on the attacker again until you finish a long rest.
You must choose to use this feature before knowing whether the attack hits or misses. Creatures that can't be charmed are immune to this effect.</t>
  </si>
  <si>
    <t>Potent Cantrip</t>
  </si>
  <si>
    <t>Starting at 6th level, your damaging cantrips affect even creatures that avoid the brunt of the effect. When a creature succeeds on a saving throw against your cantrip, the creature takes half the cantrip's damage (if any) but suffers no additional effect from the cantrip.</t>
  </si>
  <si>
    <t>Malleable Illusions</t>
  </si>
  <si>
    <t>Starting at 6th level, when you cast an illusion spell that has a duration of 1 minute or longer, you can use your action to change the nature of that illusion (using the spell's normal parameters for the illusion), provided that you can see the illusion.</t>
  </si>
  <si>
    <t>Alchemical Casting</t>
  </si>
  <si>
    <t>At 6th level, you learn to channel magic through your arcanomechanical armor to augment spells in a variety of ways. When you cast a spell while wearing that armor and attuned to it, you can expend one additional spell slot of 1st or 2nd level to alter the spell. The effect depends on the spell slot you expend.
A 1st-level slot allows you to manipulate the spell’s energy. When you cast a spell that deals acid, cold, fire, lightning, or thunder damage, you can substitute that damage type for another one from that list.
A 2nd-level slot increases the spell’s raw force. If you roll damage for the spell when you cast it, increase that damage by 2d10 force damage against one of the spell’s targets (your choice) this turn.</t>
  </si>
  <si>
    <t>Undead Thralls</t>
  </si>
  <si>
    <t>At 6th level, you add the Animate Dead spell to your spellbook if it is not there already. When you cast Animate Dead, you can target one additional corpse or pile of bones, creating another zombie or skeleton, as appropriate.
Whenever you create an undead using a necromancy spell, it has additional benefits:
• The creature's hit point maximum is increased by an amount equal to your wizard level.
• The creature adds your proficiency bonus to its weapon damage rolls.</t>
  </si>
  <si>
    <t>Arcane Acolyte</t>
  </si>
  <si>
    <t>At 6th level, you gain your chosen domain’s 1st-level benefits. However, you do not gain any weapon or armor proficiencies from the domain.</t>
  </si>
  <si>
    <t>Transmuter's Stone</t>
  </si>
  <si>
    <t>Starting at 6th level, you can spend 8 hours creating a transmuter's stone that stores transmutation magic. You can benefit from the stone yourself or give it to another creature. A creature gains a benefit of your choice as long as the stone is in the creature's possession. When you create the stone, choose the benefit from the following options:
• Darkvision out to a range of 60 feet
• An increase to speed of 10 feet while the creature is unencumbered
• Proficiency in Constitution saving throws
• Resistance to acid, cold, fire, lightning, or thunder damage (your choice whenever you choose this benefit)
Each time you cast a transmutation spell of 1st level or higher, you can change the effect of your stone if the stone is on your person.
If you create a new transmuter's stone, the previous one ceases to function.</t>
  </si>
  <si>
    <t>Power Surge</t>
  </si>
  <si>
    <t>Starting at 6th level, you can store magical energy within yourself to later empower your damaging spells.
You can store a maximum number of power surges equal to your Intelligence modifier (minimum of one). Whenever you finish a long rest, your number of power surges resets to one. Whenever you successfully end a spell with Dispel Magic or Counterspell, you gain one power surge, as you steal magic from the spell you foiled. If you end a short rest with no power surges, you gain one power surge.
Once per turn when you deal damage to a creature or object with a wizard spell, you can spend one power surge to deal extra force damage to that target. The extra damage equals half your wizard level.</t>
  </si>
  <si>
    <t>At 6th level, you learn to augment spells in a variety of ways. When you cast a spell with a spell slot, you can expend one additional spell slot to augment its effects for this casting, mixing the raw stuff of magic into your spell to amplify it. The effect depends on the spell slot you expend.
An additional 1st-level spell slot can increase the spell’s raw force. If you roll damage for the spell when you cast it, increase the damage against every target by 2d10 force damage. If the spell can deal damage on more than one turn, it deals this extra force damage only on the turn you cast the spell.
An additional 2nd-level spell slot can increase the spell’s range. If the spell’s range is at least 30 feet, it becomes 1 mile.
An additional 3rd-level spell slot can increase the spell’s potency. Increase the spell’s save DC by 2.</t>
  </si>
  <si>
    <t>Improved Abjuration</t>
  </si>
  <si>
    <t>Beginning at 10th level, when you cast an abjuration spell that requires you to make an ability check as a part of casting that spell (as in Counterspell and Dispel Magic), you add your proficiency bonus to that ability check.</t>
  </si>
  <si>
    <t>Focused Conjuration</t>
  </si>
  <si>
    <t>Beginning at 10th level, while you are concentrating on a conjuration spell, your concentration can't be broken as a result of taking damage.</t>
  </si>
  <si>
    <t>The Third Eye</t>
  </si>
  <si>
    <t>Starting at 10th level, you can use your action to increase your powers of perception. When you do so, choose one of the following benefits, which lasts until you are incapacitated or you take a short or long rest. You can't use the feature again until you finish a short or long rest.
Darkvision. You gain darkvision out to a range of 60 feet.
Ethereal Sight. You can see into the Ethereal Plane within 60 feet of you.
Greater Comprehension. You can read any language.
See Invisibility. You can see invisible creatures and objects within 10 feet of you that are within line of sight.</t>
  </si>
  <si>
    <t>Song of Defense</t>
  </si>
  <si>
    <t>Beginning at 10th level, you can direct your magic to absorb damage while your Bladesong is active. When you take damage, you can use your reaction to expend one spell slot and reduce that damage to you by an amount equal to five times the spell slot's level.</t>
  </si>
  <si>
    <t>Split Enchantment</t>
  </si>
  <si>
    <t>Starting at 10th level, when you cast an enchantment spell of 1st level or higher that targets only one creature, you can have it target a second creature.</t>
  </si>
  <si>
    <t>Empowered Evocation</t>
  </si>
  <si>
    <t>Beginning at 10th level, you can add your Intelligence modifier (minimum of +1) to the damage roll of any wizard evocation spell that you cast. The damage bonus applies to one damage roll of a spell, not multiple rolls.</t>
  </si>
  <si>
    <t>Prodigious Inspiration</t>
  </si>
  <si>
    <t>At 10th level, you have attained a greater mastery of spell preparation. As a bonus action, you can replace one spell you have prepared with another spell from your spellbook. You can’t use this ability again until you finish a short or long rest.</t>
  </si>
  <si>
    <t>Illusory Self</t>
  </si>
  <si>
    <t>Beginning at 10th level, you can create an illusory duplicate of yourself as an instant, almost instinctual reaction to danger. When a creature makes an attack roll against you, you can use your reaction to interpose the illusory duplicate between the attacker and yourself. The attack automatically misses you, then the illusion dissipates.
Once you use this feature, you can't use it again until you finish a short or long rest.</t>
  </si>
  <si>
    <t>Prodigious Memory</t>
  </si>
  <si>
    <t>At 10th level, you have attained a greater mastery of spell preparation. As a bonus action, you can replace one spell you have prepared with another spell from your spellbook. You can’t use this feature again until you finish a short or long rest.</t>
  </si>
  <si>
    <t>Inured to Undeath</t>
  </si>
  <si>
    <t>Beginning at 10th level, you have resistance to necrotic damage, and your hit point maximum can't be reduced. You have spent so much time dealing with undead and the forces that animate them that you have become inured to some of their worst effects.</t>
  </si>
  <si>
    <t>Arcane Priest</t>
  </si>
  <si>
    <t>At 10th level, you gain your chosen domain’s 6th-level benefits. Your faith and your understanding of magic allow you to delve into your god’s secrets.</t>
  </si>
  <si>
    <t>Shapechanger</t>
  </si>
  <si>
    <t>At 10th level, you add the Polymorph spell to your spellbook, if it is not there already. You can cast Polymorph without expending a spell slot. When you do so, you can target only yourself and transform into a beast whose challenge rating is 1 or lower.
Once you cast Polymorph in this way, you can't do so again until you finish a short or long rest, though you can still cast it normally using an available spell slot.</t>
  </si>
  <si>
    <t>Durable Magic</t>
  </si>
  <si>
    <t>Beginning at 10th level, the magic you channel helps ward off harm. While you maintain concentration on a spell, you have a +2 bonus to AC and all saving throws.</t>
  </si>
  <si>
    <t>Greater Portent</t>
  </si>
  <si>
    <t>Starting at 14th level, the visions in your dreams intensify and paint a more accurate picture in your mind of what is to come. You roll three d20s for your Portent feature, rather than two.</t>
  </si>
  <si>
    <t>Durable Summons</t>
  </si>
  <si>
    <t>Starting at 14th level, any creature that you summon or create with a conjuration spell has 30 temporary hit points.</t>
  </si>
  <si>
    <t>Spell Resistance</t>
  </si>
  <si>
    <t>Starting at 14th level, you have advantage on saving throws against spells.
Furthermore, you have resistance against the damage of spells.</t>
  </si>
  <si>
    <t>Song of Victory</t>
  </si>
  <si>
    <t>Starting at 14th level, you add your Intelligence modifier (minimum of +1) to the damage of your melee weapon attacks while your Bladesong is active.</t>
  </si>
  <si>
    <t>Alter Memories</t>
  </si>
  <si>
    <t>At 14th level, you gain the ability to make a creature unaware of your magical influence on it. When you cast an enchantment spell to charm one or more creatures, you can alter one creature's understanding so that it remains unaware of being charmed.
Additionally, once before the spell expires, you can use your action to try to make the chosen creature forget some of the time it spent charmed. The creature must succeed on an Intelligence saving throw against your wizard spell save DC or lose a number of hours of its memories equal to 1 + your Charisma modifier (minimum 1). You can make the creature forget less time, and the amount of time can't exceed the duration of your enchantment spell.</t>
  </si>
  <si>
    <t>Overchannel</t>
  </si>
  <si>
    <t>Starting at 14th level, you can increase the power of your simpler spells. When you cast a wizard spell of 5th level or lower that deals damage and isn't a cantrip, you can deal maximum damage with that spell.
The first time you do so, you suffer no adverse effect. If you use this feature again before you finish a long rest, you take 2d12 necrotic damage for each level of the spell, immediately after you cast it. Each time you use this feature again before finishing a long rest, the necrotic damage per spell level increases by 1d12. This damage ignores resistance and immunity.</t>
  </si>
  <si>
    <t>Illusory Reality</t>
  </si>
  <si>
    <t>By 14th level, you have learned the secret of weaving shadow magic into your illusions to give them a semi-reality. When you cast an illusion spell of 1st level or higher, you can choose one inanimate, nonmagical object that is part of the illusion and make that object real. You can do this on your turn as a bonus action while the spell is ongoing. The object remains real for 1 minute. For example, you can create an illusion of a bridge over a chasm and then make it real long enough for your allies to cross.
The object can't deal damage or otherwise directly harm anyone.</t>
  </si>
  <si>
    <t>At 14th level, your ability to improvise magic grows stronger. Whenever you roll on a Reckless Casting table for a spell other than a cantrip, you can roll on the table that is one level higher than the expended spell slot.</t>
  </si>
  <si>
    <t>Master of Magic</t>
  </si>
  <si>
    <t>At 14th level, your knowledge of magic allows you to duplicate almost any spell. As a bonus action, you can call to mind the ability to cast one spell of your choice from any class’s spell list. The spell must be of a level for which you have spell slots, you mustn’t have it prepared, and you follow the normal rules for casting it, including expending a spell slot. If the spell isn’t a wizard spell, it counts as a wizard spell when you cast it. The ability to cast the spell vanishes from your mind when you cast it or when the current turn ends.
You can’t use this feature again until you finish a long rest.</t>
  </si>
  <si>
    <t>Command Undead</t>
  </si>
  <si>
    <t>Starting at 14th level, you can use magic to bring undead under your control, even those created by other wizards. As an action, you can choose one undead that you can see within 60 feet of you. That creature must make a Charisma saving throw against your wizard spell save DC. If it succeeds, you can't use this feature on it again. If it fails, it becomes friendly to you and obeys your commands until you use this feature again.
Intelligent undead are harder to control in this way. If the target has an Intelligence of 8 or higher, it has advantage on the saving throw. If it fails the saving throw and has an Intelligence of 12 or higher, it can repeat the saving throw at the end of every hour until it succeeds and breaks free.</t>
  </si>
  <si>
    <t>Arcane High Priest</t>
  </si>
  <si>
    <t>At 14th level, you gain your chosen domain’s 17th-level benefits. Your academic nature and understanding of magic and doctrine allow you to master this ability sooner than a cleric of your domain.</t>
  </si>
  <si>
    <t>Master Transmuter</t>
  </si>
  <si>
    <t>Starting at 14th level, you can use your action to consume the reserve of transmutation magic stored within your transmuter's stone in a single burst. When you do so, choose one of the following effects. Your transmuter's stone is destroyed and can't be remade until you finish a long rest.
Major Transformation. You can transmute one nonmagical object – no larger than a 5-foot cube – into another nonmagical object of similar size and mass and of equal or lesser value. You must spend 10 minutes handling the object to transform it.
Panacea. You remove all curses, diseases, and poisons affecting a creature that you touch with the transmuter's stone. The creature also regains all its hit points.
Restore Life. You cast the Raise Dead spell on a creature you touch with the transmuter's stone, without expending a spell slot or needing to have the spell in your spellbook.
Restore Youth. You touch the transmuter's stone to a willing creature, and that creature's apparent age is reduced by 3d10 years, to a minimum of 13 years. This effect doesn't extend the creature's lifespan.</t>
  </si>
  <si>
    <t>Deflecting Shroud</t>
  </si>
  <si>
    <t>At 14th level, your Arcane Deflection becomes infused with deadly magic. When you use your Arcane Deflection feature, you can cause magical energy to arc from you. Up to three creatures of your choice within 60 feet of you each take force damage equal to half your wizard level.</t>
  </si>
  <si>
    <t>Spell Mastery</t>
  </si>
  <si>
    <t>At 18th level, you have achieved such mastery over certain spells that you can cast them at will. Choose a 1st-level wizard spell and a 2nd-level wizard spell that are in your spellbook.
You can cast those spells at their lowest level without expending a spell slot when you have them prepared. If you want to cast either spell at a higher level, you must expend a spell slot as normal.
By spending 8 hours in study, you can exchange one or both of the spells you chose for different spells of the same levels.</t>
  </si>
  <si>
    <t>Signature Spells</t>
  </si>
  <si>
    <t>When you reach 20th level, you gain mastery over two powerful spells and can cast them with little effort. Choose two 3rd-level wizard spells in your spellbook as your signature spells. You always have these spells prepared, they don't count against the number of spells you have prepared, and you can cast each of them once at 3rd level without expending a spell slot. When you do so, you can't do so again until you finish a short or long rest.
If you want to cast either spell at a higher level, you must expend a spell slot as normal.</t>
  </si>
  <si>
    <t>The Artificer</t>
  </si>
  <si>
    <t>Spell Slots per Spell Level</t>
  </si>
  <si>
    <t>Cantrip</t>
  </si>
  <si>
    <t>Level</t>
  </si>
  <si>
    <t>Proficiency Bonus</t>
  </si>
  <si>
    <t>Features</t>
  </si>
  <si>
    <t>Infusions Known</t>
  </si>
  <si>
    <t>Infused Items</t>
  </si>
  <si>
    <t>Cantrips Known</t>
  </si>
  <si>
    <t>1st</t>
  </si>
  <si>
    <t>2nd</t>
  </si>
  <si>
    <t>3rd</t>
  </si>
  <si>
    <t>4th</t>
  </si>
  <si>
    <t>5th</t>
  </si>
  <si>
    <t>Acid Splash</t>
  </si>
  <si>
    <t>Magical Tinkering, Spellcasting</t>
  </si>
  <si>
    <t>-</t>
  </si>
  <si>
    <t>Chill Touch</t>
  </si>
  <si>
    <t>Fire Bolt</t>
  </si>
  <si>
    <t>Artificer Specialist, The Right Tool for the Job</t>
  </si>
  <si>
    <t>Poison Spray</t>
  </si>
  <si>
    <t>Artificer Specialist Feature</t>
  </si>
  <si>
    <t>Ray of Frost</t>
  </si>
  <si>
    <t>6th</t>
  </si>
  <si>
    <t>Shocking Grasp</t>
  </si>
  <si>
    <t>7th</t>
  </si>
  <si>
    <t>Sacred Flame</t>
  </si>
  <si>
    <t>8th</t>
  </si>
  <si>
    <t>Thorn Whip</t>
  </si>
  <si>
    <t>9th</t>
  </si>
  <si>
    <t>Roll twice and cast each cantrip, but if you roll another 10 on either die, you cast nothing, wasting your action.</t>
  </si>
  <si>
    <t>10th</t>
  </si>
  <si>
    <t>Magic Item Adept</t>
  </si>
  <si>
    <t>1st-Level Spell</t>
  </si>
  <si>
    <t>11th</t>
  </si>
  <si>
    <t>Burning Hands</t>
  </si>
  <si>
    <t>12th</t>
  </si>
  <si>
    <t>Chromatic Orb</t>
  </si>
  <si>
    <t>13th</t>
  </si>
  <si>
    <t>Color Spray</t>
  </si>
  <si>
    <t>14th</t>
  </si>
  <si>
    <t>Faerie Fire</t>
  </si>
  <si>
    <t>15th</t>
  </si>
  <si>
    <t>False Life</t>
  </si>
  <si>
    <t>16th</t>
  </si>
  <si>
    <t>Fog Cloud</t>
  </si>
  <si>
    <t>17th</t>
  </si>
  <si>
    <t>Jump</t>
  </si>
  <si>
    <t>18th</t>
  </si>
  <si>
    <t>Magic Missile</t>
  </si>
  <si>
    <t>19th</t>
  </si>
  <si>
    <t>Thunderwave</t>
  </si>
  <si>
    <t>20th</t>
  </si>
  <si>
    <t>Roll twice and cast each spell, but if you roll another 10 on either die, you cast nothing, wasting your action.</t>
  </si>
  <si>
    <t>2nd-Level Spell</t>
  </si>
  <si>
    <t>Blur</t>
  </si>
  <si>
    <t>The Barbarian</t>
  </si>
  <si>
    <t>Darkness</t>
  </si>
  <si>
    <t>Rages</t>
  </si>
  <si>
    <t>Rage Damage</t>
  </si>
  <si>
    <t>Enlarge/Reduce</t>
  </si>
  <si>
    <t>Rage, Unarmored Defense</t>
  </si>
  <si>
    <t>Gust of Wind</t>
  </si>
  <si>
    <t>Reckless Attack, Danger Sense</t>
  </si>
  <si>
    <t>Invisibility</t>
  </si>
  <si>
    <t>Primal Path</t>
  </si>
  <si>
    <t>Levitate</t>
  </si>
  <si>
    <t>Melf's Acid Arrow</t>
  </si>
  <si>
    <t>Extra Attack, Fast Movement</t>
  </si>
  <si>
    <t>Scorching Ray</t>
  </si>
  <si>
    <t>Path feature</t>
  </si>
  <si>
    <t>Shatter</t>
  </si>
  <si>
    <t>3rd-Level Spell</t>
  </si>
  <si>
    <t>Brutal Critical (1 die)</t>
  </si>
  <si>
    <t>Blink</t>
  </si>
  <si>
    <t>Fear</t>
  </si>
  <si>
    <t>Feign Death</t>
  </si>
  <si>
    <t>Fireball</t>
  </si>
  <si>
    <t>Brutal Critical (2 dice)</t>
  </si>
  <si>
    <t>Fly</t>
  </si>
  <si>
    <t>Gaseous Form</t>
  </si>
  <si>
    <t>Lightning Bolt</t>
  </si>
  <si>
    <t>Sleet Storm</t>
  </si>
  <si>
    <t>Brutal Critical (3 dice)</t>
  </si>
  <si>
    <t>Stinking Cloud</t>
  </si>
  <si>
    <t>4th-Level Spell</t>
  </si>
  <si>
    <t>Unlimited</t>
  </si>
  <si>
    <t>Blight</t>
  </si>
  <si>
    <t>Confusion</t>
  </si>
  <si>
    <t>The Cleric</t>
  </si>
  <si>
    <t>Evard's Black Tentacles</t>
  </si>
  <si>
    <t>Fire Shield</t>
  </si>
  <si>
    <t>Spellcasting, Divine Domain</t>
  </si>
  <si>
    <t>Greater Invisibility</t>
  </si>
  <si>
    <t>Channel Divinity (x1), Divine Domain feature</t>
  </si>
  <si>
    <t>Ice Storm</t>
  </si>
  <si>
    <t>Phantasmal Killer</t>
  </si>
  <si>
    <t>Stoneskin</t>
  </si>
  <si>
    <t>Destroy Undead (CR 1/2)</t>
  </si>
  <si>
    <t>Wall of Fire</t>
  </si>
  <si>
    <t>Channel Divinity (x2), Divine Domain feature</t>
  </si>
  <si>
    <t>5th-Level Spell</t>
  </si>
  <si>
    <t>Ability Score Improvement, Destroy Undead (CR 1), Divine Domain feature</t>
  </si>
  <si>
    <t>Cloudkill</t>
  </si>
  <si>
    <t>Cone of Cold</t>
  </si>
  <si>
    <t>Destructive Wave</t>
  </si>
  <si>
    <t>Destroy Undead (CR 2)</t>
  </si>
  <si>
    <t>Flame Strike</t>
  </si>
  <si>
    <t>Hold Monster</t>
  </si>
  <si>
    <t>Insect Plague</t>
  </si>
  <si>
    <t>Destroy Undead (CR 3)</t>
  </si>
  <si>
    <t>Mass Cure Wounds</t>
  </si>
  <si>
    <t>Wall of Force</t>
  </si>
  <si>
    <t>Wall of Stone</t>
  </si>
  <si>
    <t>Destroy Undead (CR 4), Divine Domain feature</t>
  </si>
  <si>
    <t>Channel Divinity (x3)</t>
  </si>
  <si>
    <t>Divine Intervention improvement</t>
  </si>
  <si>
    <t>Artificer Level</t>
  </si>
  <si>
    <t>Healing Word, Ray of Sickness</t>
  </si>
  <si>
    <t>Flaming Sphere, Melf's Acid Arrow</t>
  </si>
  <si>
    <t>Max. CR</t>
  </si>
  <si>
    <t>Limitations</t>
  </si>
  <si>
    <t>Example</t>
  </si>
  <si>
    <t>Gaseous Form, Mass Healing Word</t>
  </si>
  <si>
    <t>No flying or swimming speed</t>
  </si>
  <si>
    <t>Wolf</t>
  </si>
  <si>
    <t>Blight, Death Ward</t>
  </si>
  <si>
    <t>No flying speed</t>
  </si>
  <si>
    <t>Crocodile</t>
  </si>
  <si>
    <t>Cloudkill, Raise Dead</t>
  </si>
  <si>
    <t>Giant eagle</t>
  </si>
  <si>
    <t>Effect</t>
  </si>
  <si>
    <t>Healing. The drinker regains a number of hit points equal to 2d4 + your Intelligence modifier.</t>
  </si>
  <si>
    <t>Swiftness. The drinker's walking speed increases by 10 feet for 1 hour.</t>
  </si>
  <si>
    <t>Resilience. The drinker gains a +1 bonus to AC for 10 minutes.</t>
  </si>
  <si>
    <t>Boldness. The drinker can roll a d4 and add the number rolled to every attack roll and saving throw they make for the next minute.</t>
  </si>
  <si>
    <t xml:space="preserve">        Flight. The drinker gains a flying speed of 10 feet for 10 minutes.</t>
  </si>
  <si>
    <t>Transformation. The drinker's body is transformed as if by the alter self spell. The drinker determines the transformation caused by the spell, the effects of which last for 10 minutes.</t>
  </si>
  <si>
    <t>Heroism, Shield</t>
  </si>
  <si>
    <t>Branding Smite, Warding Bond</t>
  </si>
  <si>
    <t>Aura of Vitality, Conjure Barrage</t>
  </si>
  <si>
    <t>Aura of Purity, Fire Shield</t>
  </si>
  <si>
    <t>Banishing Smite, Mass Cure Wounds</t>
  </si>
  <si>
    <t>The Monk</t>
  </si>
  <si>
    <t>Ki Points</t>
  </si>
  <si>
    <t>Shield, Thunderwave</t>
  </si>
  <si>
    <t>1d4</t>
  </si>
  <si>
    <t>–</t>
  </si>
  <si>
    <t>Scorching Ray, Shatter</t>
  </si>
  <si>
    <t>+10 ft.</t>
  </si>
  <si>
    <t>Fireball, Wind Wall</t>
  </si>
  <si>
    <t>Ice Storm, Wall of Fire</t>
  </si>
  <si>
    <t>Cone of Cold, Wall of Force</t>
  </si>
  <si>
    <t>1d6</t>
  </si>
  <si>
    <t>+15 ft.</t>
  </si>
  <si>
    <t>Arcane Turrets</t>
  </si>
  <si>
    <t>Turret</t>
  </si>
  <si>
    <t>Activation</t>
  </si>
  <si>
    <t>Flamethrower</t>
  </si>
  <si>
    <t xml:space="preserve">The cannon exhales fire in an adjacent 15-foot cone that you designate. Each creature in that area must make a Dexterity saving throw against your spell save DC, taking 2d8 fire damage on a failed save or half as much damage on a successful one. The fire ignites any flammable objects in the area that aren't being worn or carried.
</t>
  </si>
  <si>
    <t>Force Ballista</t>
  </si>
  <si>
    <t>Make a ranged spell attack, originating from the cannon, at one creature or object within 120 feet of it. On a hit, the target takes 2d8 force damage, and if the target is a creature, it is pushed up to 5 feet away from the cannon.</t>
  </si>
  <si>
    <t>+20 ft.</t>
  </si>
  <si>
    <t>Protector</t>
  </si>
  <si>
    <t>The turret emits a burst of positive energy that grants itself and each creature of your choice within 10 feet of it a number of temporary hit points equal to 1d8 + your Intelligence modifier (minimum of +1).</t>
  </si>
  <si>
    <t>1d8</t>
  </si>
  <si>
    <t>Cleric Level</t>
  </si>
  <si>
    <t>Spells</t>
  </si>
  <si>
    <t>+25 ft.</t>
  </si>
  <si>
    <t>Detect Magic, Magic Missile</t>
  </si>
  <si>
    <t>Magic Weapon, Nystul's Magic Aura</t>
  </si>
  <si>
    <t>Dispel Magic, Magic Circle</t>
  </si>
  <si>
    <t>1d10</t>
  </si>
  <si>
    <t>Arcane Eye, Leomund's Secret Chest</t>
  </si>
  <si>
    <t>+30 ft.</t>
  </si>
  <si>
    <t>Planar Binding, Teleportation Circle</t>
  </si>
  <si>
    <t>The Rogue</t>
  </si>
  <si>
    <t>False Life, Ray of Sickness</t>
  </si>
  <si>
    <t>Blindness/Deafness, Ray of Enfeeblement</t>
  </si>
  <si>
    <t>Expertise, Sneak Attack, Thieves' Cant</t>
  </si>
  <si>
    <t>Animate Dead, Vampiric Touch</t>
  </si>
  <si>
    <t>2d6</t>
  </si>
  <si>
    <t>Roguish Archetype</t>
  </si>
  <si>
    <t>Antilife Shell, Cloudkill</t>
  </si>
  <si>
    <t>3d6</t>
  </si>
  <si>
    <t>4d6</t>
  </si>
  <si>
    <t>Identify, Searing Smite</t>
  </si>
  <si>
    <t>Heat Metal, Magic Weapon</t>
  </si>
  <si>
    <t>5d6</t>
  </si>
  <si>
    <t>Roguish Archetype feature</t>
  </si>
  <si>
    <t>Elemental Weapon, Protection from Energy</t>
  </si>
  <si>
    <t>Fabricate, Wall of Fire</t>
  </si>
  <si>
    <t>6d6</t>
  </si>
  <si>
    <t>Animate Objects, Creation</t>
  </si>
  <si>
    <t>7d6</t>
  </si>
  <si>
    <t>8d6</t>
  </si>
  <si>
    <t>Bane, False Life</t>
  </si>
  <si>
    <t>Gentle Repose, Ray of Enfeeblement</t>
  </si>
  <si>
    <t>9d6</t>
  </si>
  <si>
    <t>Revivify, Vampiric Touch</t>
  </si>
  <si>
    <t>10d6</t>
  </si>
  <si>
    <t>Antilife Shell, Raise Dead</t>
  </si>
  <si>
    <t>Knowledge Domain Spells</t>
  </si>
  <si>
    <t>The Sorcerer</t>
  </si>
  <si>
    <t>Sorcery Points</t>
  </si>
  <si>
    <t>Command, Identify</t>
  </si>
  <si>
    <t>Spellcasting, Sorcerous Origin</t>
  </si>
  <si>
    <t>Augury, Suggestion</t>
  </si>
  <si>
    <t>Nondetection, Speak with Dead</t>
  </si>
  <si>
    <t>Arcane Eye, Confusion</t>
  </si>
  <si>
    <t>Legend Lore, Scrying</t>
  </si>
  <si>
    <t>Sorcerous Origin feature</t>
  </si>
  <si>
    <t>Life Domain Spells</t>
  </si>
  <si>
    <t>Bless, Cure Wounds</t>
  </si>
  <si>
    <t>Lesser Restoration, Spiritual Weapon</t>
  </si>
  <si>
    <t>Beacon of Hope, Revivify</t>
  </si>
  <si>
    <t>Death Ward, Guardian of Faith</t>
  </si>
  <si>
    <t>Mass Cure Wounds, Raise Dead</t>
  </si>
  <si>
    <t>Light Domain Spells</t>
  </si>
  <si>
    <t>Burning Hands, Faerie Fire</t>
  </si>
  <si>
    <t>Flaming Sphere, Scorching Ray</t>
  </si>
  <si>
    <t>Daylight, Fireball</t>
  </si>
  <si>
    <t>Guardian of Faith, Wall of Fire</t>
  </si>
  <si>
    <t>Flame Strike, Scrying</t>
  </si>
  <si>
    <t>Nature Domain Spells</t>
  </si>
  <si>
    <t>Name</t>
  </si>
  <si>
    <t>Prerequisite</t>
  </si>
  <si>
    <t>Agonizing Blast</t>
  </si>
  <si>
    <t>Eldritch Blast cantrip</t>
  </si>
  <si>
    <t>When you cast Eldritch Blast, add your Charisma modifier to the damage it deals on a hit.</t>
  </si>
  <si>
    <t>Animal Friendship, Speak with Animals</t>
  </si>
  <si>
    <t>Armor of Shadows</t>
  </si>
  <si>
    <t>You can cast Mage Armor on yourself at will, without expending a spell slot or material components.</t>
  </si>
  <si>
    <t>Barkskin, Spike Growth</t>
  </si>
  <si>
    <t>Ascendant Step</t>
  </si>
  <si>
    <t>9th Level</t>
  </si>
  <si>
    <t>You can cast Levitate on yourself at will, without expending a spell slot or material components.</t>
  </si>
  <si>
    <t>Plant Growth, Wind Wall</t>
  </si>
  <si>
    <t>Aspect of the Moon</t>
  </si>
  <si>
    <t>Pact of the Tome feature</t>
  </si>
  <si>
    <t>You no longer need to sleep and can’t be forced to sleep by any means. To gain the benefits of a long rest, you can spend all 8 hours doing light activity, such as reading your Book of Shadows and keeping watch.</t>
  </si>
  <si>
    <t>Dominate Beast, Grasping Vine</t>
  </si>
  <si>
    <t>Beast Speech</t>
  </si>
  <si>
    <t>You can cast Speak with Animals at will, without expending a spell slot.</t>
  </si>
  <si>
    <t>Insect Plague, Tree Stride</t>
  </si>
  <si>
    <t>Beguiling Influence</t>
  </si>
  <si>
    <t>You gain proficiency in the Deception and Persuasion skills.</t>
  </si>
  <si>
    <t>Bewitching Whispers</t>
  </si>
  <si>
    <t>7th Level</t>
  </si>
  <si>
    <t>You can cast Compulsion once using a warlock spell slot. You can't do so again until you finish a long rest.</t>
  </si>
  <si>
    <t>Order Domain Spells</t>
  </si>
  <si>
    <t>Book of Ancient Secrets</t>
  </si>
  <si>
    <t>You can now inscribe magical rituals in your Book of Shadows. Choose two 1st-level spells that have the ritual tag from any class's spell list; these rituals needn’t be from the same spell list. The spells appear in the book and don't count against the number of spells you know. With your Book of Shadows in hand, you can cast the chosen spells as rituals. You can't cast the spells except as rituals, unless you've learned them by some other means. You can also cast a warlock spell you know as a ritual if it has the ritual tag.
On your adventures, you can add other ritual spells to your Book of Shadows. When you find such a spell, you can add it to the book if the spell's level is equal to or less than half your warlock level (rounded up) and if you can spare the time to transcribe the spell. For each level of the spell, the transcription process takes 2 hours and costs 50 gp for the rare inks needed to inscribe it.</t>
  </si>
  <si>
    <t>Chains of Carceri</t>
  </si>
  <si>
    <t>15th Level, Pact of the Chain feature</t>
  </si>
  <si>
    <t>You can cast Hold Monster at will – targeting a celestial, fiend, or elemental – without expending a spell slot or material components. You must finish a long rest before you can use this invocation on the same creature again.</t>
  </si>
  <si>
    <t>Command, Heroism</t>
  </si>
  <si>
    <t>Cloak of Flies</t>
  </si>
  <si>
    <t>5th Level</t>
  </si>
  <si>
    <t>As a bonus action, you can surround yourself with a magical aura that looks like buzzing flies. The aura extends 5 feet from you in every direction, but not through total cover. It lasts until you're incapacitated or you dismiss it as a bonus action.
The aura grants you advantage on Charisma (Intimidation) checks but disadvantage on all other Charisma checks. Any other creature that starts its turn in the aura takes poison damage equal to your Charisma modifier (minimum of 0 damage).
Once you use this invocation, you can’t use it again until you finish a short or long rest.</t>
  </si>
  <si>
    <t>Hold Person, Zone of Truth</t>
  </si>
  <si>
    <t>Devil's Sight</t>
  </si>
  <si>
    <t>You can see normally in darkness, both magical and nonmagical, to a distance of 120 feet.</t>
  </si>
  <si>
    <t>Mass Healing Word, Slow</t>
  </si>
  <si>
    <t>Dreadful Word</t>
  </si>
  <si>
    <t>You can cast Confusion once using a warlock spell slot. You can't do so again until you finish a long rest.</t>
  </si>
  <si>
    <t>Compulsion, Locate Creature</t>
  </si>
  <si>
    <t>Eldritch Sight</t>
  </si>
  <si>
    <t>You can cast Detect Magic at will, without expending a spell slot or material components.</t>
  </si>
  <si>
    <t>Commune, Dominate Person</t>
  </si>
  <si>
    <t>Eldritch Smite</t>
  </si>
  <si>
    <t>5th Level, Pact of the Blade feature</t>
  </si>
  <si>
    <t>Once per turn when you hit a creature with your pact weapon, you can expend a warlock spell slot to deal an extra 1d8 force damage to the target, plus another 1d8 per level of the spell slot, and you can knock the target prone if it is Huge or smaller.</t>
  </si>
  <si>
    <t>Eldritch Spear</t>
  </si>
  <si>
    <t>When you cast Eldritch Blast, its range is 300 feet.</t>
  </si>
  <si>
    <t>Protection Domain Spells</t>
  </si>
  <si>
    <t>Eyes of the Rune Keeper</t>
  </si>
  <si>
    <t>You can read all writing.</t>
  </si>
  <si>
    <t>Fiendish Vigor</t>
  </si>
  <si>
    <t>You can cast False Life on yourself at will as a 1st-level spell, without expending a spell slot or material components.</t>
  </si>
  <si>
    <t>Compelled Duel, Protection from Evil and Good</t>
  </si>
  <si>
    <t>Gaze of Two Minds</t>
  </si>
  <si>
    <t>You can use your action to touch a willing humanoid and perceive through its senses until the end of your next turn. As long as the creature is on the same plane of existence as you, you can use your action on subsequent turns to maintain this connection, extending the duration until the end of your next turn. While perceiving through the other creature's senses, you benefit from any special senses possessed by that creature, and you are blinded and deafened to your own surroundings.</t>
  </si>
  <si>
    <t>Aid, Protection from Poison</t>
  </si>
  <si>
    <t>Ghostly Gaze</t>
  </si>
  <si>
    <t>As an action, you gain the ability to see through solid objects to a range of 30 feet. Within that range, you have darkvision if you don’t already have it. This special sight lasts for 1 minute or until your concentration ends (as if you were concentrating on a spell). During that time, you perceive objects as ghostly, transparent images.
Once you use this invocation, you can’t use it again until you finish a short or long rest.</t>
  </si>
  <si>
    <t>Protection from Energy, Slow</t>
  </si>
  <si>
    <t>Gift of the Depths</t>
  </si>
  <si>
    <t>You can breathe underwater, and you gain a swimming speed equal to your walking speed.
You can also cast Water Breathing without expending a spell slot. You regain the ability to do so when you finish a long rest.</t>
  </si>
  <si>
    <t>Guardian of Faith, Otiluke's Resilient Sphere</t>
  </si>
  <si>
    <t>Gift of the Ever-Living Ones</t>
  </si>
  <si>
    <t>Pact of the Chain feature</t>
  </si>
  <si>
    <t>Whenever you regain hit points while your familiar is within 100 feet of you, treat any dice rolled to determine the hit points you regain as having rolled their maximum value for you.</t>
  </si>
  <si>
    <t>Antilife Shell, Wall of Force</t>
  </si>
  <si>
    <t>Grasp of Hadar</t>
  </si>
  <si>
    <t>Once on each of your turns when you hit a creature with your Eldritch Blast, you can move that creature in a straight line 10 feet closer to yourself.</t>
  </si>
  <si>
    <t>Improved Pact Weapon</t>
  </si>
  <si>
    <t>Pact of the Blade feature</t>
  </si>
  <si>
    <t>You can use any weapon you summon with your Pact of the Blade feature as a spellcasting focus for your warlock spells.
In addition, the weapon gains a +1 bonus to its attack and damage rolls, unless it is a magic weapon that already has a bonus to those rolls.
Finally, the weapon you conjure can be a shortbow, longbow, light crossbow, or heavy crossbow.</t>
  </si>
  <si>
    <t>Tempest Domain Spells</t>
  </si>
  <si>
    <t>Lance of Lethargy</t>
  </si>
  <si>
    <t>Once on each of your turns when you hit a creature with your Eldritch Blast, you can reduce that creature’s speed by 10 feet until the end of your next turn.</t>
  </si>
  <si>
    <t>Lifedrinker</t>
  </si>
  <si>
    <t>12th Level, Pact of the Blade feature</t>
  </si>
  <si>
    <t>When you hit a creature with your pact weapon, the creature takes extra necrotic damage equal to your Charisma modifier (minimum 1).</t>
  </si>
  <si>
    <t>Fog Cloud, Thunderwave</t>
  </si>
  <si>
    <t>Maddening Hex</t>
  </si>
  <si>
    <t>5th level, Hex spell or a warlock feature that curses</t>
  </si>
  <si>
    <t>As a bonus action, you cause a psychic disturbance around the target cursed by your Hex spell or by a warlock feature of yours, such as Hexblade’s Curse and Sign of Ill Omen. When you do so, you deal psychic damage to the cursed target and each creature of your choice within 5 feet of it. The psychic damage equals your Charisma modifier (minimum of 1 damage). To use this invocation, you must be able to see the cursed target, and it must be within 30 feet of you.</t>
  </si>
  <si>
    <t>Gust of Wind, Shatter</t>
  </si>
  <si>
    <t>Mask of Many Faces</t>
  </si>
  <si>
    <t>You can cast Disguise Self at will, without expending a spell slot.</t>
  </si>
  <si>
    <t>Call Lightning, Sleet Storm</t>
  </si>
  <si>
    <t>Master of Myriad Forms</t>
  </si>
  <si>
    <t>15 Level</t>
  </si>
  <si>
    <t>You can cast Alter Self at will, without expending a spell slot.</t>
  </si>
  <si>
    <t>Control Water, Ice Storm</t>
  </si>
  <si>
    <t>Minions of Chaos</t>
  </si>
  <si>
    <t>You can cast Conjure Elemental once using a warlock spell slot. You can't do so again until you finish a long rest.</t>
  </si>
  <si>
    <t>Destructive Wave, Insect Plague</t>
  </si>
  <si>
    <t>Mire the Mind</t>
  </si>
  <si>
    <t>You can cast Slow once using a warlock spell slot. You can't do so again until you finish a long rest.</t>
  </si>
  <si>
    <t>Misty Visions</t>
  </si>
  <si>
    <t>You can cast Silent Image at will, without expending a spell slot or material components.</t>
  </si>
  <si>
    <t>Trickery Domain Spells</t>
  </si>
  <si>
    <t>One with Shadows</t>
  </si>
  <si>
    <t>When you are in an area of dim light or darkness, you can use your action to become invisible until you move or take an action or a reaction.</t>
  </si>
  <si>
    <t>Otherworldly Leap</t>
  </si>
  <si>
    <t>You can cast Jump at will, without expending a spell slot.</t>
  </si>
  <si>
    <t>Charm Person, Disguise Self</t>
  </si>
  <si>
    <t>Relentless Hex</t>
  </si>
  <si>
    <t>7th level, Hex spell or a warlock feature that curses</t>
  </si>
  <si>
    <t>Your curse creates a temporary bond between you and your target. As a bonus action, you can magically teleport up to 30 feet to an unoccupied space you can see within 5 feet of the target cursed by your Hex spell or by a warlock feature of yours, such as Hexblade’s Curse and Sign of Ill Omen. To teleport in this way, you must be able to see the cursed target.</t>
  </si>
  <si>
    <t>Mirror Image, Pass without Trace</t>
  </si>
  <si>
    <t>Repelling Blast</t>
  </si>
  <si>
    <t>When you hit a creature with Eldritch Blast, you can push the creature up to 10 feet away from you in a straight line.</t>
  </si>
  <si>
    <t>Blink, Dispel Magic</t>
  </si>
  <si>
    <t>Sculptor of Flesh</t>
  </si>
  <si>
    <t>You can cast Polymorph once using a warlock spell slot. You can't do so again until you finish a long rest.</t>
  </si>
  <si>
    <t>Dimension Door, Polymorph</t>
  </si>
  <si>
    <t>Shroud of Shadow</t>
  </si>
  <si>
    <t>You can cast Invisibility at will, without expending a spell slot.</t>
  </si>
  <si>
    <t>Dominate Person, Modify Memory</t>
  </si>
  <si>
    <t>Sign of Ill Omen</t>
  </si>
  <si>
    <t>You can cast Bestow Curse once using a warlock spell slot. You can't do so again until you finish a long rest.</t>
  </si>
  <si>
    <t>Superior Pact Weapon (UA)</t>
  </si>
  <si>
    <t>9th Level, Pact of the Blade feature</t>
  </si>
  <si>
    <t>You can use any weapon you summon with your Pact of the Blade feature as a spellcasting focus for your warlock spells.
In addition, the weapon counts as a magic weapon with a +2 bonus to its attack and damage rolls, unless it is already a magic weapon that you transformed into your pact weapon.</t>
  </si>
  <si>
    <t>War Domain Spells</t>
  </si>
  <si>
    <t>Thief of Five Fates</t>
  </si>
  <si>
    <t>You can cast Bane once using a warlock spell slot. You can't do so again until you finish a long rest.</t>
  </si>
  <si>
    <t>Thirsting Blade</t>
  </si>
  <si>
    <t>You can attack with your pact weapon twice, instead of once, whenever you take the Attack action on your turn.</t>
  </si>
  <si>
    <t>Divine Favor, Shield of Faith</t>
  </si>
  <si>
    <t>Tomb of Levistus</t>
  </si>
  <si>
    <t>As a reaction when you take damage, you can entomb yourself in ice, which melts away at the end of your next turn. You gain 10 temporary hit points per warlock level, which take as much of the triggering damage as possible. Immediately after you take the damage, you gain vulnerability to fire damage, your speed is reduced to 0, and you are incapacitated. These effects, including any remaining temporary hit points, all end when the ice melts.
Once you use this invocation, you can’t use it again until you finish a short or long rest.</t>
  </si>
  <si>
    <t>Magic Weapon, Spiritual Weapon</t>
  </si>
  <si>
    <t>Trickster's Escape</t>
  </si>
  <si>
    <t>You can cast Freedom of Movement once on yourself without expending a spell slot. You regain the ability to do so when you finish a long rest.</t>
  </si>
  <si>
    <t>Crusader's Mantle, Spirit Guardians</t>
  </si>
  <si>
    <t>Ultimate Pact Weapon (UA)</t>
  </si>
  <si>
    <t>15th Level, Pact of the Blade feature</t>
  </si>
  <si>
    <t>You can use any weapon you summon with your Pact of the Blade feature as a spellcasting focus for your warlock spells.
In addition, the weapon counts as a magic weapon with a +3 bonus to its attack and damage rolls, unless it is already a magic weapon that you transformed into your pact weapon.</t>
  </si>
  <si>
    <t>Freedom of Movement, Stoneskin</t>
  </si>
  <si>
    <t>Visions of Distant Realms</t>
  </si>
  <si>
    <t>15th Level</t>
  </si>
  <si>
    <t>You can cast Arcane Eye at will, without expending a spell slot.</t>
  </si>
  <si>
    <t>Flame Strike, Hold Monster</t>
  </si>
  <si>
    <t>Voice of the Chain Master</t>
  </si>
  <si>
    <t>You can communicate telepathically with your familiar and perceive through your familiar's senses as long as you are on the same plane of existence. Additionally, while perceiving through your familiar's senses, you can also speak through your familiar in your own voice, even if your familiar is normally incapable of speech.</t>
  </si>
  <si>
    <t>Whispers of the Grave</t>
  </si>
  <si>
    <t>You can cast Speak with Dead at will, without expending a spell slot.</t>
  </si>
  <si>
    <t>Solidarity Domain Spells</t>
  </si>
  <si>
    <t>Witch Sight</t>
  </si>
  <si>
    <t>You can see the true form of any shapechanger or creature concealed by illusion or transmutation magic while the creature is within 30 feet of you and within line of sight.</t>
  </si>
  <si>
    <t>Bless, Guiding Bolt</t>
  </si>
  <si>
    <t>Aid, Warding Bond</t>
  </si>
  <si>
    <t>Beacon of Hope, Crusader's Mantle</t>
  </si>
  <si>
    <t>Aura of Life, Guardian of Faith</t>
  </si>
  <si>
    <t>Circle of Power, Mass Cure Wounds</t>
  </si>
  <si>
    <t>Strength Domain Spells</t>
  </si>
  <si>
    <t>Enhance Ability, Protection from Poison</t>
  </si>
  <si>
    <t>Haste, Protection from Energy</t>
  </si>
  <si>
    <t>Dominate Beast, Stoneskin</t>
  </si>
  <si>
    <t>Ambition Domain Spells</t>
  </si>
  <si>
    <t>Bane, Disguise Self</t>
  </si>
  <si>
    <t>Mirror Image, Ray of Enfeeblement</t>
  </si>
  <si>
    <t>Bestow Curse, Vampiric Touch</t>
  </si>
  <si>
    <t>Death Ward, Dimension Door</t>
  </si>
  <si>
    <t>Searing Smite, Thunderous Smite</t>
  </si>
  <si>
    <t>Magic Weapon, Shatter</t>
  </si>
  <si>
    <t>Haste, Fireball</t>
  </si>
  <si>
    <t>Fire Shield (warm shield only), Freedom of Movement</t>
  </si>
  <si>
    <t>Destructive Wave, Flame Strike</t>
  </si>
  <si>
    <t>Arctic</t>
  </si>
  <si>
    <t>Druid Level</t>
  </si>
  <si>
    <t>Hold Person, Spike Growth</t>
  </si>
  <si>
    <t>Sleet Storm, Slow</t>
  </si>
  <si>
    <t>Freedom of Movement, Ice Storm</t>
  </si>
  <si>
    <t>Commune with Nature, Cone of Cold</t>
  </si>
  <si>
    <t>Coast</t>
  </si>
  <si>
    <t>Mirror Image, Misty Step</t>
  </si>
  <si>
    <t>Water Breathing, Water Walk</t>
  </si>
  <si>
    <t>Control Water, Freedom of Movement</t>
  </si>
  <si>
    <t>Conjure Elemental, Scrying</t>
  </si>
  <si>
    <t>Desert</t>
  </si>
  <si>
    <t>Blur, Silence</t>
  </si>
  <si>
    <t>Create Food and Water, Protection from Energy</t>
  </si>
  <si>
    <t>Blight, Hallucinatory Terrain</t>
  </si>
  <si>
    <t>Insect Plague, Wall of Stone</t>
  </si>
  <si>
    <t>Forest</t>
  </si>
  <si>
    <t>Barkskin, Spider Climb</t>
  </si>
  <si>
    <t>Call Lightning, Plant Growth</t>
  </si>
  <si>
    <t>Divination, Freedom of Movement</t>
  </si>
  <si>
    <t>Commune with Nature, Tree Stride</t>
  </si>
  <si>
    <t>Grassland</t>
  </si>
  <si>
    <t>Invisibility, Pass Without Trace</t>
  </si>
  <si>
    <t>Daylight, Haste</t>
  </si>
  <si>
    <t>Dream, Insect Plague</t>
  </si>
  <si>
    <t>Mountain</t>
  </si>
  <si>
    <t>Spider Climb, Spike Growth</t>
  </si>
  <si>
    <t>Lightning Bolt, Meld into Stone</t>
  </si>
  <si>
    <t>Stone Shape, Stoneskin</t>
  </si>
  <si>
    <t>Passwall, Wall of Stone</t>
  </si>
  <si>
    <t>Swamp</t>
  </si>
  <si>
    <t>Darkness, Melf's Acid Arrow</t>
  </si>
  <si>
    <t>Water Walk, Stinking Cloud</t>
  </si>
  <si>
    <t>Freedom of Movement, Locate Creature</t>
  </si>
  <si>
    <t>Insect Plague, Scrying</t>
  </si>
  <si>
    <t>Underdark</t>
  </si>
  <si>
    <t>Spider Climb, Web</t>
  </si>
  <si>
    <t>Gaseous Form, Stinking Cloud</t>
  </si>
  <si>
    <t>Greater Invisibility, Stone Shape</t>
  </si>
  <si>
    <t>Cloudkill, Insect Plague</t>
  </si>
  <si>
    <t>Circle of Spores Spells</t>
  </si>
  <si>
    <t>Blindness/Deafness, Gentle Repose</t>
  </si>
  <si>
    <t>Animate Dead, Gaseous Form</t>
  </si>
  <si>
    <t>Blight, Confusion</t>
  </si>
  <si>
    <t>Cloudkill, Contagion</t>
  </si>
  <si>
    <t>Spells and Ki Points</t>
  </si>
  <si>
    <t>Monk Levels</t>
  </si>
  <si>
    <t>Maximum Ki Points for a Spell</t>
  </si>
  <si>
    <t>5th-8th</t>
  </si>
  <si>
    <t>9th-12th</t>
  </si>
  <si>
    <t>13th-16th</t>
  </si>
  <si>
    <t>17th-20th</t>
  </si>
  <si>
    <t>Gloom Stalker Spells</t>
  </si>
  <si>
    <t>Ranger Level</t>
  </si>
  <si>
    <t>Disguise Self</t>
  </si>
  <si>
    <t>Rope Trick</t>
  </si>
  <si>
    <t>Seeming</t>
  </si>
  <si>
    <t>Horizon Walker Spells</t>
  </si>
  <si>
    <t>Protection from Evil and Good</t>
  </si>
  <si>
    <t>Misty Step</t>
  </si>
  <si>
    <t>Haste</t>
  </si>
  <si>
    <t>Banishment</t>
  </si>
  <si>
    <t>Teleportation Circle</t>
  </si>
  <si>
    <t>Monster Slayer Spells</t>
  </si>
  <si>
    <t>Zone of Truth</t>
  </si>
  <si>
    <t>Magic Circle</t>
  </si>
  <si>
    <t>Primeval Guardian Spells</t>
  </si>
  <si>
    <t>Entangle</t>
  </si>
  <si>
    <t>Enhance Ability</t>
  </si>
  <si>
    <t>Conjure Animals</t>
  </si>
  <si>
    <t>Giant Insect</t>
  </si>
  <si>
    <t>Mark of the Ordning Spells</t>
  </si>
  <si>
    <t>Giant Type</t>
  </si>
  <si>
    <t>Spells at 1st Level</t>
  </si>
  <si>
    <t>Spell at 3rd Level</t>
  </si>
  <si>
    <t>Cloud</t>
  </si>
  <si>
    <t>Fog Cloud, Minor Illusion</t>
  </si>
  <si>
    <t>Fire</t>
  </si>
  <si>
    <t>Burning Hands, Fire Bolt</t>
  </si>
  <si>
    <t>Flaming Sphere</t>
  </si>
  <si>
    <t>Frost</t>
  </si>
  <si>
    <t>Armor of Agathys, Ray of Frost</t>
  </si>
  <si>
    <t>Hold Person</t>
  </si>
  <si>
    <t>Hill</t>
  </si>
  <si>
    <t>Heroism, Shillelagh</t>
  </si>
  <si>
    <t>Stone</t>
  </si>
  <si>
    <t>Entangle, Resistance</t>
  </si>
  <si>
    <t>Spike Growth</t>
  </si>
  <si>
    <t>Storm</t>
  </si>
  <si>
    <t>Shocking Grasp, Thunderwave</t>
  </si>
  <si>
    <t>d100</t>
  </si>
  <si>
    <t>Roll on this table at the start of each of your turns for the next minute, ignoring this result on subsequent rolls.</t>
  </si>
  <si>
    <t>For the next minute, you can see any invisible creature if you have line of sight to it.</t>
  </si>
  <si>
    <t>A modron chosen and controlled by the DM appears in an unoccupied space within 5 feet of you, then disappears I minute later.</t>
  </si>
  <si>
    <t>You cast Fireball as a 3rd-level spell centered on yourself.</t>
  </si>
  <si>
    <t>You cast Magic Missile as a 5th-level spell.</t>
  </si>
  <si>
    <t>Roll a d10. Your height changes by a number of inches equal to the roll. If the roll is odd, you shrink. If the roll is even, you grow.</t>
  </si>
  <si>
    <t>13-14</t>
  </si>
  <si>
    <t>You cast Confusion centered on yourself.</t>
  </si>
  <si>
    <t>15-16</t>
  </si>
  <si>
    <t>For the next minute, you regain 5 hit points at the start of each of your turns.</t>
  </si>
  <si>
    <t>17-18</t>
  </si>
  <si>
    <t>You grow a long beard made of feathers that remains until you sneeze, at which point the feathers explode out from your face.</t>
  </si>
  <si>
    <t>19-20</t>
  </si>
  <si>
    <t>You cast Grease centered on yourself.</t>
  </si>
  <si>
    <t>21-22</t>
  </si>
  <si>
    <t>Creatures have disadvantage on saving throws against the next spell you cast in the next minute that involves a saving throw.</t>
  </si>
  <si>
    <t>23-24</t>
  </si>
  <si>
    <t>Your skin turns a vibrant shade of blue. A Remove Curse spell can end this effect.</t>
  </si>
  <si>
    <t>25-26</t>
  </si>
  <si>
    <t>An eye appears on your forehead for the next minute. During that time, you have advantage on Wisdom (Perception) checks that rely on sight.</t>
  </si>
  <si>
    <t>27-28</t>
  </si>
  <si>
    <t>For the next minute, all your spells with a casting time of 1 action have a casting time of 1 bonus action.</t>
  </si>
  <si>
    <t>29-30</t>
  </si>
  <si>
    <t>You teleport up to 60 feet to an unoccupied space of your choice that you can see.</t>
  </si>
  <si>
    <t>31-32</t>
  </si>
  <si>
    <t>You are transported to the Astral Plane until the end of your next turn, after which time you return to the space you previously occupied or the nearest unoccupied space if that space is occupied.</t>
  </si>
  <si>
    <t>33-34</t>
  </si>
  <si>
    <t>Maximize the damage of the next damaging spell you cast within the next minute.</t>
  </si>
  <si>
    <t>35-36</t>
  </si>
  <si>
    <t>Roll a d10. Your age changes by a number of years equal to the roll. If the roll is odd, you get younger (minimum 1 year old). If the roll is even, you get older.</t>
  </si>
  <si>
    <t>37-38</t>
  </si>
  <si>
    <t>1d6 flumphs controlled by the DM appear in unoccupied spaces within 60 feet of you and are frightened of you. They vanish after 1 minute.</t>
  </si>
  <si>
    <t>39-40</t>
  </si>
  <si>
    <t>You regain 2d10 hit points.</t>
  </si>
  <si>
    <t>41-42</t>
  </si>
  <si>
    <t>You turn into a potted plant until the start of your next turn. While a plant, you are incapacitated and have vulnerability to all damage. If you drop to 0 hit points, your pot breaks, and your form reverts.</t>
  </si>
  <si>
    <t>43-44</t>
  </si>
  <si>
    <t>For the next minute, you can teleport up to 20 feet as a bonus action on each of your turns.</t>
  </si>
  <si>
    <t>45-46</t>
  </si>
  <si>
    <t>You cast Levitate on yourself.</t>
  </si>
  <si>
    <t>47-48</t>
  </si>
  <si>
    <t>A unicorn controlled by the DM appears in a space within 5 feet of you, then disappears 1 minute later.</t>
  </si>
  <si>
    <t>49-50</t>
  </si>
  <si>
    <t>You can't speak for the next minute. Whenever you try, pink bubbles float out of your mouth.</t>
  </si>
  <si>
    <t>51-52</t>
  </si>
  <si>
    <t>A spectral shield hovers near you for the next minute, granting you a +2 bonus to AC and immunity to Magic Missile.</t>
  </si>
  <si>
    <t>53-54</t>
  </si>
  <si>
    <t>You are immune to being intoxicated by alcohol for the next 5d6 days.</t>
  </si>
  <si>
    <t>55-56</t>
  </si>
  <si>
    <t>Your hair falls out but grows back within 24 hours.</t>
  </si>
  <si>
    <t>57-58</t>
  </si>
  <si>
    <t>For the next minute, any flammable object you touch that isn't being worn or carried by another creature bursts into flame.</t>
  </si>
  <si>
    <t>59-60</t>
  </si>
  <si>
    <t>You regain your lowest-level expended spell slot.</t>
  </si>
  <si>
    <t>61-62</t>
  </si>
  <si>
    <t>For the next minute, you must shout when you speak.</t>
  </si>
  <si>
    <t>63-64</t>
  </si>
  <si>
    <t>You cast Fog Cloud centered on yourself.</t>
  </si>
  <si>
    <t>65-66</t>
  </si>
  <si>
    <t>Up to three creatures you choose within 30 feet of you take 4d10 lightning damage.</t>
  </si>
  <si>
    <t>67-68</t>
  </si>
  <si>
    <t>You are frightened by the nearest creature until the end of your next turn.</t>
  </si>
  <si>
    <t>69-70</t>
  </si>
  <si>
    <t>Each creature within 30 feet of you becomes invisible for the next minute. The invisibility ends on a creature when it attacks or casts a spell.</t>
  </si>
  <si>
    <t>71-72</t>
  </si>
  <si>
    <t>You gain resistance to all damage for the next minute.</t>
  </si>
  <si>
    <t>73-74</t>
  </si>
  <si>
    <t>A random creature within 60 feet of you becomes poisoned for 1d4 hours.</t>
  </si>
  <si>
    <t>75-76</t>
  </si>
  <si>
    <t>You glow with bright light in a 30-foot radius for the next minute. Any creature that ends its turn within 5 feet of you is blinded until the end of its next turn.</t>
  </si>
  <si>
    <t>77-78</t>
  </si>
  <si>
    <t>You cast Polymorph on yourself. If you fail the saving throw, you turn into a sheep for the spell's duration.</t>
  </si>
  <si>
    <t>79-80</t>
  </si>
  <si>
    <t>Illusory butterflies and flower petals flutter in the air within 10 feet of you for the next minute.</t>
  </si>
  <si>
    <t>81-82</t>
  </si>
  <si>
    <t>You can take one additional action immediately.</t>
  </si>
  <si>
    <t>83-84</t>
  </si>
  <si>
    <t>Each creature within 30 feet of you takes 1d10 necrotic damage. You regain hit points equal to the sum of the necrotic damage dealt.</t>
  </si>
  <si>
    <t>85-86</t>
  </si>
  <si>
    <t>You cast Mirror Image.</t>
  </si>
  <si>
    <t>87-88</t>
  </si>
  <si>
    <t>You cast Fly on a random creature within 60 feet of you.</t>
  </si>
  <si>
    <t>89-90</t>
  </si>
  <si>
    <t>You become invisible for the next minute. During that time, other creatures can't hear you. The invisibility ends if you attack or cast a spell.</t>
  </si>
  <si>
    <t>91-92</t>
  </si>
  <si>
    <t>If you die within the next minute, you immediately come back to life as if by the Reincarnate spell.</t>
  </si>
  <si>
    <t>93-94</t>
  </si>
  <si>
    <t>Your size increases by one size category for the next minute.</t>
  </si>
  <si>
    <t>95-96</t>
  </si>
  <si>
    <t>You and all creatures within 30 feet of you gain vulnerability to piercing damage for the next minute.</t>
  </si>
  <si>
    <t>97-98</t>
  </si>
  <si>
    <t>You are surrounded by faint, ethereal music for the next minute.</t>
  </si>
  <si>
    <t>99-00</t>
  </si>
  <si>
    <t>You regain all expended sorcery points.</t>
  </si>
  <si>
    <t>Skill_Choice</t>
  </si>
  <si>
    <t>Skills</t>
  </si>
  <si>
    <t>Weapons</t>
  </si>
  <si>
    <t>Armor</t>
  </si>
  <si>
    <t>Tools</t>
  </si>
  <si>
    <t>Savingthrows</t>
  </si>
  <si>
    <t>Arcana, History, Investigation, Medicine, Nature, Perception, Sleight of Hand</t>
  </si>
  <si>
    <t>Simple</t>
  </si>
  <si>
    <t>Light armor, medium armor, shields</t>
  </si>
  <si>
    <t>Thieves’ tools, tinker’s tools, one type of artisan’s tools of your choice</t>
  </si>
  <si>
    <t>Constitution, Intelligence</t>
  </si>
  <si>
    <t>Animal Handling, Athletics, Intimidation, Nature, Perception, and Survival</t>
  </si>
  <si>
    <t>Simple, Martial</t>
  </si>
  <si>
    <t>None</t>
  </si>
  <si>
    <t>Strength, Constitution</t>
  </si>
  <si>
    <t>Any</t>
  </si>
  <si>
    <t>Simple weapons, hand crossbows, longswords, rapiers, shortswords</t>
  </si>
  <si>
    <t>Light Armor</t>
  </si>
  <si>
    <t>Any 3 Intruments</t>
  </si>
  <si>
    <t>Dexterity, Charisma</t>
  </si>
  <si>
    <t>Background</t>
  </si>
  <si>
    <t>Source</t>
  </si>
  <si>
    <t>Feature</t>
  </si>
  <si>
    <t>Languages</t>
  </si>
  <si>
    <t>Gold</t>
  </si>
  <si>
    <t>Equipment</t>
  </si>
  <si>
    <r>
      <rPr>
        <rFont val="Calibri"/>
        <color rgb="FF1155CC"/>
        <sz val="11.0"/>
        <u/>
      </rPr>
      <t>Celebrity Adventurer's Scion</t>
    </r>
  </si>
  <si>
    <t>AI</t>
  </si>
  <si>
    <t>Perception (Wis), Performance (Cha)</t>
  </si>
  <si>
    <t>Any x2</t>
  </si>
  <si>
    <r>
      <rPr>
        <rFont val="Calibri"/>
        <color rgb="FF1155CC"/>
        <sz val="11.0"/>
        <u/>
      </rPr>
      <t>Disguise kit</t>
    </r>
  </si>
  <si>
    <t>30 gp</t>
  </si>
  <si>
    <r>
      <rPr>
        <rFont val="Calibri"/>
        <color rgb="FF1155CC"/>
        <sz val="11.0"/>
        <u/>
      </rPr>
      <t>Failed Merchant</t>
    </r>
  </si>
  <si>
    <t>Investigation (Int), Persuasion (Cha)</t>
  </si>
  <si>
    <t>Any x1</t>
  </si>
  <si>
    <r>
      <rPr>
        <rFont val="Calibri"/>
        <color rgb="FF1155CC"/>
        <sz val="11.0"/>
        <u/>
      </rPr>
      <t>Artisan's tools</t>
    </r>
    <r>
      <rPr>
        <rFont val="Calibri"/>
        <sz val="11.0"/>
      </rPr>
      <t xml:space="preserve"> x1</t>
    </r>
  </si>
  <si>
    <t>10 gp</t>
  </si>
  <si>
    <r>
      <rPr>
        <rFont val="Calibri"/>
        <color rgb="FF1155CC"/>
        <sz val="11.0"/>
        <u/>
      </rPr>
      <t>Gambler</t>
    </r>
  </si>
  <si>
    <t>Deception (Cha), Insight (Wis)</t>
  </si>
  <si>
    <t>Gaming set x1</t>
  </si>
  <si>
    <t>15 gp</t>
  </si>
  <si>
    <r>
      <rPr>
        <rFont val="Calibri"/>
        <color rgb="FF1155CC"/>
        <sz val="11.0"/>
        <u/>
      </rPr>
      <t>Plaintiff</t>
    </r>
  </si>
  <si>
    <t>Medicine (Wis), Persuasion (Cha)</t>
  </si>
  <si>
    <r>
      <rPr>
        <rFont val="Calibri"/>
        <color rgb="FF1155CC"/>
        <sz val="11.0"/>
        <u/>
      </rPr>
      <t>Artisan's tools</t>
    </r>
    <r>
      <rPr>
        <rFont val="Calibri"/>
        <sz val="11.0"/>
      </rPr>
      <t xml:space="preserve"> x1</t>
    </r>
  </si>
  <si>
    <t>20 gp</t>
  </si>
  <si>
    <r>
      <rPr>
        <rFont val="Calibri"/>
        <color rgb="FF1155CC"/>
        <sz val="11.0"/>
        <u/>
      </rPr>
      <t>Rival Intern</t>
    </r>
  </si>
  <si>
    <t>History (Int), Investigation (Int)</t>
  </si>
  <si>
    <r>
      <rPr>
        <rFont val="Calibri"/>
        <color rgb="FF1155CC"/>
        <sz val="11.0"/>
        <u/>
      </rPr>
      <t>Artisan's tools</t>
    </r>
    <r>
      <rPr>
        <rFont val="Calibri"/>
        <sz val="11.0"/>
      </rPr>
      <t xml:space="preserve"> x1</t>
    </r>
  </si>
  <si>
    <r>
      <rPr>
        <rFont val="Calibri"/>
        <color rgb="FF1155CC"/>
        <sz val="11.0"/>
        <u/>
      </rPr>
      <t>Faceless</t>
    </r>
  </si>
  <si>
    <t>BGDiA</t>
  </si>
  <si>
    <t>Deception (Cha), Intimidation (Cha)</t>
  </si>
  <si>
    <r>
      <rPr>
        <rFont val="Calibri"/>
        <color rgb="FF1155CC"/>
        <sz val="11.0"/>
        <u/>
      </rPr>
      <t>Disguise kit</t>
    </r>
  </si>
  <si>
    <r>
      <rPr>
        <rFont val="Calibri"/>
        <color rgb="FF1155CC"/>
        <sz val="11.0"/>
        <u/>
      </rPr>
      <t>Black Fist Double Agent</t>
    </r>
  </si>
  <si>
    <t>CoS (AL)</t>
  </si>
  <si>
    <r>
      <rPr>
        <rFont val="Calibri"/>
        <color rgb="FF1155CC"/>
        <sz val="11.0"/>
        <u/>
      </rPr>
      <t>Disguise kit</t>
    </r>
    <r>
      <rPr>
        <rFont val="Calibri"/>
        <sz val="11.0"/>
      </rPr>
      <t xml:space="preserve">, and choose 1: </t>
    </r>
    <r>
      <rPr>
        <rFont val="Calibri"/>
        <color rgb="FF1155CC"/>
        <sz val="11.0"/>
        <u/>
      </rPr>
      <t>artisan's tools</t>
    </r>
    <r>
      <rPr>
        <rFont val="Calibri"/>
        <sz val="11.0"/>
      </rPr>
      <t xml:space="preserve"> x1, gaming set x1</t>
    </r>
  </si>
  <si>
    <r>
      <rPr>
        <rFont val="Calibri"/>
        <color rgb="FF1155CC"/>
        <sz val="11.0"/>
        <u/>
      </rPr>
      <t>Dragon Casualty</t>
    </r>
  </si>
  <si>
    <t>Intimidation (Cha), Survival (Wis)</t>
  </si>
  <si>
    <t>Draconic</t>
  </si>
  <si>
    <t>Special (see page)</t>
  </si>
  <si>
    <t>5 gp</t>
  </si>
  <si>
    <r>
      <rPr>
        <rFont val="Calibri"/>
        <color rgb="FF1155CC"/>
        <sz val="11.0"/>
        <u/>
      </rPr>
      <t>Iron Route Bandit</t>
    </r>
  </si>
  <si>
    <t>Animal Handling (Wis), Stealth (Dex)</t>
  </si>
  <si>
    <t>Gaming set x1, vehicles (land)</t>
  </si>
  <si>
    <r>
      <rPr>
        <rFont val="Calibri"/>
        <color rgb="FF1155CC"/>
        <sz val="11.0"/>
        <u/>
      </rPr>
      <t>Phlan Insurgent</t>
    </r>
  </si>
  <si>
    <t>Stealth (Dex), Survival (Wis)</t>
  </si>
  <si>
    <r>
      <rPr>
        <rFont val="Calibri"/>
        <color rgb="FF1155CC"/>
        <sz val="11.0"/>
        <u/>
      </rPr>
      <t>Artisan's tools</t>
    </r>
    <r>
      <rPr>
        <rFont val="Calibri"/>
        <sz val="11.0"/>
      </rPr>
      <t xml:space="preserve"> x1, vehicles (land)</t>
    </r>
  </si>
  <si>
    <r>
      <rPr>
        <rFont val="Calibri"/>
        <color rgb="FF1155CC"/>
        <sz val="11.0"/>
        <u/>
      </rPr>
      <t>Stojanow Prisoner</t>
    </r>
  </si>
  <si>
    <t>Deception (Cha), Perception (Wis)</t>
  </si>
  <si>
    <r>
      <t xml:space="preserve">Gaming set x1, </t>
    </r>
    <r>
      <rPr>
        <rFont val="Calibri"/>
        <color rgb="FF1155CC"/>
        <sz val="11.0"/>
        <u/>
      </rPr>
      <t>thieves' tools</t>
    </r>
  </si>
  <si>
    <r>
      <rPr>
        <rFont val="Calibri"/>
        <color rgb="FF1155CC"/>
        <sz val="11.0"/>
        <u/>
      </rPr>
      <t>Ticklebelly Nomad</t>
    </r>
  </si>
  <si>
    <t>Animal handling (Wis), Nature (Int)</t>
  </si>
  <si>
    <t>Giant</t>
  </si>
  <si>
    <r>
      <rPr>
        <rFont val="Calibri"/>
        <color rgb="FF1155CC"/>
        <sz val="11.0"/>
        <u/>
      </rPr>
      <t>Herbalism kit</t>
    </r>
  </si>
  <si>
    <r>
      <rPr>
        <rFont val="Calibri"/>
        <color rgb="FF1155CC"/>
        <sz val="11.0"/>
        <u/>
      </rPr>
      <t>Caravan Specialist</t>
    </r>
  </si>
  <si>
    <t>EE (AL)</t>
  </si>
  <si>
    <t>Animal Handling (Wis), Survival (Wis)</t>
  </si>
  <si>
    <t>Vehicles (land)</t>
  </si>
  <si>
    <r>
      <rPr>
        <rFont val="Calibri"/>
        <color rgb="FF1155CC"/>
        <sz val="11.0"/>
        <u/>
      </rPr>
      <t>Earthspur Miner</t>
    </r>
  </si>
  <si>
    <t>Athletics (Str), Survival (Wis)</t>
  </si>
  <si>
    <t>Dwarvish, Undercommon</t>
  </si>
  <si>
    <r>
      <rPr>
        <rFont val="Calibri"/>
        <color rgb="FF1155CC"/>
        <sz val="11.0"/>
        <u/>
      </rPr>
      <t>Harborfolk</t>
    </r>
  </si>
  <si>
    <t>Athletics (Str), Sleight of Hand (Dex)</t>
  </si>
  <si>
    <t>Gaming set x1, vehicles (water)</t>
  </si>
  <si>
    <r>
      <rPr>
        <rFont val="Calibri"/>
        <color rgb="FF1155CC"/>
        <sz val="11.0"/>
        <u/>
      </rPr>
      <t>Mulmaster Aristocrat</t>
    </r>
  </si>
  <si>
    <t>Deception (Cha), Performance (Cha)</t>
  </si>
  <si>
    <r>
      <rPr>
        <rFont val="Calibri"/>
        <color rgb="FF1155CC"/>
        <sz val="11.0"/>
        <u/>
      </rPr>
      <t>Artisan's tools</t>
    </r>
    <r>
      <rPr>
        <rFont val="Calibri"/>
        <sz val="11.0"/>
      </rPr>
      <t xml:space="preserve"> x1, musical instrument x1</t>
    </r>
  </si>
  <si>
    <r>
      <rPr>
        <rFont val="Calibri"/>
        <color rgb="FF1155CC"/>
        <sz val="11.0"/>
        <u/>
      </rPr>
      <t>Phlan Refugee</t>
    </r>
  </si>
  <si>
    <t>Athletics (Str), Insight (Wis)</t>
  </si>
  <si>
    <r>
      <rPr>
        <rFont val="Calibri"/>
        <color rgb="FF1155CC"/>
        <sz val="11.0"/>
        <u/>
      </rPr>
      <t>Artisan's tools</t>
    </r>
    <r>
      <rPr>
        <rFont val="Calibri"/>
        <sz val="11.0"/>
      </rPr>
      <t xml:space="preserve"> x1</t>
    </r>
  </si>
  <si>
    <r>
      <rPr>
        <rFont val="Calibri"/>
        <color rgb="FF1155CC"/>
        <sz val="11.0"/>
        <u/>
      </rPr>
      <t>Grinner</t>
    </r>
  </si>
  <si>
    <t>EGtW</t>
  </si>
  <si>
    <r>
      <t xml:space="preserve">Musical instrument x1, </t>
    </r>
    <r>
      <rPr>
        <rFont val="Calibri"/>
        <color rgb="FF1155CC"/>
        <sz val="11.0"/>
        <u/>
      </rPr>
      <t>thieves' tools</t>
    </r>
  </si>
  <si>
    <r>
      <rPr>
        <rFont val="Calibri"/>
        <color rgb="FF1155CC"/>
        <sz val="11.0"/>
        <u/>
      </rPr>
      <t>Volstrucker Agent</t>
    </r>
  </si>
  <si>
    <t>Deception (Cha), Stealth (Dex)</t>
  </si>
  <si>
    <r>
      <rPr>
        <rFont val="Calibri"/>
        <color rgb="FF1155CC"/>
        <sz val="11.0"/>
        <u/>
      </rPr>
      <t>Poisoner's kit</t>
    </r>
  </si>
  <si>
    <r>
      <rPr>
        <rFont val="Calibri"/>
        <color rgb="FF1155CC"/>
        <sz val="11.0"/>
        <u/>
      </rPr>
      <t>House Agent</t>
    </r>
  </si>
  <si>
    <t>ERfLW</t>
  </si>
  <si>
    <r>
      <rPr>
        <rFont val="Calibri"/>
        <color rgb="FF1155CC"/>
        <sz val="11.0"/>
        <u/>
      </rPr>
      <t>Azorius Functionary</t>
    </r>
  </si>
  <si>
    <t>GGR</t>
  </si>
  <si>
    <t>Insight (Wis), Intimidation (Cha)</t>
  </si>
  <si>
    <r>
      <rPr>
        <rFont val="Calibri"/>
        <color rgb="FF1155CC"/>
        <sz val="11.0"/>
        <u/>
      </rPr>
      <t>Boros Legionnaire</t>
    </r>
  </si>
  <si>
    <t>Athletics (Str), Intimidation (Cha)</t>
  </si>
  <si>
    <t>Choose 1: Celestial, Draconic, Goblin, Minotaur</t>
  </si>
  <si>
    <r>
      <t xml:space="preserve">Choose 1: </t>
    </r>
    <r>
      <rPr>
        <rFont val="Calibri"/>
        <color rgb="FF1155CC"/>
        <sz val="11.0"/>
        <u/>
      </rPr>
      <t>cartographer's tools</t>
    </r>
    <r>
      <rPr>
        <rFont val="Calibri"/>
        <sz val="11.0"/>
      </rPr>
      <t xml:space="preserve">, </t>
    </r>
    <r>
      <rPr>
        <rFont val="Calibri"/>
        <color rgb="FF1155CC"/>
        <sz val="11.0"/>
        <u/>
      </rPr>
      <t>navigator's tools</t>
    </r>
  </si>
  <si>
    <t>2 gp</t>
  </si>
  <si>
    <r>
      <rPr>
        <rFont val="Calibri"/>
        <color rgb="FF1155CC"/>
        <sz val="11.0"/>
        <u/>
      </rPr>
      <t>Dimir Operative</t>
    </r>
  </si>
  <si>
    <t>Special</t>
  </si>
  <si>
    <r>
      <rPr>
        <rFont val="Calibri"/>
        <color rgb="FF1155CC"/>
        <sz val="11.0"/>
        <u/>
      </rPr>
      <t>Golgari Agent</t>
    </r>
  </si>
  <si>
    <t>Nature (Int), Survival (Wis)</t>
  </si>
  <si>
    <t>Choose 1: Elvish, Giant, Kraul</t>
  </si>
  <si>
    <r>
      <rPr>
        <rFont val="Calibri"/>
        <color rgb="FF1155CC"/>
        <sz val="11.0"/>
        <u/>
      </rPr>
      <t>Poisoner's Kit</t>
    </r>
  </si>
  <si>
    <r>
      <rPr>
        <rFont val="Calibri"/>
        <color rgb="FF1155CC"/>
        <sz val="11.0"/>
        <u/>
      </rPr>
      <t>Gruul Anarch</t>
    </r>
  </si>
  <si>
    <t>Animal Handling (Wis), Athletics (Str)</t>
  </si>
  <si>
    <t>Choose 1: Draconic, Giant, Goblin, Sylvan</t>
  </si>
  <si>
    <r>
      <rPr>
        <rFont val="Calibri"/>
        <color rgb="FF1155CC"/>
        <sz val="11.0"/>
        <u/>
      </rPr>
      <t>Izzet Engineer</t>
    </r>
  </si>
  <si>
    <t>Arcana (Int), Investigation (Int)</t>
  </si>
  <si>
    <t>Choose 1: Draconic, Goblin, Vedalken</t>
  </si>
  <si>
    <r>
      <rPr>
        <rFont val="Calibri"/>
        <color rgb="FF1155CC"/>
        <sz val="11.0"/>
        <u/>
      </rPr>
      <t>Artisan's tools</t>
    </r>
    <r>
      <rPr>
        <rFont val="Calibri"/>
        <sz val="11.0"/>
      </rPr>
      <t xml:space="preserve"> x1</t>
    </r>
  </si>
  <si>
    <r>
      <rPr>
        <rFont val="Calibri"/>
        <color rgb="FF1155CC"/>
        <sz val="11.0"/>
        <u/>
      </rPr>
      <t>Orzhov Representative</t>
    </r>
  </si>
  <si>
    <t>Intimidation (Cha), Religion (Int)</t>
  </si>
  <si>
    <t>1 pp</t>
  </si>
  <si>
    <r>
      <rPr>
        <rFont val="Calibri"/>
        <color rgb="FF1155CC"/>
        <sz val="11.0"/>
        <u/>
      </rPr>
      <t>Rakdos Cultist</t>
    </r>
  </si>
  <si>
    <t>Acrobatics (Dex), Performance (Cha)</t>
  </si>
  <si>
    <t>Choose 1: Abyssal, Giant</t>
  </si>
  <si>
    <t>Musical instrument x1</t>
  </si>
  <si>
    <r>
      <rPr>
        <rFont val="Calibri"/>
        <color rgb="FF1155CC"/>
        <sz val="11.0"/>
        <u/>
      </rPr>
      <t>Selesnya Initiate</t>
    </r>
  </si>
  <si>
    <t>Nature (Int), Persuasion (Cha)</t>
  </si>
  <si>
    <t>Choose 1: Elvish, Loxodon, Sylvan</t>
  </si>
  <si>
    <r>
      <t xml:space="preserve">Choose 1: </t>
    </r>
    <r>
      <rPr>
        <rFont val="Calibri"/>
        <color rgb="FF1155CC"/>
        <sz val="11.0"/>
        <u/>
      </rPr>
      <t>artisan's tools</t>
    </r>
    <r>
      <rPr>
        <rFont val="Calibri"/>
        <sz val="11.0"/>
      </rPr>
      <t xml:space="preserve"> x1, musical instrument x1</t>
    </r>
  </si>
  <si>
    <r>
      <rPr>
        <rFont val="Calibri"/>
        <color rgb="FF1155CC"/>
        <sz val="11.0"/>
        <u/>
      </rPr>
      <t>Simic Scientist</t>
    </r>
  </si>
  <si>
    <t>Arcana (Int), Medicine (Wis)</t>
  </si>
  <si>
    <r>
      <rPr>
        <rFont val="Calibri"/>
        <color rgb="FF1155CC"/>
        <sz val="11.0"/>
        <u/>
      </rPr>
      <t>Fisher</t>
    </r>
  </si>
  <si>
    <t>GoS</t>
  </si>
  <si>
    <t>History (Int), Survival (Wis)</t>
  </si>
  <si>
    <r>
      <rPr>
        <rFont val="Calibri"/>
        <color rgb="FF1155CC"/>
        <sz val="11.0"/>
        <u/>
      </rPr>
      <t>Marine</t>
    </r>
  </si>
  <si>
    <t>Vehicles (water, land)</t>
  </si>
  <si>
    <r>
      <rPr>
        <rFont val="Calibri"/>
        <color rgb="FF1155CC"/>
        <sz val="11.0"/>
        <u/>
      </rPr>
      <t>Shipwright</t>
    </r>
  </si>
  <si>
    <t>History (Int), Perception (Wis)</t>
  </si>
  <si>
    <r>
      <rPr>
        <rFont val="Calibri"/>
        <color rgb="FF1155CC"/>
        <sz val="11.0"/>
        <u/>
      </rPr>
      <t>Carpenter's tools</t>
    </r>
    <r>
      <rPr>
        <rFont val="Calibri"/>
        <sz val="11.0"/>
      </rPr>
      <t>, vehicles (water)</t>
    </r>
  </si>
  <si>
    <r>
      <rPr>
        <rFont val="Calibri"/>
        <color rgb="FF1155CC"/>
        <sz val="11.0"/>
        <u/>
      </rPr>
      <t>Smuggler</t>
    </r>
  </si>
  <si>
    <t>Athletics (Str), Deception (Cha)</t>
  </si>
  <si>
    <t>Vehicles (water)</t>
  </si>
  <si>
    <r>
      <rPr>
        <rFont val="Calibri"/>
        <color rgb="FF1155CC"/>
        <sz val="11.0"/>
        <u/>
      </rPr>
      <t>Athlete</t>
    </r>
  </si>
  <si>
    <t>MOT</t>
  </si>
  <si>
    <t>Acrobatics (Dex), Athletics (Str)</t>
  </si>
  <si>
    <t>Vehicles (Land)</t>
  </si>
  <si>
    <r>
      <rPr>
        <rFont val="Calibri"/>
        <color rgb="FF1155CC"/>
        <sz val="11.0"/>
        <u/>
      </rPr>
      <t>Cormanthor Refugee</t>
    </r>
  </si>
  <si>
    <t>OotA (AL)</t>
  </si>
  <si>
    <t>Elvish</t>
  </si>
  <si>
    <r>
      <rPr>
        <rFont val="Calibri"/>
        <color rgb="FF1155CC"/>
        <sz val="11.0"/>
        <u/>
      </rPr>
      <t>Artisan's tools</t>
    </r>
  </si>
  <si>
    <r>
      <rPr>
        <rFont val="Calibri"/>
        <color rgb="FF1155CC"/>
        <sz val="11.0"/>
        <u/>
      </rPr>
      <t>Gate Urchin</t>
    </r>
  </si>
  <si>
    <t>Deception (Cha), Sleight of Hand (Dex)</t>
  </si>
  <si>
    <r>
      <t xml:space="preserve">Musical instrument x1, </t>
    </r>
    <r>
      <rPr>
        <rFont val="Calibri"/>
        <color rgb="FF1155CC"/>
        <sz val="11.0"/>
        <u/>
      </rPr>
      <t>thieves' tools</t>
    </r>
  </si>
  <si>
    <r>
      <rPr>
        <rFont val="Calibri"/>
        <color rgb="FF1155CC"/>
        <sz val="11.0"/>
        <u/>
      </rPr>
      <t>Hillsfar Merchant</t>
    </r>
  </si>
  <si>
    <t>Insight (Wis), Persuasion (Cha)</t>
  </si>
  <si>
    <t>Vehicles (land), vehicles (water)</t>
  </si>
  <si>
    <t>25 gp</t>
  </si>
  <si>
    <r>
      <rPr>
        <rFont val="Calibri"/>
        <color rgb="FF1155CC"/>
        <sz val="11.0"/>
        <u/>
      </rPr>
      <t>Hillsfar Smuggler</t>
    </r>
  </si>
  <si>
    <t>Perception (Wis), Stealth (Dex)</t>
  </si>
  <si>
    <r>
      <rPr>
        <rFont val="Calibri"/>
        <color rgb="FF1155CC"/>
        <sz val="11.0"/>
        <u/>
      </rPr>
      <t>Forgery kit</t>
    </r>
  </si>
  <si>
    <r>
      <rPr>
        <rFont val="Calibri"/>
        <color rgb="FF1155CC"/>
        <sz val="11.0"/>
        <u/>
      </rPr>
      <t>Secret Identity</t>
    </r>
  </si>
  <si>
    <r>
      <rPr>
        <rFont val="Calibri"/>
        <color rgb="FF1155CC"/>
        <sz val="11.0"/>
        <u/>
      </rPr>
      <t>Disguise kit</t>
    </r>
    <r>
      <rPr>
        <rFont val="Calibri"/>
        <sz val="11.0"/>
      </rPr>
      <t xml:space="preserve">, </t>
    </r>
    <r>
      <rPr>
        <rFont val="Calibri"/>
        <color rgb="FF1155CC"/>
        <sz val="11.0"/>
        <u/>
      </rPr>
      <t>forgery kit</t>
    </r>
  </si>
  <si>
    <r>
      <rPr>
        <rFont val="Calibri"/>
        <color rgb="FF1155CC"/>
        <sz val="11.0"/>
        <u/>
      </rPr>
      <t>Shade Fanatic</t>
    </r>
  </si>
  <si>
    <t>Netherese</t>
  </si>
  <si>
    <r>
      <rPr>
        <rFont val="Calibri"/>
        <color rgb="FF1155CC"/>
        <sz val="11.0"/>
        <u/>
      </rPr>
      <t>Forgery kit</t>
    </r>
  </si>
  <si>
    <r>
      <rPr>
        <rFont val="Calibri"/>
        <color rgb="FF1155CC"/>
        <sz val="11.0"/>
        <u/>
      </rPr>
      <t>Trade Sheriff</t>
    </r>
  </si>
  <si>
    <r>
      <rPr>
        <rFont val="Calibri"/>
        <color rgb="FF1155CC"/>
        <sz val="11.0"/>
        <u/>
      </rPr>
      <t>Thieves' tools</t>
    </r>
  </si>
  <si>
    <t>17 gp</t>
  </si>
  <si>
    <r>
      <rPr>
        <rFont val="Calibri"/>
        <color rgb="FF1155CC"/>
        <sz val="11.0"/>
        <u/>
      </rPr>
      <t>Acolyte (Background)</t>
    </r>
  </si>
  <si>
    <t>PHB</t>
  </si>
  <si>
    <t>Shelter of the Faithful</t>
  </si>
  <si>
    <t>As an acolyte, you command the respect of those who share your faith, and you can perform the religious ceremonies of your deity. You and your adventuring companions can expect to receive free healing and care at a temple, shrine, or other established presence of your faith, though you must provide any material components needed for spells. Those who share your religion will support you (but only you) at a modest lifestyle.
You might also have ties to a specific temple dedicated to your chosen deity or pantheon, and you have a residence there. This could be the temple where you used to serve, if you remain on good terms with it, or a temple where you have found a new home. While near your temple, you can call upon the priests for assistance, provided the assistance you ask for is not hazardous and you remain in good standing with your temple.</t>
  </si>
  <si>
    <t>Insight (Wis), Religion (Int)</t>
  </si>
  <si>
    <t>A holy symbol (a gift to you when you entered the priesthood), a prayer book or prayer wheel, 5 sticks of incense, vestments, a set of common clothes</t>
  </si>
  <si>
    <r>
      <rPr>
        <rFont val="Calibri"/>
        <color rgb="FF1155CC"/>
        <sz val="11.0"/>
        <u/>
      </rPr>
      <t>Charlatan</t>
    </r>
  </si>
  <si>
    <r>
      <rPr>
        <rFont val="Calibri"/>
        <color rgb="FF1155CC"/>
        <sz val="11.0"/>
        <u/>
      </rPr>
      <t>Disguise kit</t>
    </r>
    <r>
      <rPr>
        <rFont val="Calibri"/>
        <sz val="11.0"/>
      </rPr>
      <t xml:space="preserve">, </t>
    </r>
    <r>
      <rPr>
        <rFont val="Calibri"/>
        <color rgb="FF1155CC"/>
        <sz val="11.0"/>
        <u/>
      </rPr>
      <t>forgery kit</t>
    </r>
  </si>
  <si>
    <r>
      <rPr>
        <rFont val="Calibri"/>
        <color rgb="FF1155CC"/>
        <sz val="11.0"/>
        <u/>
      </rPr>
      <t>Criminal</t>
    </r>
  </si>
  <si>
    <r>
      <t xml:space="preserve">Gaming set x1, </t>
    </r>
    <r>
      <rPr>
        <rFont val="Calibri"/>
        <color rgb="FF1155CC"/>
        <sz val="11.0"/>
        <u/>
      </rPr>
      <t>thieves' tools</t>
    </r>
  </si>
  <si>
    <r>
      <rPr>
        <rFont val="Calibri"/>
        <color rgb="FF1155CC"/>
        <sz val="11.0"/>
        <u/>
      </rPr>
      <t>Entertainer</t>
    </r>
  </si>
  <si>
    <r>
      <rPr>
        <rFont val="Calibri"/>
        <color rgb="FF1155CC"/>
        <sz val="11.0"/>
        <u/>
      </rPr>
      <t>Disguise kit</t>
    </r>
    <r>
      <rPr>
        <rFont val="Calibri"/>
        <sz val="11.0"/>
      </rPr>
      <t>, musical instrument x1</t>
    </r>
  </si>
  <si>
    <r>
      <rPr>
        <rFont val="Calibri"/>
        <color rgb="FF1155CC"/>
        <sz val="11.0"/>
        <u/>
      </rPr>
      <t>Folk Hero</t>
    </r>
  </si>
  <si>
    <r>
      <rPr>
        <rFont val="Calibri"/>
        <color rgb="FF1155CC"/>
        <sz val="11.0"/>
        <u/>
      </rPr>
      <t>Artisan's tools</t>
    </r>
    <r>
      <rPr>
        <rFont val="Calibri"/>
        <sz val="11.0"/>
      </rPr>
      <t xml:space="preserve"> x1, vehicles (land)</t>
    </r>
  </si>
  <si>
    <r>
      <rPr>
        <rFont val="Calibri"/>
        <color rgb="FF1155CC"/>
        <sz val="11.0"/>
        <u/>
      </rPr>
      <t>Guild Artisan</t>
    </r>
  </si>
  <si>
    <r>
      <rPr>
        <rFont val="Calibri"/>
        <color rgb="FF1155CC"/>
        <sz val="11.0"/>
        <u/>
      </rPr>
      <t>Artisan's tools</t>
    </r>
    <r>
      <rPr>
        <rFont val="Calibri"/>
        <sz val="11.0"/>
      </rPr>
      <t xml:space="preserve"> x1</t>
    </r>
  </si>
  <si>
    <r>
      <rPr>
        <rFont val="Calibri"/>
        <color rgb="FF1155CC"/>
        <sz val="11.0"/>
        <u/>
      </rPr>
      <t>Hermit</t>
    </r>
  </si>
  <si>
    <t>Medicine (Wis), Religion (Int)</t>
  </si>
  <si>
    <r>
      <rPr>
        <rFont val="Calibri"/>
        <color rgb="FF1155CC"/>
        <sz val="11.0"/>
        <u/>
      </rPr>
      <t>Herbalism kit</t>
    </r>
  </si>
  <si>
    <r>
      <rPr>
        <rFont val="Calibri"/>
        <color rgb="FF1155CC"/>
        <sz val="11.0"/>
        <u/>
      </rPr>
      <t>Noble</t>
    </r>
  </si>
  <si>
    <t>History (Int), Persuasion (Cha)</t>
  </si>
  <si>
    <r>
      <rPr>
        <rFont val="Calibri"/>
        <color rgb="FF1155CC"/>
        <sz val="11.0"/>
        <u/>
      </rPr>
      <t>Outlander</t>
    </r>
  </si>
  <si>
    <r>
      <rPr>
        <rFont val="Calibri"/>
        <color rgb="FF1155CC"/>
        <sz val="11.0"/>
        <u/>
      </rPr>
      <t>Sage</t>
    </r>
  </si>
  <si>
    <t>Arcana (Int), History (Int)</t>
  </si>
  <si>
    <r>
      <rPr>
        <rFont val="Calibri"/>
        <color rgb="FF1155CC"/>
        <sz val="11.0"/>
        <u/>
      </rPr>
      <t>Sailor</t>
    </r>
  </si>
  <si>
    <t>Athletics (Str), Perception (Wis)</t>
  </si>
  <si>
    <r>
      <rPr>
        <rFont val="Calibri"/>
        <color rgb="FF1155CC"/>
        <sz val="11.0"/>
        <u/>
      </rPr>
      <t>Navigator's tools</t>
    </r>
    <r>
      <rPr>
        <rFont val="Calibri"/>
        <sz val="11.0"/>
      </rPr>
      <t>, vehicles (water)</t>
    </r>
  </si>
  <si>
    <r>
      <rPr>
        <rFont val="Calibri"/>
        <color rgb="FF1155CC"/>
        <sz val="11.0"/>
        <u/>
      </rPr>
      <t>Soldier</t>
    </r>
  </si>
  <si>
    <r>
      <rPr>
        <rFont val="Calibri"/>
        <color rgb="FF1155CC"/>
        <sz val="11.0"/>
        <u/>
      </rPr>
      <t>Urchin</t>
    </r>
  </si>
  <si>
    <t>Sleight of Hand (Dex), Stealth (Dex)</t>
  </si>
  <si>
    <r>
      <rPr>
        <rFont val="Calibri"/>
        <color rgb="FF1155CC"/>
        <sz val="11.0"/>
        <u/>
      </rPr>
      <t>Disguise kit</t>
    </r>
    <r>
      <rPr>
        <rFont val="Calibri"/>
        <sz val="11.0"/>
      </rPr>
      <t xml:space="preserve">, </t>
    </r>
    <r>
      <rPr>
        <rFont val="Calibri"/>
        <color rgb="FF1155CC"/>
        <sz val="11.0"/>
        <u/>
      </rPr>
      <t>thieves' tools</t>
    </r>
  </si>
  <si>
    <r>
      <rPr>
        <rFont val="Calibri"/>
        <color rgb="FF1155CC"/>
        <sz val="11.0"/>
        <u/>
      </rPr>
      <t>Initiate</t>
    </r>
  </si>
  <si>
    <t>PSA</t>
  </si>
  <si>
    <r>
      <rPr>
        <rFont val="Calibri"/>
        <color rgb="FF1155CC"/>
        <sz val="11.0"/>
        <u/>
      </rPr>
      <t>Vizier</t>
    </r>
  </si>
  <si>
    <t>History (Int), Religion (Int)</t>
  </si>
  <si>
    <r>
      <rPr>
        <rFont val="Calibri"/>
        <color rgb="FF1155CC"/>
        <sz val="11.0"/>
        <u/>
      </rPr>
      <t>Artisan's tools</t>
    </r>
    <r>
      <rPr>
        <rFont val="Calibri"/>
        <sz val="11.0"/>
      </rPr>
      <t xml:space="preserve"> x1, musical instrument x1</t>
    </r>
  </si>
  <si>
    <r>
      <rPr>
        <rFont val="Calibri"/>
        <color rgb="FF1155CC"/>
        <sz val="11.0"/>
        <u/>
      </rPr>
      <t>Inquisitor</t>
    </r>
  </si>
  <si>
    <t>PSI</t>
  </si>
  <si>
    <t>Investigation (Int), Religion (Int)</t>
  </si>
  <si>
    <r>
      <rPr>
        <rFont val="Calibri"/>
        <color rgb="FF1155CC"/>
        <sz val="11.0"/>
        <u/>
      </rPr>
      <t>Artisan's tools</t>
    </r>
    <r>
      <rPr>
        <rFont val="Calibri"/>
        <sz val="11.0"/>
      </rPr>
      <t xml:space="preserve"> x1, </t>
    </r>
    <r>
      <rPr>
        <rFont val="Calibri"/>
        <color rgb="FF1155CC"/>
        <sz val="11.0"/>
        <u/>
      </rPr>
      <t>thieves' tools</t>
    </r>
  </si>
  <si>
    <r>
      <rPr>
        <rFont val="Calibri"/>
        <color rgb="FF1155CC"/>
        <sz val="11.0"/>
        <u/>
      </rPr>
      <t>City Watch</t>
    </r>
  </si>
  <si>
    <t>SCAG</t>
  </si>
  <si>
    <r>
      <rPr>
        <rFont val="Calibri"/>
        <color rgb="FF1155CC"/>
        <sz val="11.0"/>
        <u/>
      </rPr>
      <t>Clan Crafter</t>
    </r>
  </si>
  <si>
    <t>History (Int), Insight (Wis)</t>
  </si>
  <si>
    <r>
      <rPr>
        <rFont val="Calibri"/>
        <color rgb="FF1155CC"/>
        <sz val="11.0"/>
        <u/>
      </rPr>
      <t>Artisan's tools</t>
    </r>
  </si>
  <si>
    <r>
      <rPr>
        <rFont val="Calibri"/>
        <color rgb="FF1155CC"/>
        <sz val="11.0"/>
        <u/>
      </rPr>
      <t>Cloistered Scholar</t>
    </r>
  </si>
  <si>
    <t>History (Int), and choose 1: Arcana (Int), Nature (Int), Religion (Int)</t>
  </si>
  <si>
    <r>
      <rPr>
        <rFont val="Calibri"/>
        <color rgb="FF1155CC"/>
        <sz val="11.0"/>
        <u/>
      </rPr>
      <t>Courtier</t>
    </r>
  </si>
  <si>
    <r>
      <rPr>
        <rFont val="Calibri"/>
        <color rgb="FF1155CC"/>
        <sz val="11.0"/>
        <u/>
      </rPr>
      <t>Faction Agent</t>
    </r>
  </si>
  <si>
    <t>Insight (Wis), and choose 1: special (see page)</t>
  </si>
  <si>
    <r>
      <rPr>
        <rFont val="Calibri"/>
        <color rgb="FF1155CC"/>
        <sz val="11.0"/>
        <u/>
      </rPr>
      <t>Far Traveler</t>
    </r>
  </si>
  <si>
    <t>Insight (Wis), Perception (Wis)</t>
  </si>
  <si>
    <t>Choose 1: musical instrument x1, gaming set x1</t>
  </si>
  <si>
    <r>
      <rPr>
        <rFont val="Calibri"/>
        <color rgb="FF1155CC"/>
        <sz val="11.0"/>
        <u/>
      </rPr>
      <t>Inheritor</t>
    </r>
  </si>
  <si>
    <t>Survival (Wis), and choose 1: Arcana (Int), History (Int), Religion (Int)</t>
  </si>
  <si>
    <t>Gaming set x1, musical instrument x1</t>
  </si>
  <si>
    <r>
      <rPr>
        <rFont val="Calibri"/>
        <color rgb="FF1155CC"/>
        <sz val="11.0"/>
        <u/>
      </rPr>
      <t>Knight of the Order</t>
    </r>
  </si>
  <si>
    <t>Persuasion (Cha), and choose 1: special (see page)</t>
  </si>
  <si>
    <t>Choose 1: gaming set x1, musical instrument x1</t>
  </si>
  <si>
    <r>
      <rPr>
        <rFont val="Calibri"/>
        <color rgb="FF1155CC"/>
        <sz val="11.0"/>
        <u/>
      </rPr>
      <t>Mercenary Veteran</t>
    </r>
  </si>
  <si>
    <t>Athletics (Str), Persuasion (Cha)</t>
  </si>
  <si>
    <r>
      <rPr>
        <rFont val="Calibri"/>
        <color rgb="FF1155CC"/>
        <sz val="11.0"/>
        <u/>
      </rPr>
      <t>Urban Bounty Hunter</t>
    </r>
  </si>
  <si>
    <t>Choose 2: Deception (Cha), Insight (Wis), Persuasion (Cha), Stealth (Dex)</t>
  </si>
  <si>
    <r>
      <t xml:space="preserve">Choose 2: gaming set x1, musical instrument x1, </t>
    </r>
    <r>
      <rPr>
        <rFont val="Calibri"/>
        <color rgb="FF1155CC"/>
        <sz val="11.0"/>
        <u/>
      </rPr>
      <t>thieves' tools</t>
    </r>
  </si>
  <si>
    <r>
      <rPr>
        <rFont val="Calibri"/>
        <color rgb="FF1155CC"/>
        <sz val="11.0"/>
        <u/>
      </rPr>
      <t>Uthgardt Tribe Member</t>
    </r>
  </si>
  <si>
    <r>
      <t xml:space="preserve">Choose 1: </t>
    </r>
    <r>
      <rPr>
        <rFont val="Calibri"/>
        <color rgb="FF1155CC"/>
        <sz val="11.0"/>
        <u/>
      </rPr>
      <t>artisan's tools</t>
    </r>
    <r>
      <rPr>
        <rFont val="Calibri"/>
        <sz val="11.0"/>
      </rPr>
      <t xml:space="preserve"> x1, musical instrument x1</t>
    </r>
  </si>
  <si>
    <r>
      <rPr>
        <rFont val="Calibri"/>
        <color rgb="FF1155CC"/>
        <sz val="11.0"/>
        <u/>
      </rPr>
      <t>Waterdhavian Noble</t>
    </r>
  </si>
  <si>
    <r>
      <rPr>
        <rFont val="Calibri"/>
        <color rgb="FF1155CC"/>
        <sz val="11.0"/>
        <u/>
      </rPr>
      <t>Lorehold Student</t>
    </r>
  </si>
  <si>
    <t>SCC</t>
  </si>
  <si>
    <r>
      <rPr>
        <rFont val="Calibri"/>
        <color rgb="FF1155CC"/>
        <sz val="11.0"/>
        <u/>
      </rPr>
      <t>Prismari Student</t>
    </r>
  </si>
  <si>
    <r>
      <t xml:space="preserve">Choose 1: musical instrument x1, </t>
    </r>
    <r>
      <rPr>
        <rFont val="Calibri"/>
        <color rgb="FF1155CC"/>
        <sz val="11.0"/>
        <u/>
      </rPr>
      <t>artisan's tools</t>
    </r>
    <r>
      <rPr>
        <rFont val="Calibri"/>
        <sz val="11.0"/>
      </rPr>
      <t xml:space="preserve"> x1</t>
    </r>
  </si>
  <si>
    <r>
      <rPr>
        <rFont val="Calibri"/>
        <color rgb="FF1155CC"/>
        <sz val="11.0"/>
        <u/>
      </rPr>
      <t>Quandrix Student</t>
    </r>
  </si>
  <si>
    <t>Arcana (Int), Nature (Int)</t>
  </si>
  <si>
    <r>
      <rPr>
        <rFont val="Calibri"/>
        <color rgb="FF1155CC"/>
        <sz val="11.0"/>
        <u/>
      </rPr>
      <t>Artisan's tools</t>
    </r>
    <r>
      <rPr>
        <rFont val="Calibri"/>
        <sz val="11.0"/>
      </rPr>
      <t xml:space="preserve"> x1</t>
    </r>
  </si>
  <si>
    <r>
      <rPr>
        <rFont val="Calibri"/>
        <color rgb="FF1155CC"/>
        <sz val="11.0"/>
        <u/>
      </rPr>
      <t>Silverquill Student</t>
    </r>
  </si>
  <si>
    <t>Intimidation (Cha), Persuasion (Cha)</t>
  </si>
  <si>
    <r>
      <rPr>
        <rFont val="Calibri"/>
        <color rgb="FF1155CC"/>
        <sz val="11.0"/>
        <u/>
      </rPr>
      <t>Witherbloom Student</t>
    </r>
  </si>
  <si>
    <r>
      <rPr>
        <rFont val="Calibri"/>
        <color rgb="FF1155CC"/>
        <sz val="11.0"/>
        <u/>
      </rPr>
      <t>Herbalism kit</t>
    </r>
  </si>
  <si>
    <r>
      <rPr>
        <rFont val="Calibri"/>
        <color rgb="FF1155CC"/>
        <sz val="11.0"/>
        <u/>
      </rPr>
      <t>Anthropologist</t>
    </r>
  </si>
  <si>
    <t>ToA</t>
  </si>
  <si>
    <r>
      <rPr>
        <rFont val="Calibri"/>
        <color rgb="FF1155CC"/>
        <sz val="11.0"/>
        <u/>
      </rPr>
      <t>Archaeologist</t>
    </r>
  </si>
  <si>
    <r>
      <t xml:space="preserve">Choose 1: </t>
    </r>
    <r>
      <rPr>
        <rFont val="Calibri"/>
        <color rgb="FF1155CC"/>
        <sz val="11.0"/>
        <u/>
      </rPr>
      <t>cartographer's tools</t>
    </r>
    <r>
      <rPr>
        <rFont val="Calibri"/>
        <sz val="11.0"/>
      </rPr>
      <t xml:space="preserve">, </t>
    </r>
    <r>
      <rPr>
        <rFont val="Calibri"/>
        <color rgb="FF1155CC"/>
        <sz val="11.0"/>
        <u/>
      </rPr>
      <t>navigator's tools</t>
    </r>
  </si>
  <si>
    <r>
      <rPr>
        <rFont val="Calibri"/>
        <color rgb="FF1155CC"/>
        <sz val="11.0"/>
        <u/>
      </rPr>
      <t>Feylost</t>
    </r>
  </si>
  <si>
    <t>TWBtW</t>
  </si>
  <si>
    <t>Deception (Cha), Survival (Wis)</t>
  </si>
  <si>
    <t>Choose 1: Elvish, Gnomish, Goblin, Sylvan</t>
  </si>
  <si>
    <t>8 gp</t>
  </si>
  <si>
    <r>
      <rPr>
        <rFont val="Calibri"/>
        <color rgb="FF1155CC"/>
        <sz val="11.0"/>
        <u/>
      </rPr>
      <t>Witchlight Hand</t>
    </r>
  </si>
  <si>
    <t>Performance (Cha), Sleight of Hand (Dex)</t>
  </si>
  <si>
    <r>
      <t xml:space="preserve">Choose 1: </t>
    </r>
    <r>
      <rPr>
        <rFont val="Calibri"/>
        <color rgb="FF1155CC"/>
        <sz val="11.0"/>
        <u/>
      </rPr>
      <t>disguise kit</t>
    </r>
    <r>
      <rPr>
        <rFont val="Calibri"/>
        <sz val="11.0"/>
      </rPr>
      <t>, musical instrument x1</t>
    </r>
  </si>
  <si>
    <r>
      <rPr>
        <rFont val="Calibri"/>
        <color rgb="FF1155CC"/>
        <sz val="11.0"/>
        <u/>
      </rPr>
      <t>Gate Warden</t>
    </r>
  </si>
  <si>
    <t>UA</t>
  </si>
  <si>
    <t>Persuasion (Cha), Survival (Wis)</t>
  </si>
  <si>
    <r>
      <rPr>
        <rFont val="Calibri"/>
        <color rgb="FF1155CC"/>
        <sz val="11.0"/>
        <u/>
      </rPr>
      <t>Giant Foundling</t>
    </r>
  </si>
  <si>
    <r>
      <rPr>
        <rFont val="Calibri"/>
        <color rgb="FF1155CC"/>
        <sz val="11.0"/>
        <u/>
      </rPr>
      <t>Knight of Solamnia</t>
    </r>
  </si>
  <si>
    <r>
      <rPr>
        <rFont val="Calibri"/>
        <color rgb="FF1155CC"/>
        <sz val="11.0"/>
        <u/>
      </rPr>
      <t>Mage of High Sorcery</t>
    </r>
  </si>
  <si>
    <r>
      <rPr>
        <rFont val="Calibri"/>
        <color rgb="FF1155CC"/>
        <sz val="11.0"/>
        <u/>
      </rPr>
      <t>Planar Philosopher</t>
    </r>
  </si>
  <si>
    <t>Arcana (Int), Persuasion (Cha)</t>
  </si>
  <si>
    <r>
      <rPr>
        <rFont val="Calibri"/>
        <color rgb="FF1155CC"/>
        <sz val="11.0"/>
        <u/>
      </rPr>
      <t>Rune Carver</t>
    </r>
  </si>
  <si>
    <t>Giant, Any x1</t>
  </si>
  <si>
    <r>
      <rPr>
        <rFont val="Calibri"/>
        <color rgb="FF1155CC"/>
        <sz val="11.0"/>
        <u/>
      </rPr>
      <t>Haunted One</t>
    </r>
  </si>
  <si>
    <t>VRGtR</t>
  </si>
  <si>
    <t>Choose 2: Arcana (Int), Investigation (Int), Religion (Int), Survival (Wis)</t>
  </si>
  <si>
    <t>Any x1, Exotic x1</t>
  </si>
  <si>
    <t>1 sp</t>
  </si>
  <si>
    <r>
      <rPr>
        <rFont val="Calibri"/>
        <color rgb="FF1155CC"/>
        <sz val="11.0"/>
        <u/>
      </rPr>
      <t>Investigator</t>
    </r>
  </si>
  <si>
    <t>Choose 2: Insight (Wis), Investigation (Int), Perception (Wis)</t>
  </si>
  <si>
    <r>
      <rPr>
        <rFont val="Calibri"/>
        <color rgb="FF1155CC"/>
        <sz val="11.0"/>
        <u/>
      </rPr>
      <t>Disguise kit</t>
    </r>
    <r>
      <rPr>
        <rFont val="Calibri"/>
        <sz val="11.0"/>
      </rPr>
      <t xml:space="preserve">, </t>
    </r>
    <r>
      <rPr>
        <rFont val="Calibri"/>
        <color rgb="FF1155CC"/>
        <sz val="11.0"/>
        <u/>
      </rPr>
      <t>thieves' tools</t>
    </r>
  </si>
  <si>
    <t>Str</t>
  </si>
  <si>
    <t>Dex</t>
  </si>
  <si>
    <t>Con</t>
  </si>
  <si>
    <t>Int</t>
  </si>
  <si>
    <t>Wis</t>
  </si>
  <si>
    <t>Cha</t>
  </si>
  <si>
    <t>AcqInc. 74</t>
  </si>
  <si>
    <t>E:RLW 30</t>
  </si>
  <si>
    <t>Orc, Eberron</t>
  </si>
  <si>
    <t>E:RLW 32</t>
  </si>
  <si>
    <t>Shifter, Beasthide</t>
  </si>
  <si>
    <t>E:RLW 34</t>
  </si>
  <si>
    <t>Shifter, Longtooth</t>
  </si>
  <si>
    <t>Shifter, Swiftstride</t>
  </si>
  <si>
    <t>Shifter, Wildhunt</t>
  </si>
  <si>
    <t>___</t>
  </si>
  <si>
    <t>One +1's</t>
  </si>
  <si>
    <t>E:RLW 36</t>
  </si>
  <si>
    <t>Half-Elf, Mark of Detection</t>
  </si>
  <si>
    <t>E:RLW 40</t>
  </si>
  <si>
    <t>Half-Orc, Mark of Finding</t>
  </si>
  <si>
    <t>E:RLW 41</t>
  </si>
  <si>
    <t>Halfling, Mark of Healing</t>
  </si>
  <si>
    <t>E:RLW 43</t>
  </si>
  <si>
    <t>Halfling, Mark of Hospitality</t>
  </si>
  <si>
    <t>E:RLW 44</t>
  </si>
  <si>
    <t>Gnome, Mark of Scribing</t>
  </si>
  <si>
    <t>E:RLW 47</t>
  </si>
  <si>
    <t>Elf, Mark of Shadows</t>
  </si>
  <si>
    <t>E:RLW 49</t>
  </si>
  <si>
    <t>Half-Elf, Mark of Storm</t>
  </si>
  <si>
    <t>E:RLW 50</t>
  </si>
  <si>
    <t>Dwarf, Mark of Warding</t>
  </si>
  <si>
    <t>E:RLW 51</t>
  </si>
  <si>
    <t>Genasi, Water</t>
  </si>
  <si>
    <t>EE 10</t>
  </si>
  <si>
    <t>EE 10, Volo's 108</t>
  </si>
  <si>
    <t>EE 4</t>
  </si>
  <si>
    <t>Gnome, Deep</t>
  </si>
  <si>
    <t>EE 5, SCAG 115, MToF 115</t>
  </si>
  <si>
    <t>Genasi, Air</t>
  </si>
  <si>
    <t>EE 9</t>
  </si>
  <si>
    <t>Genasi, Earth</t>
  </si>
  <si>
    <t>Genasi, Fire</t>
  </si>
  <si>
    <t>GGtR 15</t>
  </si>
  <si>
    <t>GGtR 18</t>
  </si>
  <si>
    <t>GGtR 19</t>
  </si>
  <si>
    <t>GGtR 20</t>
  </si>
  <si>
    <t>GGtR 21</t>
  </si>
  <si>
    <t>Locathah</t>
  </si>
  <si>
    <t>Loca 24</t>
  </si>
  <si>
    <t>Tiefling, Baalzebul</t>
  </si>
  <si>
    <t>MToF 22</t>
  </si>
  <si>
    <t>Tiefling, Dispater</t>
  </si>
  <si>
    <t>Tiefling, Fierna</t>
  </si>
  <si>
    <t>Tiefling, Glasya</t>
  </si>
  <si>
    <t>Tiefling, Levistus</t>
  </si>
  <si>
    <t>Tiefling, Mammon</t>
  </si>
  <si>
    <t>Tiefling, Mephistopheles</t>
  </si>
  <si>
    <t>Tiefling, Zariel</t>
  </si>
  <si>
    <t>Elf, Eladrin</t>
  </si>
  <si>
    <t>MToF 62</t>
  </si>
  <si>
    <t>Elf, Sea</t>
  </si>
  <si>
    <t>MToF 63</t>
  </si>
  <si>
    <t>Elf, Shadar-kai</t>
  </si>
  <si>
    <t>Gith, Githyanki</t>
  </si>
  <si>
    <t>MToF 97</t>
  </si>
  <si>
    <t>Gith, Githzerai</t>
  </si>
  <si>
    <t>Grung</t>
  </si>
  <si>
    <t>OGA 4</t>
  </si>
  <si>
    <t>Dwarf, Hill</t>
  </si>
  <si>
    <t>PHB 20</t>
  </si>
  <si>
    <t>Dwarf, Mountain</t>
  </si>
  <si>
    <t>Elf, High</t>
  </si>
  <si>
    <t>PHB 23</t>
  </si>
  <si>
    <t>Elf, Drow</t>
  </si>
  <si>
    <t>PHB 24</t>
  </si>
  <si>
    <t>Elf, Wood</t>
  </si>
  <si>
    <t>Halfling, Lightfoot</t>
  </si>
  <si>
    <t>PHB 28</t>
  </si>
  <si>
    <t>Halfling, Stout</t>
  </si>
  <si>
    <t>PHB 29</t>
  </si>
  <si>
    <t>Human, Variant</t>
  </si>
  <si>
    <t>Two +1's</t>
  </si>
  <si>
    <t>PHB 31</t>
  </si>
  <si>
    <t>PHB 32</t>
  </si>
  <si>
    <t>Gnome, Forest</t>
  </si>
  <si>
    <t>PHB 37</t>
  </si>
  <si>
    <t>Gnome, Rock</t>
  </si>
  <si>
    <t>PHB 38</t>
  </si>
  <si>
    <t>PHB 40</t>
  </si>
  <si>
    <t>PHB 42</t>
  </si>
  <si>
    <t>Naga</t>
  </si>
  <si>
    <t>PS: Amonkhet 21</t>
  </si>
  <si>
    <t>Vampire, Ixalan</t>
  </si>
  <si>
    <t>PS: Ixalan 13</t>
  </si>
  <si>
    <t>Orc, Ixalan</t>
  </si>
  <si>
    <t>PS: Ixalan 15</t>
  </si>
  <si>
    <t>Siren</t>
  </si>
  <si>
    <t>PS: Ixalan 17</t>
  </si>
  <si>
    <t>Vampire, Zendikar</t>
  </si>
  <si>
    <t>PS: Zendikar 14</t>
  </si>
  <si>
    <t>Dwarf, Kaladesh</t>
  </si>
  <si>
    <t>PS:Kaladesh 18</t>
  </si>
  <si>
    <t>Dwarf, Duergar</t>
  </si>
  <si>
    <t>SCAG 104, MToF 82</t>
  </si>
  <si>
    <t>Halfling, Ghostwise</t>
  </si>
  <si>
    <t>SCAG 110</t>
  </si>
  <si>
    <t>Tiefling, Devil's Tongue</t>
  </si>
  <si>
    <t>SCAG 118</t>
  </si>
  <si>
    <t>Tiefling, Feral</t>
  </si>
  <si>
    <t>Tiefling, Hellfire</t>
  </si>
  <si>
    <t>Tiefling, Winged</t>
  </si>
  <si>
    <t>Tortle</t>
  </si>
  <si>
    <t>Tortle 4</t>
  </si>
  <si>
    <t>Elf, Avariel</t>
  </si>
  <si>
    <t>Elf, Grugach</t>
  </si>
  <si>
    <t>Tiefling, Abyssal</t>
  </si>
  <si>
    <t>Aasimar, Fallen</t>
  </si>
  <si>
    <t>Volo's 105</t>
  </si>
  <si>
    <t>Aasimar, Protector</t>
  </si>
  <si>
    <t>Aasimar, Scourge</t>
  </si>
  <si>
    <t>Volo's 106</t>
  </si>
  <si>
    <t>Volo's 109</t>
  </si>
  <si>
    <t>Volo's 111</t>
  </si>
  <si>
    <t>Volo's 113</t>
  </si>
  <si>
    <t>Volo's 115</t>
  </si>
  <si>
    <t>Volo's 119</t>
  </si>
  <si>
    <t>Volo's 119, E:RLW 25</t>
  </si>
  <si>
    <t>Volo's 119, E:RLW 26</t>
  </si>
  <si>
    <t>Volo's 119, GGtR 16, E:RLW 26</t>
  </si>
  <si>
    <t>Volo's 120</t>
  </si>
  <si>
    <t>Yuan-Ti Pureblood</t>
  </si>
  <si>
    <t>Caster_Level</t>
  </si>
  <si>
    <t>class_lv</t>
  </si>
  <si>
    <t>Caster type</t>
  </si>
  <si>
    <t>Slot_Level_1</t>
  </si>
  <si>
    <t>Slot_Level_2</t>
  </si>
  <si>
    <t>Slot_Level_3</t>
  </si>
  <si>
    <t>Slot_Level_4</t>
  </si>
  <si>
    <t>Slot_Level_5</t>
  </si>
  <si>
    <t>Slot_Level_6</t>
  </si>
  <si>
    <t>Slot_Level_7</t>
  </si>
  <si>
    <t>Slot_Level_8</t>
  </si>
  <si>
    <t>Slot_Level_9</t>
  </si>
  <si>
    <t>Caster_Lv</t>
  </si>
  <si>
    <t xml:space="preserve">Artificer_Spells </t>
  </si>
  <si>
    <t xml:space="preserve">Bard_Spells </t>
  </si>
  <si>
    <t xml:space="preserve">Fighter_Spells </t>
  </si>
  <si>
    <t xml:space="preserve">Ranger_Spells </t>
  </si>
  <si>
    <t xml:space="preserve">Rogue_Spells </t>
  </si>
  <si>
    <t xml:space="preserve">Sorcerer_Spells </t>
  </si>
  <si>
    <t xml:space="preserve">Warlock_Spells </t>
  </si>
  <si>
    <t>Cantrips_lv</t>
  </si>
  <si>
    <t>Artificer_Cantrips</t>
  </si>
  <si>
    <t>Bard_Cantrips</t>
  </si>
  <si>
    <t>Cleric_Cantrips</t>
  </si>
  <si>
    <t>Druid_Cantrips</t>
  </si>
  <si>
    <t>Fighter_Cantrips</t>
  </si>
  <si>
    <t>Rogue_Cantrips</t>
  </si>
  <si>
    <t>Sorcerer_Cantrips</t>
  </si>
  <si>
    <t>Warlock_Cantrips</t>
  </si>
  <si>
    <t>Wizard_Cantrips</t>
  </si>
  <si>
    <t>L1_FullCaster</t>
  </si>
  <si>
    <t>Full</t>
  </si>
  <si>
    <t>L2_FullCaster</t>
  </si>
  <si>
    <t>L3_FullCaster</t>
  </si>
  <si>
    <t>L4_FullCaster</t>
  </si>
  <si>
    <t>L5_FullCaster</t>
  </si>
  <si>
    <t>L6_FullCaster</t>
  </si>
  <si>
    <t>L7_FullCaster</t>
  </si>
  <si>
    <t>L8_FullCaster</t>
  </si>
  <si>
    <t>L9_FullCaster</t>
  </si>
  <si>
    <t>L10_FullCaster</t>
  </si>
  <si>
    <t>L11_FullCaster</t>
  </si>
  <si>
    <t>L12_FullCaster</t>
  </si>
  <si>
    <t>L13_FullCaster</t>
  </si>
  <si>
    <t>L14_FullCaster</t>
  </si>
  <si>
    <t>L15_FullCaster</t>
  </si>
  <si>
    <t>L16_FullCaster</t>
  </si>
  <si>
    <t>L17_FullCaster</t>
  </si>
  <si>
    <t>L18_FullCaster</t>
  </si>
  <si>
    <t>L19_FullCaster</t>
  </si>
  <si>
    <t>L20_FullCaster</t>
  </si>
  <si>
    <t>L1_HalfCaster</t>
  </si>
  <si>
    <t>Half</t>
  </si>
  <si>
    <t>L2_HalfCaster</t>
  </si>
  <si>
    <t>L3_HalfCaster</t>
  </si>
  <si>
    <t>L4_HalfCaster</t>
  </si>
  <si>
    <t>L5_HalfCaster</t>
  </si>
  <si>
    <t>L6_HalfCaster</t>
  </si>
  <si>
    <t>L7_HalfCaster</t>
  </si>
  <si>
    <t>L8_HalfCaster</t>
  </si>
  <si>
    <t>L9_HalfCaster</t>
  </si>
  <si>
    <t>L10_HalfCaster</t>
  </si>
  <si>
    <t>L11_HalfCaster</t>
  </si>
  <si>
    <t>L12_HalfCaster</t>
  </si>
  <si>
    <t>L13_HalfCaster</t>
  </si>
  <si>
    <t>L14_HalfCaster</t>
  </si>
  <si>
    <t>L15_HalfCaster</t>
  </si>
  <si>
    <t>L16_HalfCaster</t>
  </si>
  <si>
    <t>L17_HalfCaster</t>
  </si>
  <si>
    <t>L18_HalfCaster</t>
  </si>
  <si>
    <t>L19_HalfCaster</t>
  </si>
  <si>
    <t>L20_HalfCaster</t>
  </si>
  <si>
    <t>L1_QuarterCaster</t>
  </si>
  <si>
    <t>Quarter</t>
  </si>
  <si>
    <t>L2_QuarterCaster</t>
  </si>
  <si>
    <t>L3_QuarterCaster</t>
  </si>
  <si>
    <t>L4_QuarterCaster</t>
  </si>
  <si>
    <t>L5_QuarterCaster</t>
  </si>
  <si>
    <t>L6_QuarterCaster</t>
  </si>
  <si>
    <t>L7_QuarterCaster</t>
  </si>
  <si>
    <t>L8_QuarterCaster</t>
  </si>
  <si>
    <t>L9_QuarterCaster</t>
  </si>
  <si>
    <t>L10_QuarterCaster</t>
  </si>
  <si>
    <t>L11_QuarterCaster</t>
  </si>
  <si>
    <t>L12_QuarterCaster</t>
  </si>
  <si>
    <t>L13_QuarterCaster</t>
  </si>
  <si>
    <t>L14_QuarterCaster</t>
  </si>
  <si>
    <t>L15_QuarterCaster</t>
  </si>
  <si>
    <t>L16_QuarterCaster</t>
  </si>
  <si>
    <t>L17_QuarterCaster</t>
  </si>
  <si>
    <t>L18_QuarterCaster</t>
  </si>
  <si>
    <t>L19_QuarterCaster</t>
  </si>
  <si>
    <t>L20_QuarterCaster</t>
  </si>
  <si>
    <t>L1_Artificer</t>
  </si>
  <si>
    <t>L2_Artificer</t>
  </si>
  <si>
    <t>L3_Artificer</t>
  </si>
  <si>
    <t>L4_Artificer</t>
  </si>
  <si>
    <t>L5_Artificer</t>
  </si>
  <si>
    <t>L6_Artificer</t>
  </si>
  <si>
    <t>L7_Artificer</t>
  </si>
  <si>
    <t>L8_Artificer</t>
  </si>
  <si>
    <t>L9_Artificer</t>
  </si>
  <si>
    <t>L10_Artificer</t>
  </si>
  <si>
    <t>L11_Artificer</t>
  </si>
  <si>
    <t>L12_Artificer</t>
  </si>
  <si>
    <t>L13_Artificer</t>
  </si>
  <si>
    <t>L14_Artificer</t>
  </si>
  <si>
    <t>L15_Artificer</t>
  </si>
  <si>
    <t>L16_Artificer</t>
  </si>
  <si>
    <t>L17_Artificer</t>
  </si>
  <si>
    <t>L18_Artificer</t>
  </si>
  <si>
    <t>L19_Artificer</t>
  </si>
  <si>
    <t>L20_Artificer</t>
  </si>
  <si>
    <t>L1_Warlock</t>
  </si>
  <si>
    <t>L2_Warlock</t>
  </si>
  <si>
    <t>L3_Warlock</t>
  </si>
  <si>
    <t>L4_Warlock</t>
  </si>
  <si>
    <t>L5_Warlock</t>
  </si>
  <si>
    <t>L6_Warlock</t>
  </si>
  <si>
    <t>L7_Warlock</t>
  </si>
  <si>
    <t>L8_Warlock</t>
  </si>
  <si>
    <t>L9_Warlock</t>
  </si>
  <si>
    <t>L10_Warlock</t>
  </si>
  <si>
    <t>L11_Warlock</t>
  </si>
  <si>
    <t>L12_Warlock</t>
  </si>
  <si>
    <t>L13_Warlock</t>
  </si>
  <si>
    <t>L14_Warlock</t>
  </si>
  <si>
    <t>L15_Warlock</t>
  </si>
  <si>
    <t>L16_Warlock</t>
  </si>
  <si>
    <t>L17_Warlock</t>
  </si>
  <si>
    <t>L18_Warlock</t>
  </si>
  <si>
    <t>L19_Warlock</t>
  </si>
  <si>
    <t>L20_Warlock</t>
  </si>
  <si>
    <t>Feat</t>
  </si>
  <si>
    <t>Homebrew</t>
  </si>
  <si>
    <r>
      <rPr>
        <rFont val="Calibri"/>
        <b/>
        <color rgb="FF1155CC"/>
        <sz val="10.0"/>
        <u/>
      </rPr>
      <t>Actor</t>
    </r>
  </si>
  <si>
    <t>Add +1 to Cha., advantage on Deception and Performance checks, mimic the speech of a person or the sounds made by a creature.</t>
  </si>
  <si>
    <t>Core</t>
  </si>
  <si>
    <r>
      <rPr>
        <rFont val="Calibri"/>
        <b/>
        <color rgb="FF1155CC"/>
        <sz val="10.0"/>
        <u/>
      </rPr>
      <t>Alert</t>
    </r>
  </si>
  <si>
    <t>Add +5 to initiative, you can't be surprised, and creatures you don't see don't gain advantage on attack roll against you.</t>
  </si>
  <si>
    <r>
      <rPr>
        <rFont val="Calibri"/>
        <b/>
        <color rgb="FF1155CC"/>
        <sz val="10.0"/>
        <u/>
      </rPr>
      <t>Artificer Initiate</t>
    </r>
  </si>
  <si>
    <t>You learn one cantrip and one 1st-level artificier spell (cast without slot), proficiency with one type of artisan's tools.</t>
  </si>
  <si>
    <r>
      <rPr>
        <rFont val="Calibri"/>
        <b/>
        <color rgb="FF1155CC"/>
        <sz val="10.0"/>
        <u/>
      </rPr>
      <t>Athlete</t>
    </r>
  </si>
  <si>
    <t>Add +1 in Str. or Dex., you stand up and climb more quickly, and you can jump with only a 5-ft run.</t>
  </si>
  <si>
    <r>
      <rPr>
        <rFont val="Calibri"/>
        <b/>
        <color rgb="FF1155CC"/>
        <sz val="10.0"/>
        <u/>
      </rPr>
      <t>Bountiful Luck</t>
    </r>
  </si>
  <si>
    <t>Halfling</t>
  </si>
  <si>
    <t>You can let an ally within 30 ft of you to reroll a 1 on a d20.</t>
  </si>
  <si>
    <r>
      <rPr>
        <rFont val="Calibri"/>
        <b/>
        <color rgb="FF1155CC"/>
        <sz val="10.0"/>
        <u/>
      </rPr>
      <t>Charger</t>
    </r>
  </si>
  <si>
    <t>As part of the Dash action you can make a melee attack with a +5 bonus if you move at least 10 ft before.</t>
  </si>
  <si>
    <r>
      <rPr>
        <rFont val="Calibri"/>
        <b/>
        <color rgb="FF1155CC"/>
        <sz val="10.0"/>
        <u/>
      </rPr>
      <t>Chef</t>
    </r>
  </si>
  <si>
    <t>Add +1 in Con. or Wis., proficiency with cook's utensils and cook special food to regain hp.</t>
  </si>
  <si>
    <r>
      <rPr>
        <rFont val="Calibri"/>
        <b/>
        <color rgb="FF1155CC"/>
        <sz val="10.0"/>
        <u/>
      </rPr>
      <t>Crossbow Expert</t>
    </r>
  </si>
  <si>
    <t>You ignore the loading property of crossbows and don't have disadvantage for being in contact with a creature when you shoot.</t>
  </si>
  <si>
    <r>
      <rPr>
        <rFont val="Calibri"/>
        <b/>
        <color rgb="FF1155CC"/>
        <sz val="10.0"/>
        <u/>
      </rPr>
      <t>Crusher</t>
    </r>
  </si>
  <si>
    <t>Add +1 in Str. or Con., 5 ft extra move when you hit (bludgeoning) and attacks with advantage after a critical hit.</t>
  </si>
  <si>
    <r>
      <rPr>
        <rFont val="Calibri"/>
        <b/>
        <color rgb="FF1155CC"/>
        <sz val="10.0"/>
        <u/>
      </rPr>
      <t>Defensive Duelist</t>
    </r>
  </si>
  <si>
    <t>Dexterity 13 or higher</t>
  </si>
  <si>
    <t>You can add your proficiency bonus to your AC if you are wielding a finesse weapon, in reaction to a melee attack.</t>
  </si>
  <si>
    <r>
      <rPr>
        <rFont val="Calibri"/>
        <b/>
        <color rgb="FF1155CC"/>
        <sz val="10.0"/>
        <u/>
      </rPr>
      <t>Dragon Fear</t>
    </r>
  </si>
  <si>
    <t>Add +1 in Str., Con., or Cha. and your Breath Weapon can frighten instead of inflicting damages.</t>
  </si>
  <si>
    <r>
      <rPr>
        <rFont val="Calibri"/>
        <b/>
        <color rgb="FF1155CC"/>
        <sz val="10.0"/>
        <u/>
      </rPr>
      <t>Dragon Hide</t>
    </r>
  </si>
  <si>
    <t>Add +1 in Str., Con., or Cha., your AC becomes 13+Dex. modifier and your retractable claws deal 1d4+Str. modifier slashing damage.</t>
  </si>
  <si>
    <r>
      <rPr>
        <rFont val="Calibri"/>
        <b/>
        <color rgb="FF1155CC"/>
        <sz val="10.0"/>
        <u/>
      </rPr>
      <t>Drow High Magic</t>
    </r>
  </si>
  <si>
    <t>Elf (drow)</t>
  </si>
  <si>
    <t>You can cast the detect magic spell (at will) and the levitate and dispel magic spells (1/long rest).</t>
  </si>
  <si>
    <r>
      <rPr>
        <rFont val="Calibri"/>
        <b/>
        <color rgb="FF1155CC"/>
        <sz val="10.0"/>
        <u/>
      </rPr>
      <t>Dual Wielder</t>
    </r>
  </si>
  <si>
    <t>Add +1 to AC if you're wielding a melee weapon in each hand, two-weapon fighting with non-light weapon, draw two weapons.</t>
  </si>
  <si>
    <r>
      <rPr>
        <rFont val="Calibri"/>
        <b/>
        <color rgb="FF1155CC"/>
        <sz val="10.0"/>
        <u/>
      </rPr>
      <t>Dungeon Delver</t>
    </r>
  </si>
  <si>
    <t>Advantage to Perception and Investigation checks, to saving throws vs traps, and search for traps at normal pace.</t>
  </si>
  <si>
    <r>
      <rPr>
        <rFont val="Calibri"/>
        <b/>
        <color rgb="FF1155CC"/>
        <sz val="10.0"/>
        <u/>
      </rPr>
      <t>Durable</t>
    </r>
  </si>
  <si>
    <t>Add +1 in Con. and for each Hit Dice you regain a minimum of hit points equals to 2 x your Constitution modifier.</t>
  </si>
  <si>
    <r>
      <rPr>
        <rFont val="Calibri"/>
        <b/>
        <color rgb="FF1155CC"/>
        <sz val="10.0"/>
        <u/>
      </rPr>
      <t>Dwarf Fortitude</t>
    </r>
  </si>
  <si>
    <t>Dwarf</t>
  </si>
  <si>
    <t>Add +1 in Con., and you can spend one Hit Die to heal yourself taking the Dodge action.</t>
  </si>
  <si>
    <r>
      <rPr>
        <rFont val="Calibri"/>
        <b/>
        <color rgb="FF1155CC"/>
        <sz val="10.0"/>
        <u/>
      </rPr>
      <t>Eldritch Adept</t>
    </r>
  </si>
  <si>
    <t>Spellcasting or Pact Magic feature</t>
  </si>
  <si>
    <t>You learn one Eldritch Invocation.</t>
  </si>
  <si>
    <r>
      <rPr>
        <rFont val="Calibri"/>
        <b/>
        <color rgb="FF1155CC"/>
        <sz val="10.0"/>
        <u/>
      </rPr>
      <t>Elemental Adept</t>
    </r>
  </si>
  <si>
    <t>The ability to cast at least one spell</t>
  </si>
  <si>
    <t>Your spells ignore resistance to a damage type (acid, cold, fire, lightning, or thunder) and treat any 1 in damage as a 2.</t>
  </si>
  <si>
    <r>
      <rPr>
        <rFont val="Calibri"/>
        <b/>
        <color rgb="FF1155CC"/>
        <sz val="10.0"/>
        <u/>
      </rPr>
      <t>Elven Accuracy</t>
    </r>
  </si>
  <si>
    <t>Elf or half-elf</t>
  </si>
  <si>
    <t>Add +1 in Dex., Int., Wis., or Cha., and you can reroll one attack roll if you have advantage.</t>
  </si>
  <si>
    <r>
      <rPr>
        <rFont val="Calibri"/>
        <b/>
        <color rgb="FF1155CC"/>
        <sz val="10.0"/>
        <u/>
      </rPr>
      <t>Ember of the Fire Giant</t>
    </r>
  </si>
  <si>
    <t>4th Level, Strike of the Giants (Fire Strike) feat</t>
  </si>
  <si>
    <t>Add +1 in Str., Con., or Wis. ; resistance to fire damage ; 1d8+PB fire damage + blinded (15-ft-radius ; PB/day).</t>
  </si>
  <si>
    <r>
      <rPr>
        <rFont val="Calibri"/>
        <b/>
        <color rgb="FF1155CC"/>
        <sz val="10.0"/>
        <u/>
      </rPr>
      <t>Fade away</t>
    </r>
  </si>
  <si>
    <t>Gnome</t>
  </si>
  <si>
    <t>Add +1 in Dex. or Int., and you can use your reaction to become invisible if you take damage.</t>
  </si>
  <si>
    <r>
      <rPr>
        <rFont val="Calibri"/>
        <b/>
        <color rgb="FF1155CC"/>
        <sz val="10.0"/>
        <u/>
      </rPr>
      <t>Fey Teleportation</t>
    </r>
  </si>
  <si>
    <t>Elf (high)</t>
  </si>
  <si>
    <t>Add +1 in Int. or Cha., you speak Sylvan, and you can cast the misty step spell (1/short rest).</t>
  </si>
  <si>
    <r>
      <rPr>
        <rFont val="Calibri"/>
        <b/>
        <color rgb="FF1155CC"/>
        <sz val="10.0"/>
        <u/>
      </rPr>
      <t>Fey Touched</t>
    </r>
  </si>
  <si>
    <t>Add +1 in Int., Wis., or Cha., and you learn misty step and one 1st-level spell from divination or enchantment school.</t>
  </si>
  <si>
    <r>
      <rPr>
        <rFont val="Calibri"/>
        <b/>
        <color rgb="FF1155CC"/>
        <sz val="10.0"/>
        <u/>
      </rPr>
      <t>Fighting Initiate</t>
    </r>
  </si>
  <si>
    <t>Proficiency with a martial weapon</t>
  </si>
  <si>
    <t>You learn one Fighting Style option from the fighter class.</t>
  </si>
  <si>
    <r>
      <rPr>
        <rFont val="Calibri"/>
        <b/>
        <color rgb="FF1155CC"/>
        <sz val="10.0"/>
        <u/>
      </rPr>
      <t>Flames of Phlegethos</t>
    </r>
  </si>
  <si>
    <t>Add +1 in Int. or Cha., reroll any 1 on fire spell damage, and cause flames to wreathe you if you cast a fire spell.</t>
  </si>
  <si>
    <r>
      <rPr>
        <rFont val="Calibri"/>
        <b/>
        <color rgb="FF1155CC"/>
        <sz val="10.0"/>
        <u/>
      </rPr>
      <t>Fury of the Frost Giant</t>
    </r>
  </si>
  <si>
    <t>4th Level, Strike of the Giants (Frost Strike) feat</t>
  </si>
  <si>
    <t>Add +1 in Str., Con., or Wis. ; resistance to cold damage ; 1d8+PB cold damage + speed reduced to 0 (PB/day).</t>
  </si>
  <si>
    <r>
      <rPr>
        <rFont val="Calibri"/>
        <b/>
        <color rgb="FF1155CC"/>
        <sz val="10.0"/>
        <u/>
      </rPr>
      <t>Gift of the Chromatic Dragon</t>
    </r>
  </si>
  <si>
    <t>Extra 1d4 acid, cold, fire, lightning, or poison damage for 1 min (bonus action). Resistance to 1 of these damages (reaction).</t>
  </si>
  <si>
    <r>
      <rPr>
        <rFont val="Calibri"/>
        <b/>
        <color rgb="FF1155CC"/>
        <sz val="10.0"/>
        <u/>
      </rPr>
      <t>Gift of the Gem Dragon</t>
    </r>
  </si>
  <si>
    <t>Add +1 in Int., Wis., or Cha., Strength saving throw or 2d8 force damage and pushed away 10 ft in reaction to an attack (PB/day).</t>
  </si>
  <si>
    <r>
      <rPr>
        <rFont val="Calibri"/>
        <b/>
        <color rgb="FF1155CC"/>
        <sz val="10.0"/>
        <u/>
      </rPr>
      <t>Gift of the Metallic Dragon</t>
    </r>
  </si>
  <si>
    <t>You can cast cure wounds (1/long rest). As a reaction to an attack, can manifest wings to get +PB to your AC (PB/day).</t>
  </si>
  <si>
    <r>
      <rPr>
        <rFont val="Calibri"/>
        <b/>
        <color rgb="FF1155CC"/>
        <sz val="10.0"/>
        <u/>
      </rPr>
      <t>Grappler</t>
    </r>
  </si>
  <si>
    <t>Strength 13 or higher</t>
  </si>
  <si>
    <t>You have advantage on attack rolls when grappling, and can try to restrained a creature grappled by you.</t>
  </si>
  <si>
    <r>
      <rPr>
        <rFont val="Calibri"/>
        <b/>
        <color rgb="FF1155CC"/>
        <sz val="10.0"/>
        <u/>
      </rPr>
      <t>Great Weapon Master</t>
    </r>
  </si>
  <si>
    <t>Extra attack after a melee critical hit and you can choose to take -5 to attack roll to add +10 to damage with an heavy weapon.</t>
  </si>
  <si>
    <r>
      <rPr>
        <rFont val="Calibri"/>
        <b/>
        <color rgb="FF1155CC"/>
        <sz val="10.0"/>
        <u/>
      </rPr>
      <t>Guile of the Cloud Giant</t>
    </r>
  </si>
  <si>
    <t>4th Level, Strike of the Giants (Cloud Strike) feat</t>
  </si>
  <si>
    <t>Add +1 in Str., Con., or Wis. ; resistance to attack's damage ; teleport within 30 ft (PB/day).</t>
  </si>
  <si>
    <r>
      <rPr>
        <rFont val="Calibri"/>
        <b/>
        <color rgb="FF1155CC"/>
        <sz val="10.0"/>
        <u/>
      </rPr>
      <t>Gunner</t>
    </r>
  </si>
  <si>
    <t>Add +1 in Dex., proficiency with firearms, ignore loading property of firearms and no disadvantage to attacks within 5 ft.</t>
  </si>
  <si>
    <r>
      <rPr>
        <rFont val="Calibri"/>
        <b/>
        <color rgb="FF1155CC"/>
        <sz val="10.0"/>
        <u/>
      </rPr>
      <t>Healer</t>
    </r>
  </si>
  <si>
    <t>You can stabilize a creature and restore it to 1 hp, or restore [1d6+4+its number of Hit Dice] hp to it.</t>
  </si>
  <si>
    <r>
      <rPr>
        <rFont val="Calibri"/>
        <b/>
        <color rgb="FF1155CC"/>
        <sz val="10.0"/>
        <u/>
      </rPr>
      <t>Heavily Armored</t>
    </r>
  </si>
  <si>
    <t>Proficiency with medium armor</t>
  </si>
  <si>
    <t>Add +1 in Str. and you gain proficiency with heavy armor.</t>
  </si>
  <si>
    <r>
      <rPr>
        <rFont val="Calibri"/>
        <b/>
        <color rgb="FF1155CC"/>
        <sz val="10.0"/>
        <u/>
      </rPr>
      <t>Heavy Armor Master</t>
    </r>
  </si>
  <si>
    <t>Proficiency with heavy armor</t>
  </si>
  <si>
    <t>Add +1 in Str. and bludgeoning, piercing, and slashing damage are reduced by 3 if you are wearing an heavy armor.</t>
  </si>
  <si>
    <r>
      <rPr>
        <rFont val="Calibri"/>
        <b/>
        <color rgb="FF1155CC"/>
        <sz val="10.0"/>
        <u/>
      </rPr>
      <t>Infernal Constitution</t>
    </r>
  </si>
  <si>
    <t>Add +1 in Con., resistance to cold and poison damage, and you have advantage on saving throws against being poisoned.</t>
  </si>
  <si>
    <r>
      <rPr>
        <rFont val="Calibri"/>
        <b/>
        <color rgb="FF1155CC"/>
        <sz val="10.0"/>
        <u/>
      </rPr>
      <t>Inspiring Leader</t>
    </r>
  </si>
  <si>
    <t>Charisma 13 or higher</t>
  </si>
  <si>
    <t>Up to 6 creatures within 30 ft of you can gain temporary hp equal to your level + your Cha. modifier.</t>
  </si>
  <si>
    <r>
      <rPr>
        <rFont val="Calibri"/>
        <b/>
        <color rgb="FF1155CC"/>
        <sz val="10.0"/>
        <u/>
      </rPr>
      <t>Keen Mind</t>
    </r>
  </si>
  <si>
    <t>Add +1 in Int., you know which way is north, when is the next sunrise/sunset, and recall any events within the past month.</t>
  </si>
  <si>
    <r>
      <rPr>
        <rFont val="Calibri"/>
        <b/>
        <color rgb="FF1155CC"/>
        <sz val="10.0"/>
        <u/>
      </rPr>
      <t>Keenness of the Stone Giant</t>
    </r>
  </si>
  <si>
    <t>4th Level, Strike of the Giants (Stone Strike) feat</t>
  </si>
  <si>
    <t>Add +1 in Str., Con., or Wis. ; darkvision 60 ft ; 1d10 force damage with a range of 60 ft + prone (PB/day).</t>
  </si>
  <si>
    <r>
      <rPr>
        <rFont val="Calibri"/>
        <b/>
        <color rgb="FF1155CC"/>
        <sz val="10.0"/>
        <u/>
      </rPr>
      <t>Lightly Armored</t>
    </r>
  </si>
  <si>
    <t>Add +1 in Str. or Dex. and you gain profociency with light armor.</t>
  </si>
  <si>
    <r>
      <rPr>
        <rFont val="Calibri"/>
        <b/>
        <color rgb="FF1155CC"/>
        <sz val="10.0"/>
        <u/>
      </rPr>
      <t>Linguist</t>
    </r>
  </si>
  <si>
    <t>Add +1 in Int., you learn three languages, and you can ably create ciphers.</t>
  </si>
  <si>
    <r>
      <rPr>
        <rFont val="Calibri"/>
        <b/>
        <color rgb="FF1155CC"/>
        <sz val="10.0"/>
        <u/>
      </rPr>
      <t>Lucky</t>
    </r>
  </si>
  <si>
    <t>You can reroll one d20 or force to reroll an attack roll against you (3/long rest).</t>
  </si>
  <si>
    <r>
      <rPr>
        <rFont val="Calibri"/>
        <b/>
        <color rgb="FF1155CC"/>
        <sz val="10.0"/>
        <u/>
      </rPr>
      <t>Mage Slayer</t>
    </r>
  </si>
  <si>
    <t>You can use a reaction to make a melee attack against a spellcaster and advantage on saving throws against spell within 5 ft.</t>
  </si>
  <si>
    <r>
      <rPr>
        <rFont val="Calibri"/>
        <b/>
        <color rgb="FF1155CC"/>
        <sz val="10.0"/>
        <u/>
      </rPr>
      <t>Magic Initiate</t>
    </r>
  </si>
  <si>
    <t>You learn two cantrips and one 1st-level spell from one class.</t>
  </si>
  <si>
    <r>
      <rPr>
        <rFont val="Calibri"/>
        <b/>
        <color rgb="FF1155CC"/>
        <sz val="10.0"/>
        <u/>
      </rPr>
      <t>Martial Adept</t>
    </r>
  </si>
  <si>
    <t>You learn two maneuvers from Battle Master archetype and gain one superiority die (d6).</t>
  </si>
  <si>
    <r>
      <rPr>
        <rFont val="Calibri"/>
        <b/>
        <color rgb="FF1155CC"/>
        <sz val="10.0"/>
        <u/>
      </rPr>
      <t>Medium Armor Master</t>
    </r>
  </si>
  <si>
    <t>No disadvantage to Stealth checks wearing medium armor and Dexterity bonus max to +3 instead of +2.</t>
  </si>
  <si>
    <r>
      <rPr>
        <rFont val="Calibri"/>
        <b/>
        <color rgb="FF1155CC"/>
        <sz val="10.0"/>
        <u/>
      </rPr>
      <t>Metamagic Adept</t>
    </r>
  </si>
  <si>
    <t>You learn two metamagic options and gain 2 sorcery points.</t>
  </si>
  <si>
    <r>
      <rPr>
        <rFont val="Calibri"/>
        <b/>
        <color rgb="FF1155CC"/>
        <sz val="10.0"/>
        <u/>
      </rPr>
      <t>Mobile</t>
    </r>
  </si>
  <si>
    <t>Your speed increase by 10 ft, you can Dash on difficult terrain without malus, and don't provoke opportunity attacks in melee.</t>
  </si>
  <si>
    <r>
      <rPr>
        <rFont val="Calibri"/>
        <b/>
        <color rgb="FF1155CC"/>
        <sz val="10.0"/>
        <u/>
      </rPr>
      <t>Moderately Armored</t>
    </r>
  </si>
  <si>
    <t>Proficiency with light armor</t>
  </si>
  <si>
    <t>Add +1 in Str. or Dex. and you gain proficiency with medium armor and shields.</t>
  </si>
  <si>
    <r>
      <rPr>
        <rFont val="Calibri"/>
        <b/>
        <color rgb="FF1155CC"/>
        <sz val="10.0"/>
        <u/>
      </rPr>
      <t>Mounted Combatant</t>
    </r>
  </si>
  <si>
    <t>Advantage on melee attacks against unmounted creature and force an attack to target you instead of your mount.</t>
  </si>
  <si>
    <r>
      <rPr>
        <rFont val="Calibri"/>
        <b/>
        <color rgb="FF1155CC"/>
        <sz val="10.0"/>
        <u/>
      </rPr>
      <t>Observant</t>
    </r>
  </si>
  <si>
    <t>Add +1 in Int. or Wis., you can read on lips, and you have a +5 bonus in passive Perception and passive Investigation.</t>
  </si>
  <si>
    <r>
      <rPr>
        <rFont val="Calibri"/>
        <b/>
        <color rgb="FF1155CC"/>
        <sz val="10.0"/>
        <u/>
      </rPr>
      <t>Orcish Fury</t>
    </r>
  </si>
  <si>
    <t>Half-orc</t>
  </si>
  <si>
    <t>Add +1 in Str. or Con., add one of the weapon's damage dice, and use a reaction to attack after using Relentless Endurance.</t>
  </si>
  <si>
    <r>
      <rPr>
        <rFont val="Calibri"/>
        <b/>
        <color rgb="FF1155CC"/>
        <sz val="10.0"/>
        <u/>
      </rPr>
      <t>Piercer</t>
    </r>
  </si>
  <si>
    <t>Add +1 in Str. or Dex., reroll one damage dice when you hit (piercing) and one additional damage dice in case of critical hit.</t>
  </si>
  <si>
    <r>
      <rPr>
        <rFont val="Calibri"/>
        <b/>
        <color rgb="FF1155CC"/>
        <sz val="10.0"/>
        <u/>
      </rPr>
      <t>Poisoner</t>
    </r>
  </si>
  <si>
    <t>Proficiency with poisoner's kit, apply as a bonus action and your attacks ignore resistance to poison damage.</t>
  </si>
  <si>
    <r>
      <rPr>
        <rFont val="Calibri"/>
        <b/>
        <color rgb="FF1155CC"/>
        <sz val="10.0"/>
        <u/>
      </rPr>
      <t>Polearm Master</t>
    </r>
  </si>
  <si>
    <t>You can make an extra attack with a polearm weapon, and make an opportunity attack if a creature enter your reach.</t>
  </si>
  <si>
    <r>
      <rPr>
        <rFont val="Calibri"/>
        <b/>
        <color rgb="FF1155CC"/>
        <sz val="10.0"/>
        <u/>
      </rPr>
      <t>Prodigy</t>
    </r>
  </si>
  <si>
    <t>Half-elf, half-orc, or human</t>
  </si>
  <si>
    <t>You gain proficiency with one skill, one tool or one language, and you gain expertise with one skill.</t>
  </si>
  <si>
    <r>
      <rPr>
        <rFont val="Calibri"/>
        <b/>
        <color rgb="FF1155CC"/>
        <sz val="10.0"/>
        <u/>
      </rPr>
      <t>Resilient</t>
    </r>
  </si>
  <si>
    <t>Add +1 in one ability and you gain proficiency in saving throws using this ability.</t>
  </si>
  <si>
    <r>
      <rPr>
        <rFont val="Calibri"/>
        <b/>
        <color rgb="FF1155CC"/>
        <sz val="10.0"/>
        <u/>
      </rPr>
      <t>Ritual Caster</t>
    </r>
  </si>
  <si>
    <t>Intelligence or Wisdom 13 or higher</t>
  </si>
  <si>
    <t>You have a ritual book with two 1-st level ritual spells from one class and you can later on add other ritual spells you found.</t>
  </si>
  <si>
    <r>
      <rPr>
        <rFont val="Calibri"/>
        <b/>
        <color rgb="FF1155CC"/>
        <sz val="10.0"/>
        <u/>
      </rPr>
      <t>Rune Shaper</t>
    </r>
  </si>
  <si>
    <t>Spellcasting feature or Rune Carver background</t>
  </si>
  <si>
    <t>You learn comprehend languages and 1/2 PB 1st-level spells (cast with rune or spell slot).</t>
  </si>
  <si>
    <r>
      <rPr>
        <rFont val="Calibri"/>
        <b/>
        <color rgb="FF1155CC"/>
        <sz val="10.0"/>
        <u/>
      </rPr>
      <t>Savage Attacker</t>
    </r>
  </si>
  <si>
    <t>You can reroll melee weapon attack damage once per turn.</t>
  </si>
  <si>
    <r>
      <rPr>
        <rFont val="Calibri"/>
        <b/>
        <color rgb="FF1155CC"/>
        <sz val="10.0"/>
        <u/>
      </rPr>
      <t>Second Chance</t>
    </r>
  </si>
  <si>
    <t>Add +1 in Dex., Con., or Cha., and you can force a creature to reroll its attack roll if it hits you.</t>
  </si>
  <si>
    <r>
      <rPr>
        <rFont val="Calibri"/>
        <b/>
        <color rgb="FF1155CC"/>
        <sz val="10.0"/>
        <u/>
      </rPr>
      <t>Sentinel</t>
    </r>
  </si>
  <si>
    <t>A successful OA reduce creature's speed to 0 for this turn and possibility to make an OA even if the ennemy take Disengage.</t>
  </si>
  <si>
    <r>
      <rPr>
        <rFont val="Calibri"/>
        <b/>
        <color rgb="FF1155CC"/>
        <sz val="10.0"/>
        <u/>
      </rPr>
      <t>Shadow Touched</t>
    </r>
  </si>
  <si>
    <t>Add +1 in Int., Wis., or Cha., and you learn invisibility and one 1st-level spell from illusion or necromancy school.</t>
  </si>
  <si>
    <r>
      <rPr>
        <rFont val="Calibri"/>
        <b/>
        <color rgb="FF1155CC"/>
        <sz val="10.0"/>
        <u/>
      </rPr>
      <t>Sharpshooter</t>
    </r>
  </si>
  <si>
    <t>Your ranged attacks ignore some cover, no disavantage at long range, and possibility to take -5 to hit for +10 on ranged damage.</t>
  </si>
  <si>
    <r>
      <rPr>
        <rFont val="Calibri"/>
        <b/>
        <color rgb="FF1155CC"/>
        <sz val="10.0"/>
        <u/>
      </rPr>
      <t>Shield Master</t>
    </r>
  </si>
  <si>
    <t>Attack also allows to shove, shield bonus to Dex. saving throws againts spells, and no 1/2 damage on successful saving throw.</t>
  </si>
  <si>
    <r>
      <rPr>
        <rFont val="Calibri"/>
        <b/>
        <color rgb="FF1155CC"/>
        <sz val="10.0"/>
        <u/>
      </rPr>
      <t>Skill Expert</t>
    </r>
  </si>
  <si>
    <t>Add +1 in one ability, proficiency in one skill and expertise in one other in which you have proficiency.</t>
  </si>
  <si>
    <r>
      <rPr>
        <rFont val="Calibri"/>
        <b/>
        <color rgb="FF1155CC"/>
        <sz val="10.0"/>
        <u/>
      </rPr>
      <t>Skilled</t>
    </r>
  </si>
  <si>
    <t>You gain proficiency with three skills or tools.</t>
  </si>
  <si>
    <r>
      <rPr>
        <rFont val="Calibri"/>
        <b/>
        <color rgb="FF1155CC"/>
        <sz val="10.0"/>
        <u/>
      </rPr>
      <t>Skulker</t>
    </r>
  </si>
  <si>
    <t>Ranged weapon attack doesn't reveal your position and possibility to hide in a lighlly obscured area.</t>
  </si>
  <si>
    <r>
      <rPr>
        <rFont val="Calibri"/>
        <b/>
        <color rgb="FF1155CC"/>
        <sz val="10.0"/>
        <u/>
      </rPr>
      <t>Slasher</t>
    </r>
  </si>
  <si>
    <t>Add +1 in Str. or Dex., reduce target's speed by 10 ft when you hit (slashing) and target has disadvantage on attacks rolls.</t>
  </si>
  <si>
    <r>
      <rPr>
        <rFont val="Calibri"/>
        <b/>
        <color rgb="FF1155CC"/>
        <sz val="10.0"/>
        <u/>
      </rPr>
      <t>Soul of the Storm Giant</t>
    </r>
  </si>
  <si>
    <t>4th Level, Strike of the Giants (Storm Strike) feat</t>
  </si>
  <si>
    <t>Add +1 in Str., Con., or Wis.; resistance to lightning and thunder damage ; disadvantage vs you ; 1/2 speed (PB/day).</t>
  </si>
  <si>
    <r>
      <rPr>
        <rFont val="Calibri"/>
        <b/>
        <color rgb="FF1155CC"/>
        <sz val="10.0"/>
        <u/>
      </rPr>
      <t>Spell Sniper</t>
    </r>
  </si>
  <si>
    <t>Offensive spell's range doubled, these spells ignore some cover, and you learn one offensive cantrip.</t>
  </si>
  <si>
    <r>
      <rPr>
        <rFont val="Calibri"/>
        <b/>
        <color rgb="FF1155CC"/>
        <sz val="10.0"/>
        <u/>
      </rPr>
      <t>Squat Nimbleness</t>
    </r>
  </si>
  <si>
    <t>Dwarf or a Small race</t>
  </si>
  <si>
    <t>Add +1 in Str. or Dex., your speed increases by 5 ft, and proficiency and advantage to escape with Acrobatics or Athletics checks.</t>
  </si>
  <si>
    <r>
      <rPr>
        <rFont val="Calibri"/>
        <b/>
        <color rgb="FF1155CC"/>
        <sz val="10.0"/>
        <u/>
      </rPr>
      <t>Strike of the Giants</t>
    </r>
  </si>
  <si>
    <t>Proficiency with a martial weapon or Giant Foundling background</t>
  </si>
  <si>
    <t>Extra damage and additional effect when hit with a weapon attack, according to the giant type chosen (PB/day).</t>
  </si>
  <si>
    <r>
      <rPr>
        <rFont val="Calibri"/>
        <b/>
        <color rgb="FF1155CC"/>
        <sz val="10.0"/>
        <u/>
      </rPr>
      <t>Tavern Brawler</t>
    </r>
  </si>
  <si>
    <t>Add +1 in Str. or Con., proficiency with improvised weapons, d4 for unarmed strike, and grapple with a bonus action.</t>
  </si>
  <si>
    <r>
      <rPr>
        <rFont val="Calibri"/>
        <b/>
        <color rgb="FF1155CC"/>
        <sz val="10.0"/>
        <u/>
      </rPr>
      <t>Telekinetic</t>
    </r>
  </si>
  <si>
    <t>Add +1 in Int., Wis., or Cha., you learn mage hand and you can try to telekinetically shove one creature (5 ft).</t>
  </si>
  <si>
    <r>
      <rPr>
        <rFont val="Calibri"/>
        <b/>
        <color rgb="FF1155CC"/>
        <sz val="10.0"/>
        <u/>
      </rPr>
      <t>Telepathic</t>
    </r>
  </si>
  <si>
    <t>Add +1 in Int., Wis., or Cha., you can cast detect thoughts and you can speak telepathically to any creature within 60 ft.</t>
  </si>
  <si>
    <r>
      <rPr>
        <rFont val="Calibri"/>
        <b/>
        <color rgb="FF1155CC"/>
        <sz val="10.0"/>
        <u/>
      </rPr>
      <t>Tough</t>
    </r>
  </si>
  <si>
    <t>Your hit point maximum increases by an amount equal to twice your level then by +2 at each level.</t>
  </si>
  <si>
    <r>
      <rPr>
        <rFont val="Calibri"/>
        <b/>
        <color rgb="FF1155CC"/>
        <sz val="10.0"/>
        <u/>
      </rPr>
      <t>Vigor of the Hill Giant</t>
    </r>
  </si>
  <si>
    <t>4th Level, Strike of the Giants (Hill Strike) feat</t>
  </si>
  <si>
    <t>Add +1 in Str., Con., or Wis. ; resistance to be prone ; Hit Dice to regain additional hit points equals to your Con. modifier + PB.</t>
  </si>
  <si>
    <r>
      <rPr>
        <rFont val="Calibri"/>
        <b/>
        <color rgb="FF1155CC"/>
        <sz val="10.0"/>
        <u/>
      </rPr>
      <t>War Caster</t>
    </r>
  </si>
  <si>
    <t>You have advantage on saving throws to maintain concentration and you can cast some spells as part of an OA with a reaction.</t>
  </si>
  <si>
    <r>
      <rPr>
        <rFont val="Calibri"/>
        <b/>
        <color rgb="FF1155CC"/>
        <sz val="10.0"/>
        <u/>
      </rPr>
      <t>Weapon Master</t>
    </r>
  </si>
  <si>
    <t>Add +1 in Str. or Dex. and you gain proficiency with four weapons.</t>
  </si>
  <si>
    <r>
      <rPr>
        <rFont val="Calibri"/>
        <b/>
        <color rgb="FF1155CC"/>
        <sz val="10.0"/>
        <u/>
      </rPr>
      <t>Wood Elf Magic</t>
    </r>
  </si>
  <si>
    <t>Elf (wood)</t>
  </si>
  <si>
    <t>You learn one druid cantrip and can cast the longstrider and pass without trace spells (1/long rest).</t>
  </si>
  <si>
    <t>Weapon</t>
  </si>
  <si>
    <t>Cost</t>
  </si>
  <si>
    <t>Damage</t>
  </si>
  <si>
    <t>Damage_Type</t>
  </si>
  <si>
    <t>Weight</t>
  </si>
  <si>
    <t>Simple or Martial</t>
  </si>
  <si>
    <t>Melee or Ranged</t>
  </si>
  <si>
    <t>Properties</t>
  </si>
  <si>
    <r>
      <rPr>
        <rFont val="Georgia, serif"/>
        <color rgb="FF1155CC"/>
        <sz val="14.0"/>
        <u/>
      </rPr>
      <t>Club</t>
    </r>
  </si>
  <si>
    <t>bludgeoning</t>
  </si>
  <si>
    <t>2 lb.</t>
  </si>
  <si>
    <t xml:space="preserve">Simple </t>
  </si>
  <si>
    <t>Melee</t>
  </si>
  <si>
    <r>
      <rPr>
        <rFont val="Georgia, serif"/>
        <color rgb="FF1155CC"/>
        <sz val="14.0"/>
        <u/>
      </rPr>
      <t>Dagger</t>
    </r>
  </si>
  <si>
    <t>piercing</t>
  </si>
  <si>
    <t>1 lb.</t>
  </si>
  <si>
    <t>Finesse, light, thrown (range 20/60)</t>
  </si>
  <si>
    <r>
      <rPr>
        <rFont val="Georgia, serif"/>
        <color rgb="FF1155CC"/>
        <sz val="14.0"/>
        <u/>
      </rPr>
      <t>Greatclub</t>
    </r>
  </si>
  <si>
    <t>2 sp</t>
  </si>
  <si>
    <t>10 lb.</t>
  </si>
  <si>
    <t>Two-handed</t>
  </si>
  <si>
    <r>
      <rPr>
        <rFont val="Georgia, serif"/>
        <color rgb="FF1155CC"/>
        <sz val="14.0"/>
        <u/>
      </rPr>
      <t>Handaxe</t>
    </r>
  </si>
  <si>
    <t>slashing</t>
  </si>
  <si>
    <t>Light, thrown (range 20/60)</t>
  </si>
  <si>
    <r>
      <rPr>
        <rFont val="Georgia, serif"/>
        <color rgb="FF1155CC"/>
        <sz val="14.0"/>
        <u/>
      </rPr>
      <t>Javelin</t>
    </r>
  </si>
  <si>
    <t>5 sp</t>
  </si>
  <si>
    <t>Thrown (range 30/120)</t>
  </si>
  <si>
    <r>
      <rPr>
        <rFont val="Georgia, serif"/>
        <color rgb="FF1155CC"/>
        <sz val="14.0"/>
        <u/>
      </rPr>
      <t>Light hammer</t>
    </r>
  </si>
  <si>
    <r>
      <rPr>
        <rFont val="Georgia, serif"/>
        <color rgb="FF1155CC"/>
        <sz val="14.0"/>
        <u/>
      </rPr>
      <t>Mace</t>
    </r>
  </si>
  <si>
    <t>4 lb.</t>
  </si>
  <si>
    <t>—</t>
  </si>
  <si>
    <r>
      <rPr>
        <rFont val="Georgia, serif"/>
        <color rgb="FF1155CC"/>
        <sz val="14.0"/>
        <u/>
      </rPr>
      <t>Quarterstaff</t>
    </r>
  </si>
  <si>
    <t>Versatile (1d8)</t>
  </si>
  <si>
    <r>
      <rPr>
        <rFont val="Georgia, serif"/>
        <color rgb="FF1155CC"/>
        <sz val="14.0"/>
        <u/>
      </rPr>
      <t>Sickle</t>
    </r>
  </si>
  <si>
    <t>1 gp</t>
  </si>
  <si>
    <r>
      <rPr>
        <rFont val="Georgia, serif"/>
        <color rgb="FF1155CC"/>
        <sz val="14.0"/>
        <u/>
      </rPr>
      <t>Spear</t>
    </r>
  </si>
  <si>
    <t>3 lb.</t>
  </si>
  <si>
    <t>Thrown (range 20/60), versatile (1d8)</t>
  </si>
  <si>
    <r>
      <rPr>
        <rFont val="Georgia, serif"/>
        <color rgb="FF1155CC"/>
        <sz val="14.0"/>
        <u/>
      </rPr>
      <t>Crossbow, light</t>
    </r>
  </si>
  <si>
    <t>5 lb.</t>
  </si>
  <si>
    <t>Ranged</t>
  </si>
  <si>
    <t>Ammunition (range 80/320), loading, two-handed</t>
  </si>
  <si>
    <r>
      <rPr>
        <rFont val="Georgia, serif"/>
        <color rgb="FF1155CC"/>
        <sz val="14.0"/>
        <u/>
      </rPr>
      <t>Dart</t>
    </r>
  </si>
  <si>
    <t>5 cp</t>
  </si>
  <si>
    <t>1/4 lb.</t>
  </si>
  <si>
    <t>Finesse, thrown (range 20/60)</t>
  </si>
  <si>
    <r>
      <rPr>
        <rFont val="Georgia, serif"/>
        <color rgb="FF1155CC"/>
        <sz val="14.0"/>
        <u/>
      </rPr>
      <t>Shortbow</t>
    </r>
  </si>
  <si>
    <t>Ammunition (range 80/320), two-handed</t>
  </si>
  <si>
    <r>
      <rPr>
        <rFont val="Georgia, serif"/>
        <color rgb="FF1155CC"/>
        <sz val="14.0"/>
        <u/>
      </rPr>
      <t>Sling</t>
    </r>
  </si>
  <si>
    <t>Ammunition (range 30/120)</t>
  </si>
  <si>
    <r>
      <rPr>
        <rFont val="Georgia, serif"/>
        <color rgb="FF1155CC"/>
        <sz val="14.0"/>
        <u/>
      </rPr>
      <t>Battleaxe</t>
    </r>
  </si>
  <si>
    <t xml:space="preserve">1d8 </t>
  </si>
  <si>
    <t>Martial</t>
  </si>
  <si>
    <t>Versatile (1d10)</t>
  </si>
  <si>
    <r>
      <rPr>
        <rFont val="Georgia, serif"/>
        <color rgb="FF1155CC"/>
        <sz val="14.0"/>
        <u/>
      </rPr>
      <t>Flail</t>
    </r>
  </si>
  <si>
    <r>
      <rPr>
        <rFont val="Georgia, serif"/>
        <color rgb="FF1155CC"/>
        <sz val="14.0"/>
        <u/>
      </rPr>
      <t>Glaive</t>
    </r>
  </si>
  <si>
    <t>6 lb.</t>
  </si>
  <si>
    <t>Heavy, reach, two-handed</t>
  </si>
  <si>
    <r>
      <rPr>
        <rFont val="Georgia, serif"/>
        <color rgb="FF1155CC"/>
        <sz val="14.0"/>
        <u/>
      </rPr>
      <t>Greataxe</t>
    </r>
  </si>
  <si>
    <t>1d12</t>
  </si>
  <si>
    <t>7 lb.</t>
  </si>
  <si>
    <t>Heavy, two-handed</t>
  </si>
  <si>
    <r>
      <rPr>
        <rFont val="Georgia, serif"/>
        <color rgb="FF1155CC"/>
        <sz val="14.0"/>
        <u/>
      </rPr>
      <t>Greatsword</t>
    </r>
  </si>
  <si>
    <t>50 gp</t>
  </si>
  <si>
    <r>
      <rPr>
        <rFont val="Georgia, serif"/>
        <color rgb="FF1155CC"/>
        <sz val="14.0"/>
        <u/>
      </rPr>
      <t>Halberd</t>
    </r>
  </si>
  <si>
    <r>
      <rPr>
        <rFont val="Georgia, serif"/>
        <color rgb="FF1155CC"/>
        <sz val="14.0"/>
        <u/>
      </rPr>
      <t>Lance</t>
    </r>
  </si>
  <si>
    <t xml:space="preserve">1d12 </t>
  </si>
  <si>
    <t>Reach, special</t>
  </si>
  <si>
    <r>
      <rPr>
        <rFont val="Georgia, serif"/>
        <color rgb="FF1155CC"/>
        <sz val="14.0"/>
        <u/>
      </rPr>
      <t>Longsword</t>
    </r>
  </si>
  <si>
    <r>
      <rPr>
        <rFont val="Georgia, serif"/>
        <color rgb="FF1155CC"/>
        <sz val="14.0"/>
        <u/>
      </rPr>
      <t>Maul</t>
    </r>
  </si>
  <si>
    <r>
      <rPr>
        <rFont val="Georgia, serif"/>
        <color rgb="FF1155CC"/>
        <sz val="14.0"/>
        <u/>
      </rPr>
      <t>Morningstar</t>
    </r>
  </si>
  <si>
    <r>
      <rPr>
        <rFont val="Georgia, serif"/>
        <color rgb="FF1155CC"/>
        <sz val="14.0"/>
        <u/>
      </rPr>
      <t>Pike</t>
    </r>
  </si>
  <si>
    <t>18 lb.</t>
  </si>
  <si>
    <r>
      <rPr>
        <rFont val="Georgia, serif"/>
        <color rgb="FF1155CC"/>
        <sz val="14.0"/>
        <u/>
      </rPr>
      <t>Rapier</t>
    </r>
  </si>
  <si>
    <t>Finesse</t>
  </si>
  <si>
    <r>
      <rPr>
        <rFont val="Georgia, serif"/>
        <color rgb="FF1155CC"/>
        <sz val="14.0"/>
        <u/>
      </rPr>
      <t>Scimitar</t>
    </r>
  </si>
  <si>
    <t>Finesse, light</t>
  </si>
  <si>
    <r>
      <rPr>
        <rFont val="Georgia, serif"/>
        <color rgb="FF1155CC"/>
        <sz val="14.0"/>
        <u/>
      </rPr>
      <t>Shortsword</t>
    </r>
  </si>
  <si>
    <r>
      <rPr>
        <rFont val="Georgia, serif"/>
        <color rgb="FF1155CC"/>
        <sz val="14.0"/>
        <u/>
      </rPr>
      <t>Trident</t>
    </r>
  </si>
  <si>
    <r>
      <rPr>
        <rFont val="Georgia, serif"/>
        <color rgb="FF1155CC"/>
        <sz val="14.0"/>
        <u/>
      </rPr>
      <t>War pick</t>
    </r>
  </si>
  <si>
    <r>
      <rPr>
        <rFont val="Georgia, serif"/>
        <color rgb="FF1155CC"/>
        <sz val="14.0"/>
        <u/>
      </rPr>
      <t>Warhammer</t>
    </r>
  </si>
  <si>
    <r>
      <rPr>
        <rFont val="Georgia, serif"/>
        <color rgb="FF1155CC"/>
        <sz val="14.0"/>
        <u/>
      </rPr>
      <t>Whip</t>
    </r>
  </si>
  <si>
    <t>Finesse, reach</t>
  </si>
  <si>
    <r>
      <rPr>
        <rFont val="Georgia, serif"/>
        <color rgb="FF1155CC"/>
        <sz val="14.0"/>
        <u/>
      </rPr>
      <t>Blowgun</t>
    </r>
  </si>
  <si>
    <t>Ammunition (range 25/100), loading</t>
  </si>
  <si>
    <r>
      <rPr>
        <rFont val="Georgia, serif"/>
        <color rgb="FF1155CC"/>
        <sz val="14.0"/>
        <u/>
      </rPr>
      <t>Crossbow, hand</t>
    </r>
  </si>
  <si>
    <t>75 gp</t>
  </si>
  <si>
    <t>Ammunition (range 30/120), light, loading</t>
  </si>
  <si>
    <r>
      <rPr>
        <rFont val="Georgia, serif"/>
        <color rgb="FF1155CC"/>
        <sz val="14.0"/>
        <u/>
      </rPr>
      <t>Crossbow, heavy</t>
    </r>
  </si>
  <si>
    <t>Ammunition (range 100/400), heavy, loading, two-handed</t>
  </si>
  <si>
    <r>
      <rPr>
        <rFont val="Georgia, serif"/>
        <color rgb="FF1155CC"/>
        <sz val="14.0"/>
        <u/>
      </rPr>
      <t>Longbow</t>
    </r>
  </si>
  <si>
    <t>Ammunition (range 150/600), heavy, two-handed</t>
  </si>
  <si>
    <r>
      <rPr>
        <rFont val="Georgia, serif"/>
        <color rgb="FF1155CC"/>
        <sz val="14.0"/>
        <u/>
      </rPr>
      <t>Net</t>
    </r>
  </si>
  <si>
    <t>Special, thrown (range 5/15)</t>
  </si>
  <si>
    <t>AC</t>
  </si>
  <si>
    <t>Stealth</t>
  </si>
  <si>
    <t>Style</t>
  </si>
  <si>
    <r>
      <rPr>
        <rFont val="Georgia, serif"/>
        <color rgb="FF1155CC"/>
        <sz val="14.0"/>
        <u/>
      </rPr>
      <t>Padded</t>
    </r>
  </si>
  <si>
    <r>
      <t xml:space="preserve">11 + </t>
    </r>
    <r>
      <rPr>
        <rFont val="Georgia, serif"/>
        <color rgb="FF1155CC"/>
        <sz val="14.0"/>
        <u/>
      </rPr>
      <t>Dex modifier</t>
    </r>
  </si>
  <si>
    <r>
      <rPr>
        <rFont val="Georgia, serif"/>
        <color rgb="FF1155CC"/>
        <sz val="14.0"/>
        <u/>
      </rPr>
      <t>Disadvantage</t>
    </r>
  </si>
  <si>
    <t>8 lb.</t>
  </si>
  <si>
    <r>
      <rPr>
        <rFont val="Georgia, serif"/>
        <color rgb="FF1155CC"/>
        <sz val="14.0"/>
        <u/>
      </rPr>
      <t>Leather</t>
    </r>
  </si>
  <si>
    <t>11 + Dex modifier</t>
  </si>
  <si>
    <r>
      <rPr>
        <rFont val="Georgia, serif"/>
        <color rgb="FF1155CC"/>
        <sz val="14.0"/>
        <u/>
      </rPr>
      <t>Studded leather</t>
    </r>
  </si>
  <si>
    <t>45 gp</t>
  </si>
  <si>
    <t>12 + Dex modifier</t>
  </si>
  <si>
    <t>13 lb.</t>
  </si>
  <si>
    <r>
      <rPr>
        <rFont val="Georgia, serif"/>
        <color rgb="FF1155CC"/>
        <sz val="14.0"/>
        <u/>
      </rPr>
      <t>Hide</t>
    </r>
  </si>
  <si>
    <t>12 + Dex modifier (max 2)</t>
  </si>
  <si>
    <t xml:space="preserve">Medium </t>
  </si>
  <si>
    <t>12 lb.</t>
  </si>
  <si>
    <r>
      <rPr>
        <rFont val="Georgia, serif"/>
        <color rgb="FF1155CC"/>
        <sz val="14.0"/>
        <u/>
      </rPr>
      <t>Chain shirt</t>
    </r>
  </si>
  <si>
    <t>13 + Dex modifier (max 2)</t>
  </si>
  <si>
    <t>20 lb.</t>
  </si>
  <si>
    <r>
      <rPr>
        <rFont val="Georgia, serif"/>
        <color rgb="FF1155CC"/>
        <sz val="14.0"/>
        <u/>
      </rPr>
      <t>Scale mail</t>
    </r>
  </si>
  <si>
    <t>14 + Dex modifier (max 2)</t>
  </si>
  <si>
    <t>Disadvantage</t>
  </si>
  <si>
    <t>45 lb.</t>
  </si>
  <si>
    <r>
      <rPr>
        <rFont val="Georgia, serif"/>
        <color rgb="FF1155CC"/>
        <sz val="14.0"/>
        <u/>
      </rPr>
      <t>Breastplate</t>
    </r>
  </si>
  <si>
    <t>400 gp</t>
  </si>
  <si>
    <r>
      <rPr>
        <rFont val="Georgia, serif"/>
        <color rgb="FF1155CC"/>
        <sz val="14.0"/>
        <u/>
      </rPr>
      <t>Half plate</t>
    </r>
  </si>
  <si>
    <t>750 gp</t>
  </si>
  <si>
    <t>15 + Dex modifier (max 2)</t>
  </si>
  <si>
    <t>40 lb.</t>
  </si>
  <si>
    <r>
      <rPr>
        <rFont val="Georgia, serif"/>
        <color rgb="FF1155CC"/>
        <sz val="14.0"/>
        <u/>
      </rPr>
      <t>Ring mail</t>
    </r>
  </si>
  <si>
    <t>Heavy</t>
  </si>
  <si>
    <r>
      <rPr>
        <rFont val="Georgia, serif"/>
        <color rgb="FF1155CC"/>
        <sz val="14.0"/>
        <u/>
      </rPr>
      <t>Chain mail</t>
    </r>
  </si>
  <si>
    <r>
      <rPr>
        <rFont val="Georgia, serif"/>
        <color rgb="FF1155CC"/>
        <sz val="14.0"/>
        <u/>
      </rPr>
      <t>Str</t>
    </r>
    <r>
      <rPr>
        <rFont val="Georgia, serif"/>
        <sz val="14.0"/>
      </rPr>
      <t xml:space="preserve"> 13</t>
    </r>
  </si>
  <si>
    <t>55 lb.</t>
  </si>
  <si>
    <r>
      <rPr>
        <rFont val="Georgia, serif"/>
        <color rgb="FF1155CC"/>
        <sz val="14.0"/>
        <u/>
      </rPr>
      <t>Splint</t>
    </r>
  </si>
  <si>
    <t>200 gp</t>
  </si>
  <si>
    <t>Str 15</t>
  </si>
  <si>
    <t>60 lb.</t>
  </si>
  <si>
    <r>
      <rPr>
        <rFont val="Georgia, serif"/>
        <color rgb="FF1155CC"/>
        <sz val="14.0"/>
        <u/>
      </rPr>
      <t>Plate</t>
    </r>
  </si>
  <si>
    <t>1,500 gp</t>
  </si>
  <si>
    <t>65 lb.</t>
  </si>
  <si>
    <r>
      <rPr>
        <rFont val="Georgia, serif"/>
        <color rgb="FF1155CC"/>
        <sz val="14.0"/>
        <u/>
      </rPr>
      <t>Shield</t>
    </r>
  </si>
  <si>
    <t>Accessory</t>
  </si>
  <si>
    <t>cost</t>
  </si>
  <si>
    <t>weight</t>
  </si>
  <si>
    <t>rarity</t>
  </si>
  <si>
    <t>Bag of Holding</t>
  </si>
  <si>
    <t>This bag has an interior space considerably larger than its outside dimensions, roughly 2 feet in diameter at the mouth and 4 feet deep. The bag can hold up to 500 pounds, not exceeding a volume of 64 cubic feet. The bag weighs 15 pounds, regardless of its contents. Retrieving an item from the bag requires an action.
If the bag is overloaded, pierced, or torn, it ruptures and is destroyed, and its contents are scattered in the Astral Plane. If the bag is turned inside out, its contents spill forth, unharmed, but the bag must be put right before it can be used again. Breathing creatures inside the bag can survive up to a number of minutes equal to 10 divided by the number of creatures (minimum 1 minute), after which time they begin to suffocate.
Placing a bag of holding inside an extradimensional space created by a Heward's Handy Haversack, Portable Hole, or similar item instantly destroys both items and opens a gate to the Astral Plane. The gate originates where the one item was placed inside the other. Any creature within 10 feet of the gate is sucked through it to a random location on the Astral Plane. The gate then closes. The gate is one-way only and can't be reopened.</t>
  </si>
  <si>
    <t>150gp</t>
  </si>
  <si>
    <t>0.3lb</t>
  </si>
  <si>
    <t>uncommon</t>
  </si>
  <si>
    <t>Wondrous item</t>
  </si>
  <si>
    <t>Item</t>
  </si>
  <si>
    <t xml:space="preserve">description </t>
  </si>
  <si>
    <t>Abacus</t>
  </si>
  <si>
    <t>Inside these frames were several heavy wires, tightly strung parallel to one another. Strung on each of these wires were typically ten wooden balls. By manipulating these balls, a user could perform simple mathematical operations.</t>
  </si>
  <si>
    <t>Bedroll</t>
  </si>
  <si>
    <t>Bell</t>
  </si>
  <si>
    <t>Blanket</t>
  </si>
  <si>
    <t>Block and Tackle.</t>
  </si>
  <si>
    <t>* A set of pulleys with a cable threaded through them and a hook to attach to objects, a block and tackle allows you to hoist up to four times the weight you can normally lift</t>
  </si>
  <si>
    <t>Book</t>
  </si>
  <si>
    <t>* A book might contain poetry, historical accounts, information pertaining to a particular field of lore, diagrams and notes on gnomish contraptions, or just about anything else that can be represented using text or pictures. A book of spells is a spellbook.</t>
  </si>
  <si>
    <t>Candle</t>
  </si>
  <si>
    <t>* For 1 hour, a candle sheds bright light in a 5-foot radius and dim light for another 5 feet</t>
  </si>
  <si>
    <t>1 cp</t>
  </si>
  <si>
    <t xml:space="preserve">Chain (10 ft)
</t>
  </si>
  <si>
    <t>* A chain has 10 hit points. It can be burst with a successful DC 20 Strength check.</t>
  </si>
  <si>
    <t>Chalk (1 pc)</t>
  </si>
  <si>
    <t>Component Pouch</t>
  </si>
  <si>
    <t>* A component pouch is a small, watertight leather belt pouch that has compartments to hold all the material components and other special items you need to cast your spells, except for those components that have a specific cost (as indicated in a spell's description).</t>
  </si>
  <si>
    <t>Fishing Tackle</t>
  </si>
  <si>
    <t>* This kit includes a wooden rod, silken line, corkwood bobbers, steel hooks, lead sinkers, velvet lures, and narrow netting.</t>
  </si>
  <si>
    <t>Grappling Hook</t>
  </si>
  <si>
    <t>Hammer</t>
  </si>
  <si>
    <t>Hourglass</t>
  </si>
  <si>
    <t>Ink (1 oz)</t>
  </si>
  <si>
    <t>Ink Pen</t>
  </si>
  <si>
    <t>2 cp</t>
  </si>
  <si>
    <t>Ladder (10 ft)</t>
  </si>
  <si>
    <t>25 lb.</t>
  </si>
  <si>
    <t>Lock</t>
  </si>
  <si>
    <t>* A key is provided with the lock. Without the key, a creature proficient with thieves' tools can pick this lock with a successful DC 15 Dexterity check. Your DM may decide that better locks are available for higher prices.</t>
  </si>
  <si>
    <t>Magnifying Glass</t>
  </si>
  <si>
    <t>* This lens allows a closer look at small objects. It is also useful as a substitute or flint and steel when starting fires. Lighting a fire with a magnifying glass requires light as bright as sunlight to focus, tinder to ignite, and about 5 minutes for the fire to ignite. A magnifying glass grants advantage on any ability check made to appraise or inspect an item that is small or highly detailed.</t>
  </si>
  <si>
    <t>100 gp</t>
  </si>
  <si>
    <t>Manacles</t>
  </si>
  <si>
    <t>* These metal restraints can bind a Small or Medium creature. Escaping the manacles requires a successful DC 20 Dexterity check. Breaking them requires a successful DC 20 Strength check. Each set of manacles comes with one key. Without the key, a creature proficient with thieves’ tools can pick the manacles’ lock with a successful DC 15 Dexterity check. Manacles have 15 hit points.</t>
  </si>
  <si>
    <t>Mess Kit</t>
  </si>
  <si>
    <t>* This tin box contains a cup and simple cutlery. The box clamps together, and one side can be used as a cooking pan and the other as a plate or shallow bowl.</t>
  </si>
  <si>
    <t>Miner's Pick</t>
  </si>
  <si>
    <t>Paper (1 sheet)</t>
  </si>
  <si>
    <t>Parchment (1 sheet)</t>
  </si>
  <si>
    <t>Perfume (vial)</t>
  </si>
  <si>
    <t>Piton</t>
  </si>
  <si>
    <t>0.25 lb.</t>
  </si>
  <si>
    <t>Pole (10 ft)</t>
  </si>
  <si>
    <t>Ram, Portable</t>
  </si>
  <si>
    <t>* You can use a portable ram to break down doors. When doing so, you gain a +4 bonus on the Strength check. One other character can help you use the ram, giving you advantage on this check.</t>
  </si>
  <si>
    <t>4 gp</t>
  </si>
  <si>
    <t>35 lb.</t>
  </si>
  <si>
    <t>Rations (1 day)</t>
  </si>
  <si>
    <t>* Rations consist of dry foods suitable for extended travel, including jerky, dried fruit, hardtack, and nuts.</t>
  </si>
  <si>
    <t>Rope</t>
  </si>
  <si>
    <t>* Rope, whether made of hemp or silk, has 2 hit points and can be burst with a DC 17 Strength check.
- Hemp (50 ft)
- Silk (50 feet)</t>
  </si>
  <si>
    <t>1 gp
10 gp</t>
  </si>
  <si>
    <t>10 lb.
5 lb.</t>
  </si>
  <si>
    <t>Sealing Wax</t>
  </si>
  <si>
    <t>Shovel</t>
  </si>
  <si>
    <t>Signal Whistle</t>
  </si>
  <si>
    <t>Signet Ring</t>
  </si>
  <si>
    <t>Sledgehammer</t>
  </si>
  <si>
    <t>Spellbook</t>
  </si>
  <si>
    <t>* Essential for wizards, a spellbook is a leather-bound tome with 100 blank vellum pages suitable for recording spells.</t>
  </si>
  <si>
    <t>Spikes, Iron (10)</t>
  </si>
  <si>
    <t>Spyglass</t>
  </si>
  <si>
    <t>* Objects viewed through a spyglass are magnified to twice their size.</t>
  </si>
  <si>
    <t>1000 gp</t>
  </si>
  <si>
    <t>Tent, Two-person</t>
  </si>
  <si>
    <t>20 lbs.</t>
  </si>
  <si>
    <t>Whetstone</t>
  </si>
  <si>
    <t>Acid (vial)</t>
  </si>
  <si>
    <t>* As an action, you can splash the contents of this vial onto a creature within 5 feet of you or throw the vial up to 20 feet, shattering it on impact. In either case, make a ranged attack against a creature or object, treating the acid as an improvised weapon. On a hit, the target takes 2d6 acid damage.</t>
  </si>
  <si>
    <t>Alchemist's Fire (flask)</t>
  </si>
  <si>
    <t>* This sticky, adhesive fluid ignites when exposed to air. As an action, you can throw this flask up to 20 feet, shattering it on impact. Make a ranged attack against a creature or object, treating the alchemist's fire as an improvised weapon. On a hit, the target takes 1d4 fire damage at the start of each of its turns. A creature can end this damage by using its action to make a DC 10 Dexterity check to extinguish the flames.</t>
  </si>
  <si>
    <t>Antitoxin (vial)</t>
  </si>
  <si>
    <t>* A creature that drinks this vial of liquid gains advantage on saving throws against poison for 1 hour. It confers no benefits to undead or constructs.</t>
  </si>
  <si>
    <t>Ball Bearings (bag of 1,000)</t>
  </si>
  <si>
    <t>* As an action, you can spill these tiny balls from their pouch to cover a level area 10 feet square. A creature moving across the covered area must succeed on a DC 10 Dexterity saving throw or fall prone. A creature moving through the area at half speed doesn't need to make the saving throw.</t>
  </si>
  <si>
    <t>Caltrops (bag of 20)</t>
  </si>
  <si>
    <t>* As an action, you can spread a single bag of caltrops to cover a 5-foot-square area. Any creature that enters the area must succeed on a DC 15 Dexterity saving throw or stop moving and take 1 piercing damage. Until the creature regains at least 1 hit point, its walking speed is reduced by 10 feet. A creature moving through the area at half speed doesn't need to make the saving throw.</t>
  </si>
  <si>
    <t>Climber's Kit</t>
  </si>
  <si>
    <t>* A climber's kit includes special pitons, boot tips, gloves, and a harness. You can use the climber's kit as an action to anchor yourself; when you do, you can't fall more than 25 feet from the point where you anchored yourself, and you can't climb more than 25 feet away from that point without undoing the anchor.</t>
  </si>
  <si>
    <t>Crowbar</t>
  </si>
  <si>
    <t>* Using a crowbar grants advantage to Strength checks where the crowbar's leverage can be applied.</t>
  </si>
  <si>
    <t>Healer's Kit</t>
  </si>
  <si>
    <t>* This kit is a leather pouch containing bandages, salves, and splints. The kit has ten uses. As an action, you can expend one use of the kit to stabilize a creature that has 0 hit points, without needing to make a Wisdom (Medicine) check.</t>
  </si>
  <si>
    <t>Holy Water (flask)</t>
  </si>
  <si>
    <t>* As an action, you can splash the contents of this flask onto a creature within 5 feet of you or throw it up to 20 feet, shattering it on impact. In either case, make a ranged attack against a target creature, treating the holy water as an improvised weapon. If the target is a fiend or undead, it takes 2d6 radiant damage.
* A cleric or paladin may create holy water by performing a special ritual. The ritual takes 1 hour to perform, uses 25 gp worth of powdered silver, and requires the caster to expend a 1st-level spell slot.</t>
  </si>
  <si>
    <t>Hunting Trap</t>
  </si>
  <si>
    <t>* When you use your action to set it, this trap forms a saw-toothed steel ring that snaps shut when a creature steps on a pressure plate in the center. The trap is affixed by a heavy chain to an immobile object, such as a tree or a spike driven into the ground. A creature that steps on the plate must succeed on a DC 13 Dexterity saving throw or take 1d4 piercing damage and stop moving. Thereafter, until the creature breaks free of the trap, its movement is limited by the length of chain (typically 3 feet long). A creature can use its action to make a DC 13 Strength check, freeing itself or another creature within its reach on a success. Each failed check deals 1 piercing damage to the trapped creature.</t>
  </si>
  <si>
    <t>Lamp</t>
  </si>
  <si>
    <t>* A lamp casts bright light in a 15-foot radius and dim light for an additional 30 feet. Once lit, it burns for 6 hours on a flask (1 pint) of oil.</t>
  </si>
  <si>
    <t>Lantern - Bullseye</t>
  </si>
  <si>
    <t>* A bullseye lantern casts bright light in a 60-foot cone and dim light for an additional 60 feet. Once lit, it burns for 6 hours on a flask (1 pint) of oil.</t>
  </si>
  <si>
    <t>Lantern - Hooded</t>
  </si>
  <si>
    <t>* A hooded lantern casts bright light in a 30-foot radius and dim light for an additional 30 feet. Once lit, it burns for 6 hours on a flask (1 pint) of oil. As an action, you can lower the hood, reducing the light to dim light in a 5-foot radius.</t>
  </si>
  <si>
    <t>Oil (flask)</t>
  </si>
  <si>
    <t>* Oil usually comes in a clay flask that holds 1 pint. As an action, you can splash the oil in this flask onto a creature within 5 feet of you or throw it up to 20 feet, shattering it on impact. Make a ranged attack against a target creature or object, treating the oil as an improvised weapon. On a hit, the target is covered in oil. If the target takes any fire damage before the oil dries (after 1 minute), the target takes an additional 5 fire damage from the burning oil. You can also pour a flask of oil on the ground to cover a 5-foot-square area, provided that the surface is level. If lit, the oil burns for 2 rounds and deals 5 fire damage to any creature that enters the area or ends its turn in the area. A creature can take this damage only once per turn.</t>
  </si>
  <si>
    <t>Poison, basic (vial)</t>
  </si>
  <si>
    <t>* You can use the poison in this vial to coat one slashing or piercing weapon or up to three pieces of ammunition. Applying the poison takes an action. A creature hit by the poisoned weapon or ammunition must make a DC 10 Constitution saving throw or take 1d4 poison damage. Once applied, the poison retains potency for 1 minute before drying.</t>
  </si>
  <si>
    <t>Tinderbox</t>
  </si>
  <si>
    <t>* This small container holds flint, fire steel, an tinder (usually dry cloth soaked in light oil) used to kindle a fire. Using it to light a torch — or anything else with abundant, exposed fuel — takes an action. Lighting any other fire takes 1 minutes.</t>
  </si>
  <si>
    <t>Torch</t>
  </si>
  <si>
    <t>* A torch burns for 1 hour, providing bright light in a 20-foot radius and dim light for an additional 20 feet. If you make a melee attack with a burning torch and hit, it deals 1 fire damage.</t>
  </si>
  <si>
    <t>Backpack</t>
  </si>
  <si>
    <t>* You can also strap items, such as a bedroll or a coil of rope, to the outside of a backpack.1 cubic foot/30 pounds of gear</t>
  </si>
  <si>
    <t>Barrel</t>
  </si>
  <si>
    <t>40 gallons liquid, 4 cubic feet solid</t>
  </si>
  <si>
    <t>70 lb.</t>
  </si>
  <si>
    <t>Basket</t>
  </si>
  <si>
    <t>2 cubic feet/40 pounds of gear</t>
  </si>
  <si>
    <t>4 sp</t>
  </si>
  <si>
    <t>Bucket</t>
  </si>
  <si>
    <t>3 gallons liquid, 1/2 cubic foot solid</t>
  </si>
  <si>
    <t>Case, Crossbow Bolt</t>
  </si>
  <si>
    <t>20 crossbow bolts</t>
  </si>
  <si>
    <t>Case, Map/Scroll</t>
  </si>
  <si>
    <t>ten rolled-up sheets of paper or five rolled-up sheets of parchment</t>
  </si>
  <si>
    <t>Chest</t>
  </si>
  <si>
    <t>12 cubic feet/300 pounds of gear</t>
  </si>
  <si>
    <t>Flask or Tankard</t>
  </si>
  <si>
    <t>1 pint liquid</t>
  </si>
  <si>
    <t>Glass Bottle</t>
  </si>
  <si>
    <t>1.5 pints liquid</t>
  </si>
  <si>
    <t>Jug or Pitcher</t>
  </si>
  <si>
    <t>1 gallon liquid</t>
  </si>
  <si>
    <t>Pot, iron</t>
  </si>
  <si>
    <t>10 lb</t>
  </si>
  <si>
    <t>Pouch</t>
  </si>
  <si>
    <t>* A cloth or leather pouch can hold up to 20 sling bullets or 50 blowgun needles, among other things. A compartmentalized pouch for holding spell components is called a component pouch.
*1/5 cubic foot/6 pounds of gear</t>
  </si>
  <si>
    <t>Quiver</t>
  </si>
  <si>
    <t>20 arrows</t>
  </si>
  <si>
    <t>Sack</t>
  </si>
  <si>
    <t>1 cubic foot/30 pounds of gear</t>
  </si>
  <si>
    <t>0.5 lb.</t>
  </si>
  <si>
    <t>Vial</t>
  </si>
  <si>
    <t>4 ounces liquid</t>
  </si>
  <si>
    <t>Waterskin</t>
  </si>
  <si>
    <t>4 pints liquid</t>
  </si>
  <si>
    <t>5 lb.(full)</t>
  </si>
  <si>
    <t>Common Clothes</t>
  </si>
  <si>
    <t>Clothes</t>
  </si>
  <si>
    <t>Costume</t>
  </si>
  <si>
    <t>Fine Clothes</t>
  </si>
  <si>
    <t>Robes</t>
  </si>
  <si>
    <t>Traveler's Clothes</t>
  </si>
  <si>
    <t>Crystal</t>
  </si>
  <si>
    <t>Focus</t>
  </si>
  <si>
    <t>Orb</t>
  </si>
  <si>
    <t>Rod</t>
  </si>
  <si>
    <t>Staff</t>
  </si>
  <si>
    <t>Wand</t>
  </si>
  <si>
    <t>Sprig of Mistletoe</t>
  </si>
  <si>
    <t>Totem</t>
  </si>
  <si>
    <t>Wooden Staff</t>
  </si>
  <si>
    <t>Yew Wand</t>
  </si>
  <si>
    <t>Potion</t>
  </si>
  <si>
    <t>Potion of Healing (common)</t>
  </si>
  <si>
    <t>Heal</t>
  </si>
  <si>
    <t>Potion of Healing</t>
  </si>
  <si>
    <t>2d4 + 2</t>
  </si>
  <si>
    <t>Common</t>
  </si>
  <si>
    <t>Potion of Greater healing</t>
  </si>
  <si>
    <t>4d4 + 4</t>
  </si>
  <si>
    <t>Uncommon</t>
  </si>
  <si>
    <t>Potion of Superior healing</t>
  </si>
  <si>
    <t>8d4 + 8</t>
  </si>
  <si>
    <t>Rare</t>
  </si>
  <si>
    <t>Potion of Supreme healing</t>
  </si>
  <si>
    <t>10d4 + 20</t>
  </si>
  <si>
    <t>Very rare</t>
  </si>
  <si>
    <t>Elixir of Health</t>
  </si>
  <si>
    <t>cure</t>
  </si>
  <si>
    <t>When you drink this potion, it cures any disease afflicting you, and it removes the blinded, deafened, paralyzed, and poisoned conditions. The clear red liquid has tiny bubbles of light in it.</t>
  </si>
  <si>
    <t>5 PP</t>
  </si>
  <si>
    <t>level</t>
  </si>
  <si>
    <t>casting_time</t>
  </si>
  <si>
    <t>school</t>
  </si>
  <si>
    <t>concentration</t>
  </si>
  <si>
    <t>range</t>
  </si>
  <si>
    <t>components</t>
  </si>
  <si>
    <t>materials</t>
  </si>
  <si>
    <t>duration</t>
  </si>
  <si>
    <t>classes</t>
  </si>
  <si>
    <t>subclasses</t>
  </si>
  <si>
    <t>variant_classes</t>
  </si>
  <si>
    <t>races</t>
  </si>
  <si>
    <t>backgrounds</t>
  </si>
  <si>
    <t>ritual</t>
  </si>
  <si>
    <t>source</t>
  </si>
  <si>
    <t>page</t>
  </si>
  <si>
    <t>1 action</t>
  </si>
  <si>
    <t>10 feet</t>
  </si>
  <si>
    <t>v, s</t>
  </si>
  <si>
    <t>instantaneous</t>
  </si>
  <si>
    <t>You extend your hand toward a creature you can see within range and project a puff of noxious gas from your palm. The creature must succeed on a Constitution saving throw or take {@damage 1d12} poison damage.
 This spell's damage increases by {@dice 1d12} when you reach 5th level ({@damage 2d12}), 11th level ({@damage 3d12}), and 17th level ({@damage 4d12}).</t>
  </si>
  <si>
    <t>Druid,Sorcerer,Warlock,Wizard,Artificer,Artificer</t>
  </si>
  <si>
    <t>Eldritch Knight,Arcane Trickster,Arcana,Nature</t>
  </si>
  <si>
    <t>Prestidigitation</t>
  </si>
  <si>
    <t>up to 1 hour</t>
  </si>
  <si>
    <t>This spell is a minor magical trick that novice spellcasters use for practice. You create one of the following magical effects within range:
 You create an instantaneous, harmless sensory effect, such as a shower of sparks, a puff of wind, faint musical notes, or an odd odor.
 You instantaneously light or snuff out a candle, a torch, or a small campfire.
 You instantaneously clean or soil an object no larger than 1 cubic foot.
 You chill, warm, or flavor up to 1 cubic foot of nonliving material for 1 hour.
 You make a color, a small mark, or a symbol appear on an object or a surface for 1 hour.
 You create a nonmagical trinket or an illusory image that can fit in your hand and that lasts until the end of your next turn.If you cast this spell multiple times, you can have up to three of its non-instantaneous effects active at a time, and you can dismiss such an effect as an action.</t>
  </si>
  <si>
    <t>Bard,Sorcerer,Warlock,Wizard,Artificer,Artificer</t>
  </si>
  <si>
    <t>Arcane Archer,Eldritch Knight,Arcane Trickster,Arcana</t>
  </si>
  <si>
    <t>Tiefling (Abyssal),Halfling (Mark of Hospitality)</t>
  </si>
  <si>
    <t>120 feet</t>
  </si>
  <si>
    <t>1 round</t>
  </si>
  <si>
    <t>You create a ghostly, skeletal hand in the space of a creature within range. Make a ranged spell attack against the creature to assail it with the chill of the grave. On a hit, the target takes {@damage 1d8} necrotic damage, and it can't regain hit points until the start of your next turn. Until then, the hand clings to the target.
 If you hit an undead target, it also has disadvantage on attack rolls against you until the end of your next turn.
 This spell's damage increases by {@dice 1d8} when you reach 5th level ({@damage 2d8}), 11th level ({@damage 3d8}), and 17th level ({@damage 4d8}).</t>
  </si>
  <si>
    <t>Sorcerer,Warlock,Wizard</t>
  </si>
  <si>
    <t>Eldritch Knight,Arcane Trickster,Arcana</t>
  </si>
  <si>
    <t>Elf (Eladrin),Elf (Shadar-kai),Elf (Zendikar) (Mul Daya Nation)</t>
  </si>
  <si>
    <t>TCE</t>
  </si>
  <si>
    <t>Dancing Lights</t>
  </si>
  <si>
    <t>v, s, m</t>
  </si>
  <si>
    <t>(a bit of phosphorus or wychwood, or a glowworm)</t>
  </si>
  <si>
    <t>1 minute</t>
  </si>
  <si>
    <t>You create up to four torch-sized lights within range, making them appear as torches, lanterns, or glowing orbs that hover in the air for the duration. You can also combine the four lights into one glowing vaguely humanoid form of Medium size. Whichever form you choose, each light sheds dim light in a 10-foot radius.
 As a bonus action on your turn, you can move the lights up to 60 feet to a new spot within range. A light must be within 20 feet of another light created by this spell, and a light winks out if it exceeds the spell's range.</t>
  </si>
  <si>
    <t>Bard,Sorcerer,Wizard,Artificer,Artificer</t>
  </si>
  <si>
    <t>Elf (Drow),Half-Elf (Drow Descent),Tiefling (Abyssal)</t>
  </si>
  <si>
    <t>Eldritch Blast</t>
  </si>
  <si>
    <t>A beam of crackling energy streaks toward a creature within range. Make a ranged spell attack against the target. On a hit, the target takes {@damage 1d10} force damage.
 The spell creates more than one beam when you reach higher levels: two beams at 5th level, three beams at 11th level, and four beams at 17th level. You can direct the beams at the same target or at different ones. Make a separate attack roll for each beam.</t>
  </si>
  <si>
    <t>XGE</t>
  </si>
  <si>
    <t>You hurl a mote of fire at a creature or object within range. Make a ranged spell attack against the target. On a hit, the target takes {@damage 1d10} fire damage. A flammable object hit by this spell ignites if it isn't being worn or carried.
 This spell's damage increases by {@dice 1d10} when you reach 5th level ({@damage 2d10}), 11th level ({@damage 3d10}), and 17th level ({@damage 4d10}).</t>
  </si>
  <si>
    <t>Sorcerer,Wizard,Artificer,Artificer</t>
  </si>
  <si>
    <t>Giant Soul,Eldritch Knight,Arcane Trickster,Arcana</t>
  </si>
  <si>
    <t>Boros Legionnaire,Gruul Anarch,Rakdos Cultist</t>
  </si>
  <si>
    <t>Message</t>
  </si>
  <si>
    <t>(a short piece of copper wire)</t>
  </si>
  <si>
    <t>You point your finger toward a creature within range and whisper a message. The target (and only the target) hears the message and can reply in a whisper that only you can hear.
 You can cast this spell through solid objects if you are familiar with the target and know it is beyond the barrier. Magical silence, 1 foot of stone, 1 inch of common metal, a thin sheet of lead, or 3 feet of wood blocks the spell. The spell doesn't have to follow a straight line and can travel freely around corners or through openings.</t>
  </si>
  <si>
    <t>Psionics,Eldritch Knight,Arcane Trickster,Arcana</t>
  </si>
  <si>
    <t>Tiefling (Abyssal),Gnome (Mark of Scribing)</t>
  </si>
  <si>
    <t>Lightning Lure</t>
  </si>
  <si>
    <t>15 feet</t>
  </si>
  <si>
    <t>v</t>
  </si>
  <si>
    <t>You create a lash of lightning energy that strikes at one creature of your choice that you can see within 15 feet of you. The target must succeed on a Strength saving throw or be pulled up to 10 feet in a straight line toward you and then take {@damage 1d8} lightning damage if it is within 5 feet of you.
 This spell's damage increases by {@dice 1d8} when you reach 5th level ({@damage 2d8}), 11th level ({@damage 3d8}), and 17th level ({@damage 4d8}).</t>
  </si>
  <si>
    <t>Artificer,Sorcerer,Warlock,Wizard</t>
  </si>
  <si>
    <t>Druidcraft</t>
  </si>
  <si>
    <t>30 feet</t>
  </si>
  <si>
    <t>Whispering to the spirits of nature, you create one of the following effects within range:
 You create a tiny, harmless sensory effect that predicts what the weather will be at your location for the next 24 hours. The effect might manifest as a golden orb for clear skies, a cloud for rain, falling snowflakes for snow, and so on. This effect persists for 1 round.
 You instantly make a flower blossom, a seed pod open, or a leaf bud bloom.
 You create an instantaneous, harmless sensory effect, such as falling leaves, a puff of wind, the sound of a small animal, or the faint odor of skunk. The effect must fit in a 5-foot cube.
 You instantly light or snuff out a candle, a torch, or a small campfire.</t>
  </si>
  <si>
    <t>Arcane Archer,Nature</t>
  </si>
  <si>
    <t>Halfling (Lotusden)</t>
  </si>
  <si>
    <t>Selesnya Initiate,Simic Scientist</t>
  </si>
  <si>
    <t>Gust</t>
  </si>
  <si>
    <t>You seize the air and compel it to create one of the following effects at a point you can see within range:
 One Medium or smaller creature that you choose must succeed on a Strength saving throw or be pushed up to 5 feet away from you.
 You create a small blast of air capable of moving one object that is neither held nor carried and that weighs no more than 5 pounds. The object is pushed up to 10 feet away from you. It isn't pushed with enough force to cause damage.
 You create a harmless sensory effect using air, such as causing leaves to rustle, wind to slam shutters closed, or your clothing to ripple in a breeze.</t>
  </si>
  <si>
    <t>Druid,Sorcerer,Wizard</t>
  </si>
  <si>
    <t>Infestation</t>
  </si>
  <si>
    <t>(a living flea)</t>
  </si>
  <si>
    <t>You cause a cloud of mites, fleas, and other parasites to appear momentarily on one creature you can see within range. The target must succeed on a Constitution saving throw, or it takes {@damage 1d6} poison damage and moves 5 feet in a random direction if it can move and its speed is at least 5 feet. Roll a {@dice d4} for the direction: 1, north; 2, south; 3, east; or 4, west. This movement doesn't provoke opportunity attacks, and if the direction rolled is blocked, the target doesn't move.
 The spell's damage increases by {@dice 1d6} when you reach 5th level ({@damage 2d6}), 11th level ({@damage 3d6}), and 17th level ({@damage 4d6}).</t>
  </si>
  <si>
    <t>Druid,Sorcerer,Warlock,Wizard</t>
  </si>
  <si>
    <t>Mage Hand</t>
  </si>
  <si>
    <t>A spectral, floating hand appears at a point you choose within range. The hand lasts for the duration or until you dismiss it as an action. The hand vanishes if it is ever more than 30 feet away from you or if you cast this spell again.
 You can use your action to control the hand. You can use the hand to manipulate an object, open an unlocked door or container, stow or retrieve an item from an open container, or pour the contents out of a vial. You can move the hand up to 30 feet each time you use it.
 The hand can't attack, activate magic items, or carry more than 10 pounds.</t>
  </si>
  <si>
    <t>Psychic Warrior,Psionics,Swarmkeeper,Swarmkeeper,Swarmkeeper,Arcane Trickster</t>
  </si>
  <si>
    <t>Gith (Githyanki),Gith (Githzerai),Gith (Githyanki),Gith (Githzerai),Tiefling (Mammon),Tiefling (Mephistopheles),Tiefling (Mammon),Tiefling (Mephistopheles)</t>
  </si>
  <si>
    <t>Minor Illusion</t>
  </si>
  <si>
    <t>s, m</t>
  </si>
  <si>
    <t>(a bit of fleece)</t>
  </si>
  <si>
    <t>You create a sound or an image of an object within range that lasts for the duration. The illusion also ends if you dismiss it as an action or cast this spell again.
 If you create a sound, its volume can range from a whisper to a scream. It can be your voice, someone else's voice, a lion's roar, a beating of drums, or any other sound you choose. The sound continues unabated throughout the duration, or you can make discrete sounds at different times before the spell ends.
 If you create an image of an objectÃ¢â‚¬â€_x009d_such as a chair, muddy footprints, or a small chestÃ¢â‚¬â€_x009d_it must be no larger than a 5-foot cube. The image can't create sound, light, smell, or any other sensory effect. Physical interaction with the image reveals it to be an illusion, because things can pass through it.
 If a creature uses its action to examine the sound or image, the creature can determine that it is an illusion with a successful Intelligence ({@skill Investigation}) check against your spell save DC. If a creature discerns the illusion for what it is, the illusion becomes faint to the creature.</t>
  </si>
  <si>
    <t>Bard,Sorcerer,Warlock,Wizard</t>
  </si>
  <si>
    <t>Giant Soul,Illusion,Shadow,Eldritch Knight,Arcane Trickster,Arcana</t>
  </si>
  <si>
    <t>Elf (Eladrin),Gnome (Forest),Tiefling (Glasya),Tiefling (Glasya),Elf (Mark of Shadow)</t>
  </si>
  <si>
    <t>Mold Earth</t>
  </si>
  <si>
    <t>s</t>
  </si>
  <si>
    <t>1 hour</t>
  </si>
  <si>
    <t>You choose a portion of dirt or stone that you can see within range and that fits within a 5-foot cube. You manipulate it in one of the following ways:
 If you target an area of loose earth, you can instantaneously excavate it, move it along the ground, and deposit it up to 5 feet away. This movement doesn't involve enough force to cause damage.
 You cause shapes, colors, or both to appear on the dirt or stone, spelling out words, creating images, or shaping patterns. The changes last for 1 hour.
 If the dirt or stone you target is on the ground, you cause it to become difficult terrain. Alternatively, you can cause the ground to become normal terrain if it is already difficult terrain. This change lasts for 1 hour.If you cast this spell multiple times, you can have no more than two of its non-instantaneous effects active at a time, and you can dismiss such an effect as an action.</t>
  </si>
  <si>
    <t>Sapping Sting</t>
  </si>
  <si>
    <t>You sap the vitality of one creature you can see in range. The target must succeed on a Constitution saving throw or take {@damage 1d4} necrotic damage and fall {@condition prone}.
 This spell's damage increases by {@dice 1d4} when you reach 5th level ({@dice 2d4}), 11th level ({@dice 3d4}), and 17th level ({@dice 4d4}).</t>
  </si>
  <si>
    <t>Chronurgy,Graviturgy</t>
  </si>
  <si>
    <t>Shape Water</t>
  </si>
  <si>
    <t>You choose an area of water that you can see within range and that fits within a 5-foot cube. You manipulate it in one of the following ways:
 You instantaneously move or otherwise change the flow of the water as you direct, up to 5 feet in any direction. This movement doesn't have enough force to cause damage.
 You cause the water to form into simple shapes and animate at your direction. This change lasts for 1 hour.
 You change the water's color or opacity. The water must be changed in the same way throughout. This change lasts for 1 hour.
 You freeze the water, provided that there are no creatures in it. The water unfreezes in 1 hour.If you cast this spell multiple times, you can have no more than two of its non-instantaneous effects active at a time, and you can dismiss such an effect as an action.</t>
  </si>
  <si>
    <t>Thaumaturgy</t>
  </si>
  <si>
    <t>up to 1 minute</t>
  </si>
  <si>
    <t>You manifest a minor wonder, a sign of supernatural power, within range. You create one of the following magical effects within range:
 Your voice booms up to three times as loud as normal for 1 minute.
 You cause flames to flicker, brighten, dim, or change color for 1 minute.
 You cause harmless tremors in the ground for 1 minute.
 You create an instantaneous sound that originates from a point of your choice within range, such as a rumble of thunder, the cry of a raven, or ominous whispers.
 You instantaneously cause an unlocked door or window to fly open or slam shut.
 You alter the appearance of your eyes for 1 minute.If you cast this spell multiple times, you can have up to three of its 1-minute effects active at a time, and you can dismiss such an effect as an action.</t>
  </si>
  <si>
    <t>Divine Soul,Favored Soul,Favored Soul v3</t>
  </si>
  <si>
    <t>Elf (Shadar-kai),Tiefling (Zariel),Tiefling (Variant),Tiefling (Variant),Tiefling (Asmodeus),Tiefling (Baalzebul),Tiefling,Tiefling (Zariel),Tiefling (Asmodeus),Tiefling (Baalzebul),Tiefling (Dispater),Tiefling (Dispater)</t>
  </si>
  <si>
    <t>(the stem of a plant with thorns)</t>
  </si>
  <si>
    <t>You create a long, vine-like whip covered in thorns that lashes out at your command toward a creature in range. Make a melee spell attack against the target. If the attack hits, the creature takes {@damage 1d6} piercing damage, and if the creature is Large or smaller, you pull the creature up to 10 feet closer to you.
 This spell's damage increases by {@dice 1d6} when you reach 5th level ({@damage 2d6}), 11th level ({@damage 3d6}), and 17th level ({@damage 4d6}).</t>
  </si>
  <si>
    <t>Druid,Artificer,Artificer</t>
  </si>
  <si>
    <t>True Strike</t>
  </si>
  <si>
    <t>You extend your hand and point a finger at a target in range. Your magic grants you a brief insight into the target's defenses. On your next turn, you gain advantage on your first attack roll against the target, provided that this spell hasn't ended.</t>
  </si>
  <si>
    <t>Tiefling (Abyssal)</t>
  </si>
  <si>
    <t>Booming Blade</t>
  </si>
  <si>
    <t>5 feet</t>
  </si>
  <si>
    <t>({'text': 'a melee weapon worth at least 1 sp', 'cost': 10})</t>
  </si>
  <si>
    <t>You brandish the weapon used in the spell's casting and make a melee attack with it against one creature within 5 feet of you. On a hit, the target suffers the weapon attack's normal effects and then becomes sheathed in booming energy until the start of your next turn. If the target willingly moves 5 feet or more before then, the target takes {@damage 1d8} thunder damage, and the spell ends.
 This spell's damage increases when you reach certain levels. At 5th level, the melee attack deals an extra {@damage 1d8} thunder damage to the target on a hit, and the damage the target takes for moving increases to {@damage 2d8}. Both damage rolls increase by 1d8 at 11th level ({@damage 2d8} and {@damage 3d8}) and again at 17th level ({@damage 3d8} and {@damage 4d8}).</t>
  </si>
  <si>
    <t>Green-Flame Blade</t>
  </si>
  <si>
    <t>You brandish the weapon used in the spell's casting and make a melee attack with it against one creature within 5 feet of you. On a hit, the target suffers the weapon attack's normal effects, and you can cause green fire to leap from the target to a different creature of your choice that you can see within 5 feet of it. The second creature takes fire damage equal to your spellcasting ability modifier.
 This spell's damage increases when you reach certain levels. At 5th level, the melee attack deals an extra {@damage 1d8} fire damage to the target on a hit, and the fire damage to the second creature increases to {@damage 1d8} + your spellcasting ability modifier. Both damage rolls increase by {@damage 1d8} at 11th level ({@damage 2d8} and {@damage 2d8}) and 17th level ({@damage 3d8} and {@damage 3d8}).</t>
  </si>
  <si>
    <t>Sword Burst</t>
  </si>
  <si>
    <t>You create a momentary circle of spectral blades that sweep around you. All other creatures within 5 feet of you must succeed on a Dexterity saving throw or take {@damage 1d6} force damage.
 This spell's damage increases by {@dice 1d6} when you reach 5th level ({@damage 2d6}), 11th level ({@damage 3d6}), and 17th level ({@damage 4d6}).</t>
  </si>
  <si>
    <t>Thunderclap</t>
  </si>
  <si>
    <t>You create a burst of thunderous sound that can be heard up to 100 feet away. Each creature within range, other than you, must make a Constitution saving throw or take {@damage 1d6} thunder damage.
 The spell's damage increases by {@dice 1d6} when you reach 5th level ({@damage 2d6}), 11th level ({@damage 3d6}), and 17th level ({@damage 4d6}).</t>
  </si>
  <si>
    <t>Bard,Druid,Sorcerer,Warlock,Wizard,Artificer,Artificer</t>
  </si>
  <si>
    <t>Word of Radiance</t>
  </si>
  <si>
    <t>v, m</t>
  </si>
  <si>
    <t>(a holy symbol)</t>
  </si>
  <si>
    <t>You utter a divine word, and burning radiance erupts from you. Each creature of your choice that you can see within range must succeed on a Constitution saving throw or take {@damage 1d6} radiant damage.
 The spell's damage increases by {@dice 1d6} when you reach 5th level ({@damage 2d6}), 11th level ({@damage 3d6}), and 17th level ({@damage 4d6}).</t>
  </si>
  <si>
    <t>60 feet</t>
  </si>
  <si>
    <t>You hurl a bubble of acid. Choose one creature you can see within range, or choose two creatures you can see within range that are within 5 feet of each other. A target must succeed on a Dexterity saving throw or take {@damage 1d6} acid damage.
 This spell's damage increases by {@dice 1d6} when you reach 5th level ({@damage 2d6}), 11th level ({@damage 3d6}), and 17th level ({@damage 4d6}).</t>
  </si>
  <si>
    <t>Control Flames</t>
  </si>
  <si>
    <t>You choose nonmagical flame that you can see within range and that fits within a 5-foot cube. You affect it in one of the following ways:
 You instantaneously expand the flame 5 feet in one direction, provided that wood or other fuel is present in the new location.
 You instantaneously extinguish the flames within the cube.
 You double or halve the area of bright light and dim light cast by the flame, change its color, or both. The change lasts for 1 hour.
 You cause simple shapesÃ¢â‚¬â€_x009d_such as the vague form of a creature, an inanimate object, or a locationÃ¢â‚¬â€_x009d_to appear within the flames and animate as you like. The shapes last for 1 hour.If you cast this spell multiple times, you can have up to three non-instantaneous effects created by it active at a time, and you can dismiss such an effect as an action.</t>
  </si>
  <si>
    <t>Create Bonfire</t>
  </si>
  <si>
    <t>You create a bonfire on ground that you can see within range. Until the spell ends, the magic bonfire fills a 5-foot cube. Any creature in the bonfire's space when you cast the spell must succeed on a Dexterity saving throw or take {@damage 1d8} fire damage. A creature must also make the saving throw when it moves into the bonfire's space for the first time on a turn or ends its turn there.
 The bonfire ignites flammable objects in its area that aren't being worn or carried.
 The spell's damage increases by {@dice 1d8} when you reach 5th level ({@damage 2d8}), 11th level ({@damage 3d8}), and 17th level ({@damage 4d8}).</t>
  </si>
  <si>
    <t>Frostbite</t>
  </si>
  <si>
    <t>You cause numbing frost to form on one creature that you can see within range. The target must make a Constitution saving throw. On a failed save, the target takes {@damage 1d6} cold damage, and it has disadvantage on the next weapon attack roll it makes before the end of its next turn.
 The spell's damage increases by {@dice 1d6} when you reach 5th level ({@damage 2d6}), 11th level ({@damage 3d6}), and 17th level ({@damage 4d6}).</t>
  </si>
  <si>
    <t>Mind Sliver</t>
  </si>
  <si>
    <t>You drive a disorienting spike of psychic energy into the mind of one creature you can see within range. The target must succeed on an Intelligence saving throw or take {@damage 1d6} psychic damage and subtract {@dice 1d4} from the next saving throw it makes before the end of your next turn.
 This spell's damage increases by {@dice 1d6} when you reach certain levels: 5th level ({@dice 2d6}), 11th level ({@dice 3d6}), and 17th level ({@dice 4d6}).</t>
  </si>
  <si>
    <t>Aberrant Mind</t>
  </si>
  <si>
    <t>A frigid beam of blue-white light streaks toward a creature within range. Make a ranged spell attack against the target. On a hit, it takes {@damage 1d8} cold damage, and its speed is reduced by 10 feet until the start of your next turn.
 The spell's damage increases by {@dice 1d8} when you reach 5th level ({@damage 2d8}), 11th level ({@damage 3d8}), and 17th level ({@damage 4d8}).</t>
  </si>
  <si>
    <t>Tiefling (Levistus),Tiefling (Levistus)</t>
  </si>
  <si>
    <t>Flame-like radiance descends on a creature that you can see within range. The target must succeed on a Dexterity saving throw or take {@damage 1d8} radiant damage. The target gains no benefit from cover for this saving throw.
 The spell's damage increases by {@dice 1d8} when you reach 5th level ({@damage 2d8}), 11th level ({@damage 3d8}), and 17th level ({@damage 4d8}).</t>
  </si>
  <si>
    <t>Undying Light,Celestial,Divine Soul,Favored Soul,Favored Soul v3</t>
  </si>
  <si>
    <t>Toll the Dead</t>
  </si>
  <si>
    <t>You point at one creature you can see within range, and the sound of a dolorous bell fills the air around it for a moment. The target must succeed on a Wisdom saving throw or take {@damage 1d8} necrotic damage. If the target is missing any of its hit points, it instead takes {@damage 1d12} necrotic damage.
 The spell's damage increases by one die when you reach 5th level ({@damage 2d8} or {@damage 2d12}), 11th level ({@damage 3d8} or {@damage 3d12}), and 17th level ({@damage 4d8} or {@damage 4d12}).</t>
  </si>
  <si>
    <t>Cleric,Warlock,Wizard</t>
  </si>
  <si>
    <t>Eldritch Knight,Arcane Trickster,Divine Soul,Favored Soul,Favored Soul v3,Arcana</t>
  </si>
  <si>
    <t>Vicious Mockery</t>
  </si>
  <si>
    <t>You unleash a string of insults laced with subtle enchantments at a creature you can see within range. If the target can hear you (though it need not understand you), it must succeed on a Wisdom saving throw or take {@damage 1d4} psychic damage and have disadvantage on the next attack roll it makes before the end of its next turn.
 This spell's damage increases by {@dice 1d4} when you reach 5th level ({@damage 2d4}), 11th level ({@damage 3d4}), and 17th level ({@damage 4d4}).</t>
  </si>
  <si>
    <t>Tiefling (Variant; Devil's Tongue)</t>
  </si>
  <si>
    <t>EGW</t>
  </si>
  <si>
    <t>Blade Ward</t>
  </si>
  <si>
    <t>self</t>
  </si>
  <si>
    <t>You extend your hand and trace a sigil of warding in the air. Until the end of your next turn, you have resistance against bludgeoning, piercing, and slashing damage dealt by weapon attacks.</t>
  </si>
  <si>
    <t>Friends</t>
  </si>
  <si>
    <t>(a small amount of makeup applied to the face as this spell is cast)</t>
  </si>
  <si>
    <t>For the duration, you have advantage on all Charisma checks directed at one creature of your choice that isn't hostile toward you. When the spell ends, the creature realizes that you used magic to influence its mood and becomes hostile toward you. A creature prone to violence might attack you. Another creature might seek retribution in other ways (at the DM's discretion), depending on the nature of your interaction with it.</t>
  </si>
  <si>
    <t>Elf (Eladrin),Siren,Tiefling (Fierna),Tiefling (Fierna)</t>
  </si>
  <si>
    <t>Azorius Functionary,Orzhov Representative,Selesnya Initiate</t>
  </si>
  <si>
    <t>Primal Savagery</t>
  </si>
  <si>
    <t>You channel primal magic to cause your teeth or fingernails to sharpen, ready to deliver a corrosive attack. Make a melee spell attack against one creature within 5 feet of you. On a hit, the target takes {@damage 1d10} acid damage. After you make the attack, your teeth or fingernails return to normal.
 The spell's damage increases by {@dice 1d10} when you reach 5th level ({@damage 2d10}), 11th level ({@damage 3d10}), and 17th level ({@damage 4d10}).</t>
  </si>
  <si>
    <t>Produce Flame</t>
  </si>
  <si>
    <t>10 minute</t>
  </si>
  <si>
    <t>A flickering flame appears in your hand. The flame remains there for the duration and harms neither you nor your equipment. The flame sheds bright light in a 10-foot radius and dim light for an additional 10 feet. The spell ends if you dismiss it as an action or if you cast it again.
 You can also attack with the flame, although doing so ends the spell. When you cast this spell, or as an action on a later turn, you can hurl the flame at a creature within 30 feet of you. Make a ranged spell attack. On a hit, the target takes {@damage 1d8} fire damage.
 This spell's damage increases by {@dice 1d8} when you reach 5th level ({@damage 2d8}), 11th level ({@damage 3d8}), and 17th level ({@damage 4d8}).</t>
  </si>
  <si>
    <t>Gruul Anarch,Izzet Engineer</t>
  </si>
  <si>
    <t>Guidance</t>
  </si>
  <si>
    <t>touch</t>
  </si>
  <si>
    <t>You touch one willing creature. Once before the spell ends, the target can roll a {@dice d4} and add the number rolled to one ability check of its choice. It can roll the die before or after making the ability check. The spell then ends.</t>
  </si>
  <si>
    <t>Cleric,Druid,Artificer,Artificer</t>
  </si>
  <si>
    <t>Divine Soul,Favored Soul,Favored Soul v3,Nature</t>
  </si>
  <si>
    <t>(a firefly or phosphorescent moss)</t>
  </si>
  <si>
    <t>You touch one object that is no larger than 10 feet in any dimension. Until the spell ends, the object sheds bright light in a 20-foot radius and dim light for an additional 20 feet. The light can be colored as you like. Completely covering the object with something opaque blocks the light. The spell ends if you cast it again or dismiss it as an action.
 If you target an object held or worn by a hostile creature, that creature must succeed on a Dexterity saving throw to avoid the spell.</t>
  </si>
  <si>
    <t>Bard,Cleric,Sorcerer,Wizard,Artificer,Artificer</t>
  </si>
  <si>
    <t>Undying Light,Celestial,Eldritch Knight,Arcane Trickster,Divine Soul,Favored Soul,Favored Soul v3,Arcana</t>
  </si>
  <si>
    <t>Aasimar (Fallen),Aasimar (Protector),Aasimar (Scourge),Aasimar,Tiefling (Abyssal)</t>
  </si>
  <si>
    <t>Magic Stone</t>
  </si>
  <si>
    <t>1 bonus</t>
  </si>
  <si>
    <t>You touch one to three pebbles and imbue them with magic. You or someone else can make a ranged spell attack with one of the pebbles by throwing it or hurling it with a {@item sling|phb}. If thrown, a pebble has a range of 60 feet. If someone else attacks with a pebble, that attacker adds your spellcasting ability modifier, not the attacker's, to the attack roll. On a hit, the target takes bludgeoning damage equal to {@damage 1d6} + your spellcasting ability modifier. Whether the attack hits or misses, the spell then ends on the stone.
 If you cast this spell again, the spell ends on any pebbles still affected by your previous casting.</t>
  </si>
  <si>
    <t>Druid,Warlock,Artificer,Artificer</t>
  </si>
  <si>
    <t>Mending</t>
  </si>
  <si>
    <t>(two lodestones)</t>
  </si>
  <si>
    <t>This spell repairs a single break or tear in an object you touch, such as broken chain link, two halves of a broken key, a torn cloak, or a leaking wineskin. As long as the break or tear is no larger than 1 foot in any dimension, you mend it, leaving no trace of the former damage.
 This spell can physically repair a magic item or construct, but the spell can't restore magic to such an object.</t>
  </si>
  <si>
    <t>Bard,Cleric,Druid,Sorcerer,Wizard,Artificer,Artificer</t>
  </si>
  <si>
    <t>Artillerist,Battle Smith,Eldritch Knight,Arcane Trickster,Divine Soul,Favored Soul,Favored Soul v3,Arcana,Nature</t>
  </si>
  <si>
    <t>Resistance</t>
  </si>
  <si>
    <t>(a miniature cloak)</t>
  </si>
  <si>
    <t>You touch one willing creature. Once before the spell ends, the target can roll a {@dice d4} and add the number rolled to one saving throw of its choice. It can roll the die before or after making the saving throw. The spell then ends.</t>
  </si>
  <si>
    <t>Giant Soul,Divine Soul,Favored Soul,Favored Soul v3,Nature</t>
  </si>
  <si>
    <t>Shillelagh</t>
  </si>
  <si>
    <t>(mistletoe, a shamrock leaf, and a club or quarterstaff)</t>
  </si>
  <si>
    <t>The wood of a {@item club|phb} or {@item quarterstaff|phb} you are holding is imbued with nature's power. For the duration, you can use your spellcasting ability instead of Strength for the attack and damage rolls of melee attacks using that weapon, and the weapon's damage die becomes a {@dice d8}. The weapon also becomes magical, if it isn't already. The spell ends if you cast it again or if you let go of the weapon.</t>
  </si>
  <si>
    <t>Giant Soul,Nature</t>
  </si>
  <si>
    <t>Lightning springs from your hand to deliver a shock to a creature you try to touch. Make a melee spell attack against the target. You have advantage on the attack roll if the target is wearing armor made of metal. On a hit, the target takes {@damage 1d8} lightning damage, and it can't take reactions until the start of its next turn.
 The spell's damage increases by {@dice 1d8} when you reach 5th level ({@damage 2d8}), 11th level ({@damage 3d8}), and 17th level ({@damage 4d8}).</t>
  </si>
  <si>
    <t>Spare the Dying</t>
  </si>
  <si>
    <t>You touch a living creature that has 0 hit points. The creature becomes stable. This spell has no effect on undead or constructs.</t>
  </si>
  <si>
    <t>Cleric,Artificer,Artificer</t>
  </si>
  <si>
    <t>Grave,Undying,Divine Soul,Favored Soul,Favored Soul v3</t>
  </si>
  <si>
    <t>Elf (Shadar-kai),Tiefling (Abyssal)</t>
  </si>
  <si>
    <t>Arms of Hadar</t>
  </si>
  <si>
    <t>You invoke the power of Hadar, the Dark Hunger. Tendrils of dark energy erupt from you and batter all creatures within 10 feet of you. Each creature in that area must make a Strength saving throw. On a failed save, a target takes {@damage 2d6} necrotic damage and can't take reactions until its next turn. On a successful save, the creature takes half damage, but suffers no other effect.</t>
  </si>
  <si>
    <t>Aberrant Mind,Aberrant Mind</t>
  </si>
  <si>
    <t>Earth Tremor</t>
  </si>
  <si>
    <t>You cause a tremor in the ground within range. Each creature other than you in that area must make a Dexterity saving throw. On a failed save, a creature takes {@damage 1d6} bludgeoning damage and is knocked {@condition prone}. If the ground in that area is loose earth or stone, it becomes difficult terrain until cleared, with each 5-foot-diameter portion requiring at least 1 minute to clear by hand.</t>
  </si>
  <si>
    <t>Bard,Druid,Sorcerer,Wizard</t>
  </si>
  <si>
    <t>Eldritch Knight,Arcane Trickster</t>
  </si>
  <si>
    <t>Find Familiar</t>
  </si>
  <si>
    <t>({'text': '10 gp worth of charcoal, incense, and herbs that must be consumed by fire in a brass brazier', 'cost': 1000, 'consume': True})</t>
  </si>
  <si>
    <t>You gain the service of a familiar, a spirit that takes an animal form you choose: {@creature bat}, {@creature cat}, {@creature crab}, {@creature frog} (toad), {@creature hawk}, {@creature lizard}, {@creature octopus}, {@creature owl}, {@creature poisonous snake}, fish ({@creature quipper}), {@creature rat}, {@creature raven}, {@creature sea horse}, {@creature spider}, or {@creature weasel}. Appearing in an unoccupied space within range, the familiar has the statistics of the chosen form, though it is a celestial, fey, or fiend (your choice) instead of a beast.
 {@note Additional {@filter animal form choices|bestiary|Miscellaneous=Familiar} may be available at the DM's discretion.}
 Your familiar acts independently of you, but it always obeys your commands. In combat, it rolls its own initiative and acts on its own turn. A familiar can't attack, but it can take other actions as normal.
 When the familiar drops to 0 hit points, it disappears, leaving behind no physical form. It reappears after you cast this spell again.
 While your familiar is within 100 feet of you, you can communicate with it telepathically. Additionally, as an action, you can see through your familiar's eyes and hear what it hears until the start of your next turn, gaining the benefits of any special senses that the familiar has. During this time, you are {@condition deafened||deaf} and {@condition blinded||blind} with regard to your own senses.
 As an action, you can temporarily dismiss your familiar. It disappears into a pocket dimension where it awaits your summons. Alternatively, you can dismiss it forever. As an action while it is temporarily dismissed, you can cause it to reappear in any unoccupied space within 30 feet of you.
 You can't have more than one familiar at a time. If you cast this spell while you already have a familiar, you instead cause it to adopt a new form. Choose one of the forms from the above list. Your familiar transforms into the chosen creature.
 Finally, when you cast a spell with a range of touch, your familiar can deliver the spell as if it had cast the spell. Your familiar must be within 100 feet of you, and it must use its reaction to deliver the spell when you cast it. If the spell requires an attack roll, you use your attack modifier for the roll.</t>
  </si>
  <si>
    <t>Purify Food and Drink</t>
  </si>
  <si>
    <t>All nonmagical food and drink within a 5-foot-radius sphere centered on a point of your choice within range is purified and rendered free of poison and disease.</t>
  </si>
  <si>
    <t>Cleric,Druid,Paladin,Artificer</t>
  </si>
  <si>
    <t>Alchemist,Divine Soul,Favored Soul,Favored Soul v3</t>
  </si>
  <si>
    <t>Chaos Bolt</t>
  </si>
  <si>
    <t>You hurl an undulating, warbling mass of chaotic energy at one creature in range. Make a ranged spell attack against the target. On a hit, the target takes {@damage 2d8 + 1d6} damage. Choose one of the {@dice d8}s. The number rolled on that die determines the attack's damage type, as shown below.
 If you roll the same number on both {@dice d8}s, the chaotic energy leaps from the target to a different creature of your choice within 30 feet of it. Make a new attack roll against the new target, and make a new damage roll, which could cause the chaotic energy to leap again.
 A creature can be targeted only once by each casting of this spell.</t>
  </si>
  <si>
    <t>You create a 20-foot-radius sphere of fog centered on a point within range. The sphere spreads around corners, and its area is heavily obscured. It lasts for the duration or until a wind of moderate or greater speed (at least 10 miles per hour) disperses it.</t>
  </si>
  <si>
    <t>Druid,Ranger,Sorcerer,Wizard</t>
  </si>
  <si>
    <t>Tempest,Giant Soul,Noble Genie,Genie,Storm,Genie,Genie</t>
  </si>
  <si>
    <t>Triton,Half-Elf (Mark of Storm)</t>
  </si>
  <si>
    <t>Guiding Bolt</t>
  </si>
  <si>
    <t>A flash of light streaks toward a creature of your choice within range. Make a ranged spell attack against the target. On a hit, the target takes {@damage 4d6} radiant damage, and the next attack roll made against this target before the end of your next turn has advantage, thanks to the mystical dim light glittering on the target until then.</t>
  </si>
  <si>
    <t>Solidarity,Celestial,Glory,Heroism,Favored Soul,Favored Soul v3</t>
  </si>
  <si>
    <t>Jim's Magic Missile</t>
  </si>
  <si>
    <t>Any apprentice wizard can cast a boring old magic missile. Sure, it always strikes its target. Yawn. Do away with the drudgery of your grandfather's magic with this improved version of the spell, as used by Jim Darkmagic!
 You create three twisting, whistling, hypoallergenic, gluten-free darts of magical force. Each dart targets a creature of your choice that you can see within range. Make a ranged spell attack for each missile. On a hit, a missile deals {@damage 2d4} force damage to its target.
 If the attack roll scores a critical hit, the target of that missile takes {@damage 5d4} force damage instead of you rolling damage twice for a critical hit. If the attack roll for any missile is a 1, all missiles miss their targets and blow up in your face, dealing 1 force damage per missile to you.</t>
  </si>
  <si>
    <t>You create three glowing darts of magical force. Each dart hits a creature of your choice that you can see within range. A dart deals {@damage 1d4 + 1} force damage to its target. The darts all strike simultaneously, and you can direct them to hit one creature or several.</t>
  </si>
  <si>
    <t>Sorcerer,Wizard</t>
  </si>
  <si>
    <t>Arcana,Armorer,Eldritch Knight,Arcane Trickster</t>
  </si>
  <si>
    <t>Tiefling (Abyssal),Tiefling (Mephistopheles)</t>
  </si>
  <si>
    <t>As you hold your hands with thumbs touching and fingers spread, a thin sheet of flames shoots forth from your outstretched fingertips. Each creature in a 15-foot cone must make a Dexterity saving throw. A creature takes {@damage 3d6} fire damage on a failed save, or half as much damage on a successful one.
 The fire ignites any flammable objects in the area that aren't being worn or carried.</t>
  </si>
  <si>
    <t>Light,Fiend,Celestial,Undying Light,Giant Soul,Genie,Wildfire,Four Elements,Sun Soul,Eldritch Knight,Arcane Trickster</t>
  </si>
  <si>
    <t>Genasi (Fire),Tiefling (Variant),Tiefling (Abyssal),Tiefling (Mephistopheles)</t>
  </si>
  <si>
    <t>(a pinch of powder or sand that is colored red, yellow, and blue)</t>
  </si>
  <si>
    <t>A dazzling array of flashing, colored light springs from your hand. Roll {@dice 6d10}; the total is how many hit points of creatures this spell can effect. Creatures in a 15-foot cone originating from you are affected in ascending order of their current hit points (ignoring {@condition unconscious} creatures and creatures that can't see).
 Starting with the creature that has the lowest current hit points, each creature affected by this spell is {@condition blinded} until the end of your next turn. Subtract each creature's hit points from the total before moving on to the creature with the next lowest hit points. A creature's hit points must be equal to or less than the remaining total for that creature to be affected.</t>
  </si>
  <si>
    <t>Bard,Bard</t>
  </si>
  <si>
    <t>Frost Fingers</t>
  </si>
  <si>
    <t>Freezing cold blasts from your fingertips in a 15-foot cone. Each creature in that area must make a Constitution saving throw, taking {@damage 2d8} cold damage on a failed save, or half as much damage on a successful one.
 The cold freezes nonmagical liquids in the area that aren't being worn or carried.</t>
  </si>
  <si>
    <t>A wave of thunderous force sweeps out from you. Each creature in a 15-foot cube originating from you must make a Constitution saving throw. On a failed save, a creature takes {@damage 2d8} thunder damage and is pushed 10 feet away from you. On a successful save, the creature takes half as much damage and isn't pushed.
 In addition, unsecured objects that are completely within the area of effect are automatically pushed 10 feet away from you by the spell's effect, and the spell emits a thunderous boom audible out to 300 feet.</t>
  </si>
  <si>
    <t>Tempest,Giant Soul,Artillerist,Lurker in the Deep,Artillerist,Genie,Armorer,Storm,Fathomless,Genie,Genie,Four Elements,Eldritch Knight,Arcane Trickster</t>
  </si>
  <si>
    <t>Alarm</t>
  </si>
  <si>
    <t>(a tiny bell and a piece of fine silver wire)</t>
  </si>
  <si>
    <t>8 hour</t>
  </si>
  <si>
    <t>You set an alarm against unwanted intrusion. Choose a door, a window, or an area within range that is no larger than a 20-foot cube. Until the spell ends, an alarm alerts you whenever a Tiny or larger creature touches or enters the warded area. When you cast the spell, you can designate creatures that won't set off the alarm. You also choose whether the alarm is mental or audible.
 A mental alarm alerts you with a ping in your mind if you are within 1 mile of the warded area. This ping awakens you if you are sleeping.
 An audible alarm produces the sound of a hand bell for 10 seconds within 60 feet.</t>
  </si>
  <si>
    <t>Ranger,Wizard,Artificer,Artificer,Artificer</t>
  </si>
  <si>
    <t>Clockwork Soul,Watchers,Eldritch Knight,Arcane Trickster</t>
  </si>
  <si>
    <t>Animal Friendship</t>
  </si>
  <si>
    <t>(a morsel of food)</t>
  </si>
  <si>
    <t>24 hour</t>
  </si>
  <si>
    <t>This spell lets you convince a beast that you mean it no harm. Choose a beast that you can see within range. It must see and hear you. If the beast's Intelligence is 4 or higher, the spell fails. Otherwise, the beast must succeed on a Wisdom saving throw or be {@condition charmed} by you for the spell's duration. If you or one of your companions harms the target, the spell ends.</t>
  </si>
  <si>
    <t>Bard,Druid,Ranger</t>
  </si>
  <si>
    <t>Yuan-ti Pureblood,Human (Mark of Handling)</t>
  </si>
  <si>
    <t>Bane</t>
  </si>
  <si>
    <t>(a drop of blood)</t>
  </si>
  <si>
    <t>Up to three creatures of your choice that you can see within range must make Charisma saving throws. Whenever a target that fails this saving throw makes an attack roll or a saving throw before the spell ends, the target must roll a {@dice d4} and subtract the number rolled from the attack roll or saving throw.</t>
  </si>
  <si>
    <t>Bard,Cleric</t>
  </si>
  <si>
    <t>Vengeance,Grave,Ambition,Divine Soul,Onomancy,Undead,Favored Soul,Favored Soul v3</t>
  </si>
  <si>
    <t>Bless</t>
  </si>
  <si>
    <t>(a sprinkling of holy water)</t>
  </si>
  <si>
    <t>You bless up to three creatures of your choice within range. Whenever a target makes an attack roll or a saving throw before the spell ends, the target can roll a {@dice d4} and add the number rolled to the attack roll or saving throw.</t>
  </si>
  <si>
    <t>Cleric,Paladin</t>
  </si>
  <si>
    <t>Life,Solidarity,Divine Soul,Onomancy,Favored Soul,Favored Soul v3</t>
  </si>
  <si>
    <t>Charm Person</t>
  </si>
  <si>
    <t>You attempt to charm a humanoid you can see within range. It must make a Wisdom saving throw, and does so with advantage if you or your companions are fighting it. If it fails the saving throw, it is {@condition charmed} by you until the spell ends or until you or your companions do anything harmful to it. The {@condition charmed} creature regards you as a friendly acquaintance. When the spell ends, the creature knows it was {@condition charmed} by you.</t>
  </si>
  <si>
    <t>Bard,Druid,Sorcerer,Warlock,Wizard</t>
  </si>
  <si>
    <t>Trickery,Treachery,Love,Fey Wanderer,Eldritch Knight,Arcane Trickster</t>
  </si>
  <si>
    <t>Tiefling (Variant),Tiefling (Abyssal),Tiefling (Fierna),Tiefling (Fierna)</t>
  </si>
  <si>
    <t>Compelled Duel</t>
  </si>
  <si>
    <t>You attempt to compel a creature into a duel. One creature that you can see within range must make a Wisdom saving throw. On a failed save, the creature is drawn to you, compelled by your divine demand. For the duration, it has disadvantage on attack rolls against creatures other than you, and must make a Wisdom saving throw each time it attempts to move to a space that is more than 30 feet away from you; if it succeeds on this saving throw, this spell doesn't restrict the target's movement for that turn.
 The spell ends if you attack any other creature, if you cast a spell that targets a hostile creature other than the target, if a creature friendly to you damages the target or casts a harmful spell on it, or if you end your turn more than 30 feet away from the target.</t>
  </si>
  <si>
    <t>Crown,Protection,Stone</t>
  </si>
  <si>
    <t>Create or Destroy Water</t>
  </si>
  <si>
    <t>(a drop of water if creating water or a few grains of sand if destroying it)</t>
  </si>
  <si>
    <t>You either create or destroy water.
 Create WaterYou create up to 10 gallons of clean water within range in an open container. Alternatively, the water falls as rain in a 30-foot cube within range, extinguishing exposed flames in the area.
 Destroy WaterYou destroy up to 10 gallons of water in an open container within range. Alternatively, you destroy fog in a 30-foot cube within range.</t>
  </si>
  <si>
    <t>Cleric,Druid</t>
  </si>
  <si>
    <t>Kraken,Lurker in the Deep,Divine Soul,Favored Soul,Favored Soul v3,Fathomless</t>
  </si>
  <si>
    <t>Sanctuary</t>
  </si>
  <si>
    <t>(a small silver mirror)</t>
  </si>
  <si>
    <t>You ward a creature within range against attack. Until the spell ends, any creature who targets the warded creature with an attack or a harmful spell must first make a Wisdom saving throw. On a failed save, the creature must choose a new target or lose the attack or spell. This spell doesn't protect the warded creature from area effects, such as the explosion of a {@spell fireball}.
 If the warded creature makes an attack, casts a spell that affects an enemy, or deals damage to another creature, this spell ends.</t>
  </si>
  <si>
    <t>Cleric,Artificer,Artificer,Artificer</t>
  </si>
  <si>
    <t>Devotion,Redemption,Raven Queen,Genie,Peace,Open Hand,Tranquility,Favored Soul,Favored Soul v3</t>
  </si>
  <si>
    <t>Tasha's Caustic Brew</t>
  </si>
  <si>
    <t>(a bit of rotten food)</t>
  </si>
  <si>
    <t>A stream of acid emanates from you in a line 30 feet long and 5 feet wide in a direction you choose. Each creature in the line must succeed on a Dexterity saving throw or be covered in acid for the spell's duration or until a creature uses its action to scrape or wash the acid off itself or another creature. A creature covered in the acid takes {@damage 2d4} acid damage at start of each of its turns.</t>
  </si>
  <si>
    <t>Tasha's Hideous Laughter</t>
  </si>
  <si>
    <t>(tiny tarts and a feather that is waved in the air)</t>
  </si>
  <si>
    <t>A creature of your choice that you can see within range perceives everything as hilariously funny and falls into fits of laughter if this spell affects it. The target must succeed on a Wisdom saving throw or fall {@condition prone}, becoming {@condition incapacitated} and unable to stand up for the duration. A creature with an Intelligence score of 4 or less isn't affected.
 At the end of each of its turns, and each time it takes damage, the target can make another Wisdom saving throw. The target has advantage on the saving throw if it's triggered by damage. On a success, the spell ends.</t>
  </si>
  <si>
    <t>Bard,Wizard</t>
  </si>
  <si>
    <t>Great Old One,Eldritch Knight,Arcane Trickster</t>
  </si>
  <si>
    <t>Tenser's Floating Disk</t>
  </si>
  <si>
    <t>(a drop of mercury)</t>
  </si>
  <si>
    <t>This spell creates a circular, horizontal plane of force, 3 feet in diameter and 1 inch thick, that floats 3 feet above the ground in an unoccupied space of your choice that you can see within range. The disk remains for the duration, and can hold up to 500 pounds. If more weight is placed on it, the spell ends, and everything on the disk falls to the ground.
 The disk is immobile while you are within 20 feet of it. If you move more than 20 feet away from it, the disk follows you so that it remains within 20 feet of you. It can move across uneven terrain, up or down stairs, slopes and the like, but it can't cross an elevation change of 10 feet or more. For example, the disk can't move across a 10-foot-deep pit, nor could it leave such a pit if it was created at the bottom.
 If you move more than 100 feet from the disk (typically because it can't move around an obstacle to follow you), the spell ends.</t>
  </si>
  <si>
    <t>Tiefling (Mammon),Tiefling (Mammon),Human (Mark of Making)</t>
  </si>
  <si>
    <t>Witch Bolt</t>
  </si>
  <si>
    <t>(a twig from a tree that has been struck by lightning)</t>
  </si>
  <si>
    <t>A beam of crackling, blue energy lances out toward a creature within range, forming a sustained arc of lightning between you and the target. Make a ranged spell attack against that creature. On a hit, the target takes {@damage 1d12} lightning damage, and on each of your turns for the duration, you can use your action to deal {@damage 1d12} lightning damage to the target automatically. The spell ends if you use your action to do anything else. The spell also ends if the target is ever outside the spell's range or if it has total cover from you.</t>
  </si>
  <si>
    <t>Catapult</t>
  </si>
  <si>
    <t>Choose one object weighing 1 to 5 pounds within range that isn't being worn or carried. The object flies in a straight line up to 90 feet in a direction you choose before falling to the ground, stopping early if it impacts against a solid surface. If the object would strike a creature, that creature must make a Dexterity saving throw. On a failed save, the object strikes the target and stops moving. When the object strikes something, the object and what it strikes each take {@damage 3d8} bludgeoning damage.</t>
  </si>
  <si>
    <t>Cause Fear</t>
  </si>
  <si>
    <t>You awaken the sense of mortality in one creature you can see within range. A construct or an undead is immune to this effect. The target must succeed on a Wisdom saving throw or become {@condition frightened} of you until the spell ends. The {@condition frightened} target can repeat the saving throw at the end of each of its turns, ending the effect on itself on a success.</t>
  </si>
  <si>
    <t>Warlock,Wizard</t>
  </si>
  <si>
    <t>Command</t>
  </si>
  <si>
    <t>You speak a one-word command to a creature you can see within range. The target must succeed on a Wisdom saving throw or follow the command on its next turn. The spell has no effect if the target is undead, if it doesn't understand your language, or if your command is directly harmful to it.
 Some typical commands and their effects follow. You might issue a command other than one described here. If you do so, the DM determines how the target behaves. If the target can't follow your command, the spell ends.
 ApproachThe target moves toward you by the shortest and most direct route, ending its turn if it moves within 5 feet of you.
 DropThe target drops whatever it is holding and then ends its turn.
 FleeThe target spends its turn moving away from you by the fastest available means.
 GrovelThe target falls {@condition prone} and then ends its turn.
 HaltThe target doesn't move and takes no actions. A flying creature stays aloft, provided that it is able to do so. If it must move to stay aloft, it flies the minimum distance needed to remain in the air.</t>
  </si>
  <si>
    <t>Knowledge,Crown,Fiend,Conquest,Order,Glamourl,Favored Soul,Favored Soul v3</t>
  </si>
  <si>
    <t>Azorius Functionary,Orzhov Representative</t>
  </si>
  <si>
    <t>Dissonant Whispers</t>
  </si>
  <si>
    <t>You whisper a discordant melody that only one creature of your choice within range can hear, wracking it with terrible pain. The target must make a Wisdom saving throw. On a failed save, it takes {@damage 3d6} psychic damage and must immediately use its reaction, if available, to move as far as its speed allows away from you. The creature doesn't move into obviously dangerous ground, such as a fire or a pit. On a successful save, the target takes half as much damage and doesn't have to move away. A {@condition deafened} creature automatically succeeds on the save.</t>
  </si>
  <si>
    <t>Great Old One,Archivist,Aberrant Mind</t>
  </si>
  <si>
    <t>Each object in a 20-foot cube within range is outlined in blue, green, or violet light (your choice). Any creature in the area when the spell is cast is also outlined in light if it fails a Dexterity saving throw. For the duration, objects and affected creatures shed dim light in a 10-foot radius.
 Any attack roll against an affected creature or object has advantage if the attacker can see it, and the affected creature or object can't benefit from being {@condition invisible}.</t>
  </si>
  <si>
    <t>Bard,Druid,Artificer,Artificer</t>
  </si>
  <si>
    <t>Light,Archfey,Twilight,Swarmkeeper,Swarmkeeper,Twilight,Swarmkeeper,Swarmkeeper,Swarmkeeper</t>
  </si>
  <si>
    <t>Elf (Drow),Half-Elf (Drow Descent),Half-Orc (Mark of Finding),Human (Mark of Finding)</t>
  </si>
  <si>
    <t>Feather Fall</t>
  </si>
  <si>
    <t>1 reaction</t>
  </si>
  <si>
    <t>(a small feather or a piece of down)</t>
  </si>
  <si>
    <t>Choose up to five falling creatures within range. A falling creature's rate of descent slows to 60 feet per round until the spell ends. If the creature lands before the spell ends, it takes no falling damage and can land on its feet, and the spell ends for that creature.</t>
  </si>
  <si>
    <t>Grease</t>
  </si>
  <si>
    <t>(a bit of pork rind or butter)</t>
  </si>
  <si>
    <t>Slick grease covers the ground in a 10-foot square centered on a point within range and turns it into difficult terrain for the duration.
 When the grease appears, each creature standing in its area must succeed on a Dexterity saving throw or fall {@condition prone}. A creature that enters the area or ends its turn there must also succeed on a Dexterity saving throw or fall {@condition prone}.</t>
  </si>
  <si>
    <t>Wizard,Artificer,Artificer</t>
  </si>
  <si>
    <t>Sorcerer,Sorcerer</t>
  </si>
  <si>
    <t>Healing Word</t>
  </si>
  <si>
    <t>A creature of your choice that you can see within range regains hit points equal to {@dice 1d4} + your spellcasting ability modifier. This spell has no effect on undead or constructs.</t>
  </si>
  <si>
    <t>Bard,Cleric,Druid</t>
  </si>
  <si>
    <t>Hellish Rebuke</t>
  </si>
  <si>
    <t>You point your finger, and the creature that damaged you is momentarily surrounded by hellish flames. The creature must make a Dexterity saving throw. It takes {@damage 2d10} fire damage on a failed save, or half as much damage on a successful one.</t>
  </si>
  <si>
    <t>Tiefling,Tiefling (Variant),Tiefling (Asmodeus),Tiefling (Asmodeus)</t>
  </si>
  <si>
    <t>Ice Knife</t>
  </si>
  <si>
    <t>(a drop of water or piece of ice)</t>
  </si>
  <si>
    <t>You create a shard of ice and fling it at one creature within range. Make a ranged spell attack against the target. On a hit, the target takes {@damage 1d10} piercing damage. Hit or miss, the shard then explodes. The target and each creature within 5 feet of it must succeed on a Dexterity saving throw or take {@damage 2d6} cold damage.</t>
  </si>
  <si>
    <t>Magnify Gravity</t>
  </si>
  <si>
    <t>The gravity in a 10-foot-radius sphere centered on a point you can see within range increases for a moment. Each creature in the sphere on the turn when you cast the spell must make a Constitution saving throw. On a failed save, a creature takes {@damage 2d8} force damage, and its speed is halved until the end of its next turn. On a successful save, a creature takes half as much damage and suffers no reduction to its speed.
 Until the start of your next turn, any object that isn't being worn or carried in the sphere requires a successful Strength check against your spell save DC to pick up or move.</t>
  </si>
  <si>
    <t>Graviturgy</t>
  </si>
  <si>
    <t>Ray of Sickness</t>
  </si>
  <si>
    <t>A ray of sickening greenish energy lashes out toward a creature within range. Make a ranged spell attack against the target. On a hit, the target takes {@damage 2d8} poison damage and must make a Constitution saving throw. On a failed save, it is also {@condition poisoned} until the end of your next turn.</t>
  </si>
  <si>
    <t>Death,Undying,Alchemist,Alchemist,Eldritch Knight,Arcane Trickster</t>
  </si>
  <si>
    <t>Tiefling (Baalzebul),Tiefling (Baalzebul)</t>
  </si>
  <si>
    <t>Shield of Faith</t>
  </si>
  <si>
    <t>(a small parchment with a bit of holy text written on it)</t>
  </si>
  <si>
    <t>A shimmering field appears and surrounds a creature of your choice within range, granting it a +2 bonus to AC for the duration.</t>
  </si>
  <si>
    <t>Cleric,Paladin,Artificer</t>
  </si>
  <si>
    <t>War,Strength,Unity,Divine Soul,Favored Soul,Favored Soul v3</t>
  </si>
  <si>
    <t>IDRotF</t>
  </si>
  <si>
    <t>Silent Image</t>
  </si>
  <si>
    <t>You create the image of an object, a creature, or some other visible phenomenon that is no larger than a 15-foot cube. The image appears at a spot within range and lasts for the duration. The image is purely visual; it isn't accompanied by sound, smell, or other sensory effects.
 You can use your action to cause the image to move to any spot within range. As the image changes location, you can alter its appearance so that its movements appear natural for the image. For example, if you create an image of a creature and move it, you can alter the image so that it appears to be walking.
 Physical interaction with the image reveals it to be an illusion, because things can pass through it. A creature that uses its action to examine the image can determine that it is an illusion with a successful Intelligence ({@skill Investigation}) check against your spell save DC. If a creature discerns the illusion for what it is, the creature can see through the image.</t>
  </si>
  <si>
    <t>Bard,Sorcerer,Wizard</t>
  </si>
  <si>
    <t>Unseen Servant</t>
  </si>
  <si>
    <t>(a piece of string and a bit of wood)</t>
  </si>
  <si>
    <t>This spell creates an {@condition invisible}, mindless, shapeless, Medium force that performs simple tasks at your command until the spell ends. The servant springs into existence in an unoccupied space on the ground within range. It has AC 10, 1 hit point, and a Strength of 2, and it can't attack. If it drops to 0 hit points, the spell ends.
 Once on each of your turns as a bonus action, you can mentally command the servant to move up to 15 feet and interact with an object. The servant can perform simple tasks that a human servant could do, such as fetching things, cleaning, mending, folding clothes, lighting fires, serving food, and pouring wine. Once you give the command, the servant performs the task to the best of its ability until it completes the task, then waits for your next command.
 If you command the servant to perform a task that would move it more than 60 feet away from you, the spell ends.</t>
  </si>
  <si>
    <t>Bard,Warlock,Wizard</t>
  </si>
  <si>
    <t>90 feet</t>
  </si>
  <si>
    <t>({'text': 'a diamond worth at least 50 gp', 'cost': 5000})</t>
  </si>
  <si>
    <t>You hurl a 4-inch-diameter sphere of energy at a creature that you can see within range. You choose acid, cold, fire, lightning, poison, or thunder for the type of orb you create, and then make a ranged spell attack against the target. If the attack hits, the creature takes {@damage 3d8} damage of the type you chose.</t>
  </si>
  <si>
    <t>Watchers,Eldritch Knight,Arcane Trickster</t>
  </si>
  <si>
    <t>Grasping weeds and vines sprout from the ground in a 20-foot square starting from a point within range. For the duration, these plants turn the ground in the area into difficult terrain.
 A creature in the area when you cast the spell must succeed on a Strength saving throw or be {@condition restrained} by the entangling plants until the spell ends. A creature {@condition restrained} by the plants can use its action to make a Strength check against your spell save DC. On a success, it frees itself.
 When the spell ends, the conjured plants wilt away.</t>
  </si>
  <si>
    <t>Primeval Guardian,Primeval Guardian,Giant Soul</t>
  </si>
  <si>
    <t>Ranger,Ranger</t>
  </si>
  <si>
    <t>Hex</t>
  </si>
  <si>
    <t>(the petrified eye of a newt)</t>
  </si>
  <si>
    <t>You place a curse on a creature that you can see within range. Until the spell ends, you deal an extra {@damage 1d6} necrotic damage to the target whenever you hit it with an attack. Also, choose one ability when you cast the spell. The target has disadvantage on ability checks made with the chosen ability.
 If the target drops to 0 hit points before this spell ends, you can use a bonus action on a subsequent turn of yours to curse a new creature.
 A {@spell remove curse} cast on the target ends this spell early.</t>
  </si>
  <si>
    <t>Elf (Zendikar) (Mul Daya Nation)</t>
  </si>
  <si>
    <t>Hunter's Mark</t>
  </si>
  <si>
    <t>You choose a creature you can see within range and mystically mark it as your quarry. Until the spell ends, you deal an extra {@damage 1d6} damage to the target whenever you hit it with a weapon attack, and you have advantage on any Wisdom ({@skill Perception}) or Wisdom ({@skill Survival}) check you make to find it. If the target drops to 0 hit points before this spell ends, you can use a bonus action on a subsequent turn of yours to mark a new creature.</t>
  </si>
  <si>
    <t>Half-Orc (Mark of Finding),Human (Mark of Finding)</t>
  </si>
  <si>
    <t>Sleep</t>
  </si>
  <si>
    <t>(a pinch of fine sand, rose petals, or a cricket)</t>
  </si>
  <si>
    <t>This spell sends creatures into a magical slumber. Roll {@dice 5d8}; the total is how many hit points of creatures this spell can affect. Creatures within 20 feet of a point you choose within range are affected in ascending order of their current hit points (ignoring {@condition unconscious} creatures).
 Starting with the creature that has the lowest current hit points, each creature affected by this spell falls {@condition unconscious} until the spell ends, the sleeper takes damage, or someone uses an action to shake or slap the sleeper awake. Subtract each creature's hit points from the total before moving on to the creature with the next lowest hit points. A creature's hit points must be equal to or less than the remaining total for that creature to be affected.
 Undead and creatures immune to being {@condition charmed} aren't affected by this spell.</t>
  </si>
  <si>
    <t>Archfey,Redemption,Redemption,Twilight,Noble Genie,Twilight,Eldritch Knight,Arcane Trickster</t>
  </si>
  <si>
    <t>Absorb Elements</t>
  </si>
  <si>
    <t>The spell captures some of the incoming energy, lessening its effect on you and storing it for your next melee attack. You have resistance to the triggering damage type until the start of your next turn. Also, the first time you hit with a melee attack on your next turn, the target takes an extra {@damage 1d6} damage of the triggering type, and the spell ends.</t>
  </si>
  <si>
    <t>Druid,Ranger,Sorcerer,Wizard,Artificer,Artificer</t>
  </si>
  <si>
    <t>Armor of Agathys</t>
  </si>
  <si>
    <t>(a cup of water)</t>
  </si>
  <si>
    <t>A protective magical force surrounds you, manifesting as a spectral frost that covers you and your gear. You gain 5 temporary hit points for the duration. If a creature hits you with a melee attack while you have these hit points, the creature takes 5 cold damage.</t>
  </si>
  <si>
    <t>Conquest,Conquest,Conquest,Giant Soul</t>
  </si>
  <si>
    <t>Tiefling (Levistus),Tiefling (Levistus),Dwarf (Mark of Warding)</t>
  </si>
  <si>
    <t>Comprehend Languages</t>
  </si>
  <si>
    <t>(a pinch of soot and salt)</t>
  </si>
  <si>
    <t>For the duration, you understand the literal meaning of any spoken language that you hear. You also understand any written language that you see, but you must be touching the surface on which the words are written. It takes about 1 minute to read one page of text.
 This spell doesn't decode secret messages in a text or a glyph, such as an arcane sigil, that isn't part of a written language.</t>
  </si>
  <si>
    <t>City,Archivist,Eldritch Knight,Arcane Trickster</t>
  </si>
  <si>
    <t>Detect Evil and Good</t>
  </si>
  <si>
    <t>For the duration, you know if there is an aberration, celestial, elemental, fey, fiend, or undead within 30 feet of you, as well as where the creature is located. Similarly, you know if there is a place or object within 30 feet of you that has been magically consecrated or desecrated.
 The spell can penetrate most barriers, but it is blocked by 1 foot of stone, 1 inch of common metal, a thin sheet of lead, or 3 feet of wood or dirt.</t>
  </si>
  <si>
    <t>Genie,Divine Soul,Favored Soul,Favored Soul v3</t>
  </si>
  <si>
    <t>Detect Magic</t>
  </si>
  <si>
    <t>For the duration, you sense the presence of magic within 30 feet of you. If you sense magic in this way, you can use your action to see a faint aura around any visible creature or object in the area that bears magic, and you learn its school of magic, if any.
 The spell can penetrate most barriers, but it is blocked by 1 foot of stone, 1 inch of common metal, a thin sheet of lead, or 3 feet of wood or dirt.</t>
  </si>
  <si>
    <t>Bard,Cleric,Druid,Paladin,Ranger,Sorcerer,Wizard,Artificer,Artificer</t>
  </si>
  <si>
    <t>Arcana,Watchers,Eldritch Knight,Arcane Trickster,Divine Soul,Favored Soul,Favored Soul v3</t>
  </si>
  <si>
    <t>Firbolg,Half-Elf (Mark of Detection)</t>
  </si>
  <si>
    <t>Detect Poison and Disease</t>
  </si>
  <si>
    <t>(a yew leaf)</t>
  </si>
  <si>
    <t>For the duration, you can sense the presence and location of poisons, poisonous creatures, and diseases within 30 feet of you. You also identify the kind of poison, poisonous creature, or disease in each case.
 The spell can penetrate most barriers, but it is blocked by 1 foot of stone, 1 inch of common metal, a thin sheet of lead, or 3 feet of wood or dirt.</t>
  </si>
  <si>
    <t>Cleric,Druid,Paladin,Ranger</t>
  </si>
  <si>
    <t>You make yourselfÃ¢â‚¬â€_x009d_including your clothing, armor, weapons, and other belongings on your personÃ¢â‚¬â€_x009d_look different until the spell ends or until you use your action to dismiss it. You can seem 1 foot shorter or taller and can appear thin, fat, or in between. You can't change your body type, so you must adopt a form that has the same basic arrangement of limbs. Otherwise, the extent of the illusion is up to you.
 The changes wrought by this spell fail to hold up to physical inspection. For example, if you use this spell to add a hat to your outfit, objects pass through the hat, and anyone who touches it would feel nothing or would feel your head and hair. If you use this spell to appear thinner than you are, the hand of someone who reaches out to touch you would bump into you while it was seemingly still in midair.
 To discern that you are disguised, a creature can use its action to inspect your appearance and must succeed on an Intelligence ({@skill Investigation}) check against your spell save DC.</t>
  </si>
  <si>
    <t>Bard,Sorcerer,Wizard,Artificer,Artificer,Artificer</t>
  </si>
  <si>
    <t>Trickery,Ambition,Deep Stalker,Gloom Stalker,Deep Stalker Conclave,Gloom Stalker,Eldritch Knight,Arcane Trickster</t>
  </si>
  <si>
    <t>Firbolg,Tiefling (Dispater),Tiefling (Glasya),Tiefling (Dispater),Tiefling (Glasya),Elf (Mark of Shadow)</t>
  </si>
  <si>
    <t>Divine Favor</t>
  </si>
  <si>
    <t>Your prayer empowers you with divine radiance. Until the spell ends, your weapon attacks deal an extra {@damage 1d4} radiant damage on a hit.</t>
  </si>
  <si>
    <t>War,Strength</t>
  </si>
  <si>
    <t>Ensnaring Strike</t>
  </si>
  <si>
    <t>The next time you hit a creature with a weapon attack before this spell ends, a writhing mass of thorny vines appears at the point of impact, and the target must succeed on a Strength saving throw or be {@condition restrained} by the magical vines until the spell ends. A Large or larger creature has advantage on this saving throw. If the target succeeds on the save, the vines shrivel away.
 While {@condition restrained} by this spell, the target takes {@damage 1d6} piercing damage at the start of each of its turns. A creature {@condition restrained} by the vines or one that can touch the creature can use its action to make a Strength check against your spell save DC. On a success, the target is freed.</t>
  </si>
  <si>
    <t>Expeditious Retreat</t>
  </si>
  <si>
    <t>This spell allows you to move at an incredible pace. When you cast this spell, and then as a bonus action on each of your turns until the spell ends, you can take the {@action Dash} action.</t>
  </si>
  <si>
    <t>Sorcerer,Warlock,Wizard,Artificer,Artificer,Artificer</t>
  </si>
  <si>
    <t>Treachery,Heroism,Eldritch Knight,Arcane Trickster</t>
  </si>
  <si>
    <t>(a small amount of alcohol or distilled spirits)</t>
  </si>
  <si>
    <t>Bolstering yourself with a necromantic facsimile of life, you gain {@dice 1d4 + 4} temporary hit points for the duration.</t>
  </si>
  <si>
    <t>Sorcerer,Wizard,Artificer,Artificer,Artificer</t>
  </si>
  <si>
    <t>Death,Undying,Grave,Raven Queen,Grave,Undead,Undead</t>
  </si>
  <si>
    <t>Hail of Thorns</t>
  </si>
  <si>
    <t>The next time you hit a creature with a ranged weapon attack before the spell ends, this spell creates a rain of thorns that sprouts from your ranged weapon or ammunition. In addition to the normal effect of the attack, the target of the attack and each creature within 5 feet of it must make a Dexterity saving throw. A creature takes {@damage 1d10} piercing damage on a failed save, or half as much damage on a successful one.</t>
  </si>
  <si>
    <t>Searing Smite</t>
  </si>
  <si>
    <t>The next time you hit a creature with a melee weapon attack during the spell's duration, your weapon flares with white-hot intensity, and the attack deals an extra {@damage 1d6} fire damage to the target and causes the target to ignite in flames. At the start of each of its turns until the spell ends, the target must make a Constitution saving throw. On a failed save, it takes {@damage 1d6} fire damage. On a successful save, the spell ends. If the target or a creature within 5 feet of it uses an action to put out the flames, or if some other effect douses the flames (such as the target being submerged in water), the spell ends.</t>
  </si>
  <si>
    <t>Forge,Stone,Zeal,Forge,Battle Smith</t>
  </si>
  <si>
    <t>Tiefling (Zariel),Tiefling (Zariel)</t>
  </si>
  <si>
    <t>Shield</t>
  </si>
  <si>
    <t>An invisible barrier of magical force appears and protects you. Until the start of your next turn, you have a +5 bonus to AC, including against the triggering attack, and you take no damage from magic missile.</t>
  </si>
  <si>
    <t>Forge,Hexblade,Hexblade,Redemption,Artillerist,Artillerist,Battle Smith,Armorer,Eldritch Knight,Arcane Trickster</t>
  </si>
  <si>
    <t>Gith (Githzerai),Gith (Githzerai),Human (Mark of Sentinel)</t>
  </si>
  <si>
    <t>Speak with Animals</t>
  </si>
  <si>
    <t>You gain the ability to comprehend and verbally communicate with beasts for the duration. The knowledge and awareness of many beasts is limited by their intelligence, but at minimum, beasts can give you information about nearby locations and monsters, including whatever they can perceive or have perceived within the past day. You might be able to persuade a beast to perform a small favor for you, at the DM's discretion.</t>
  </si>
  <si>
    <t>Nature,Ancients,Totem Warrior</t>
  </si>
  <si>
    <t>Thunderous Smite</t>
  </si>
  <si>
    <t>The first time you hit with a melee weapon attack during this spell's duration, your weapon rings with thunder that is audible within 300 feet of you, and the attack deals an extra {@damage 2d6} thunder damage to the target. Additionally, if the target is a creature, it must succeed on a Strength saving throw or be pushed 10 feet away from you and knocked {@condition prone}.</t>
  </si>
  <si>
    <t>Stone,Zeal</t>
  </si>
  <si>
    <t>Wrathful Smite</t>
  </si>
  <si>
    <t>The next time you hit with a melee weapon attack during this spell's duration, your attack deals an extra {@damage 1d6} psychic damage. Additionally, if the target is a creature, it must make a Wisdom saving throw or be {@condition frightened} of you until the spell ends. As an action, the creature can make a Wisdom check against your spell save DC to steel its resolve and end this spell.</t>
  </si>
  <si>
    <t>Hexblade,Hexblade,Stone,Destruction</t>
  </si>
  <si>
    <t>Zephyr Strike</t>
  </si>
  <si>
    <t>You move like the wind. Until the spell ends, your movement doesn't provoke opportunity attacks.
 Once before the spell ends, you can give yourself advantage on one weapon attack roll on your turn. That attack deals an extra {@damage 1d8} force damage on a hit. Whether you hit or miss, your walking speed increases by 30 feet until the end of that turn.</t>
  </si>
  <si>
    <t>Beast Bond</t>
  </si>
  <si>
    <t>(a bit of fur wrapped in a cloth)</t>
  </si>
  <si>
    <t>You establish a telepathic link with one beast you touch that is friendly to you or {@condition charmed} by you. The spell fails if the beast's Intelligence score is 4 or higher. Until the spell ends, the link is active while you and the beast are within line of sight of each other. Through the link, the beast can understand your telepathic messages to it, and it can telepathically communicate simple emotions and concepts back to you. While the link is active, the beast gains advantage on attack rolls against any creature within 5 feet of you that you can see.</t>
  </si>
  <si>
    <t>Druid,Ranger</t>
  </si>
  <si>
    <t>Ceremony</t>
  </si>
  <si>
    <t>({'text': '25 gp worth of powdered silver, which the spell consumes', 'cost': 2500, 'consume': True})</t>
  </si>
  <si>
    <t>You perform a special religious ceremony that is infused with magic. When you cast the spell, choose one of the following rites, the target of which must be within 10 feet of you throughout the casting.
 AtonementYou touch one willing creature whose alignment has changed, and you make a DC 20 Wisdom ({@skill Insight}) check. On a successful check, you restore the target to its original alignment.
 Bless WaterYou touch one {@item vial|phb} of water and cause it to become {@item Holy Water (flask)|phb|holy water}.
 Coming of AgeYou touch one humanoid who is a young adult. For the next 24 hours, whenever the target makes an ability check, it can roll a {@dice d4} and add the number rolled to the ability check. A creature can benefit from this rite only once.
 DedicationYou touch one humanoid who wishes to be dedicated to your god's service. For the next 24 hours, whenever the target makes a saving throw, it can roll a {@dice d4} and add the number rolled to the save. A creature can benefit from this rite only once.
 Funeral RiteYou touch one corpse, and for the next 7 days, the target can't become undead by any means short of a {@spell wish} spell.
 WeddingYou touch adult humanoids willing to be bonded together in marriage. For the next 7 days, each target gains a +2 bonus to AC while they are within 30 feet of each other. A creature can benefit from this rite again only if widowed.</t>
  </si>
  <si>
    <t>Cure Wounds</t>
  </si>
  <si>
    <t>A creature you touch regains a number of hit points equal to {@dice 1d8} + your spellcasting ability modifier. This spell has no effect on undead or constructs.</t>
  </si>
  <si>
    <t>Bard,Cleric,Druid,Paladin,Ranger,Artificer,Artificer,Artificer</t>
  </si>
  <si>
    <t>Life,Celestial,Celestial,Divine Soul,Wildfire,Favored Soul,Favored Soul v3</t>
  </si>
  <si>
    <t>Tiefling (Abyssal),Halfling (Mark of Healing)</t>
  </si>
  <si>
    <t>Distort Value</t>
  </si>
  <si>
    <t>Do you need to squeeze a few more gold pieces out of a merchant as you try to sell that weird octopus statue you liberated from the chaos temple? Do you need to downplay the worth of some magical assets when the tax collector stops by? Distort value has you covered.
 You cast this spell on an object no more than 1 foot on a side, doubling the object's perceived value by adding illusory flourishes or polish to it, or reducing its perceived value by half with the help of illusory scratches, dents, and other unsightly features. Anyone examining the object can ascertain its true value with a successful Intelligence ({@skill Investigation}) check against your spell save DC.</t>
  </si>
  <si>
    <t>Bard,Sorcerer,Wizard,Warlock</t>
  </si>
  <si>
    <t>Gift of Alacrity</t>
  </si>
  <si>
    <t>You touch a willing creature. For the duration, the target can add {@dice 1d8} to its initiative rolls.</t>
  </si>
  <si>
    <t>Chronurgy</t>
  </si>
  <si>
    <t>Goodberry</t>
  </si>
  <si>
    <t>(a sprig of mistletoe)</t>
  </si>
  <si>
    <t>Up to ten berries appear in your hand and are infused with magic for the duration. A creature can use its action to eat one berry. Eating a berry restores 1 hit point, and the berry provides enough nourishment to sustain a creature for one day.
 The berries lose their potency if they have not been consumed within 24 hours of the casting of this spell.</t>
  </si>
  <si>
    <t>Heroism</t>
  </si>
  <si>
    <t>A willing creature you touch is imbued with bravery. Until the spell ends, the creature is immune to being {@condition frightened} and gains temporary hit points equal to your spellcasting ability modifier at the start of each of its turns. When the spell ends, the target loses any remaining temporary hit points from this spell.</t>
  </si>
  <si>
    <t>Bard,Paladin</t>
  </si>
  <si>
    <t>Order,Giant Soul,Order,Battle Smith,Battle Smith,Unity,Love,Glory,Peace</t>
  </si>
  <si>
    <t>Identify</t>
  </si>
  <si>
    <t>({'text': 'a pearl worth at least 100 gp and an owl feather', 'cost': 10000})</t>
  </si>
  <si>
    <t>You choose one object that you must touch throughout the casting of the spell. If it is a magic item or some other magic-imbued object, you learn its properties and how to use them, whether it requires attunement to use, and how many charges it has, if any. You learn whether any spells are affecting the item and what they are. If the item was created by a spell, you learn which spell created it.
 If you instead touch a creature throughout the casting, you learn what spells, if any, are currently affecting it.</t>
  </si>
  <si>
    <t>Bard,Wizard,Artificer,Artificer</t>
  </si>
  <si>
    <t>Knowledge,Forge,Eldritch Knight,Arcane Trickster</t>
  </si>
  <si>
    <t>Illusory Script</t>
  </si>
  <si>
    <t>({'text': 'a lead-based ink worth at least 10 gp, which the spell consumes', 'cost': 1000, 'consume': True})</t>
  </si>
  <si>
    <t>10 day</t>
  </si>
  <si>
    <t>You write on parchment, paper, or some other suitable writing material and imbue it with a potent illusion that lasts for the duration.
 To you and any creatures you designate when you cast the spell, the writing appears normal, written in your hand, and conveys whatever meaning you intended when you wrote the text. To all others, the writing appears as if it were written in an unknown or magical script that is unintelligible. Alternatively, you can cause the writing to appear to be an entirely different message, written in a different hand and language, though the language must be one you know.
 Should the spell be dispelled, the original script and the illusion both disappear.
 A creature with {@sense truesight} can read the hidden message.</t>
  </si>
  <si>
    <t>Inflict Wounds</t>
  </si>
  <si>
    <t>Make a melee spell attack against a creature you can reach. On a hit, the target takes {@damage 3d10} necrotic damage.</t>
  </si>
  <si>
    <t>Oathbreaker,Divine Soul,Destruction,Favored Soul,Favored Soul v3</t>
  </si>
  <si>
    <t>(a grasshopper's hind leg)</t>
  </si>
  <si>
    <t>You touch a creature. The creature's {@book jump distance|phb|8|Jumping} is tripled until the spell ends.</t>
  </si>
  <si>
    <t>Druid,Ranger,Sorcerer,Wizard,Artificer,Artificer,Artificer</t>
  </si>
  <si>
    <t>Seeker,Lolth,Eldritch Knight,Arcane Trickster</t>
  </si>
  <si>
    <t>Gith (Githyanki),Gith (Githyanki),Human (Mark of Passage)</t>
  </si>
  <si>
    <t>Longstrider</t>
  </si>
  <si>
    <t>(a pinch of dirt)</t>
  </si>
  <si>
    <t>You touch a creature. The target's speed increases by 10 feet until the spell ends.</t>
  </si>
  <si>
    <t>Bard,Druid,Ranger,Wizard,Artificer,Artificer,Artificer</t>
  </si>
  <si>
    <t>Mage Armor</t>
  </si>
  <si>
    <t>(a piece of cured leather)</t>
  </si>
  <si>
    <t>You touch a willing creature who isn't wearing armor, and a protective magical force surrounds it until the spell ends. The target's base AC becomes 13 + its Dexterity modifier. The spell ends if the target dons armor or if you dismiss the spell as an action.</t>
  </si>
  <si>
    <t>({'text': 'holy water or powdered silver and iron, which the spell consumes', 'consume': True})</t>
  </si>
  <si>
    <t>Until the spell ends, one willing creature you touch is protected against certain types of creatures: aberrations, celestials, elementals, fey, fiends, and undead.
 The protection grants several benefits. Creatures of those types have disadvantage on attack rolls against the target. The target also can't be {@condition charmed}, {@condition frightened}, or possessed by them. If the target is already {@condition charmed}, {@condition frightened}, or possessed by such a creature, the target has advantage on any new saving throw against the relevant effect.</t>
  </si>
  <si>
    <t>Cleric,Paladin,Warlock,Wizard</t>
  </si>
  <si>
    <t>Devotion,Protection,Horizon Walker,Horizon Walker,Monster Slayer,Divine Soul,Clockwork Soul,Eldritch Knight,Arcane Trickster</t>
  </si>
  <si>
    <t>Druid,Sorcerer,Druid</t>
  </si>
  <si>
    <t>Snare</t>
  </si>
  <si>
    <t>({'text': '25 feet of rope, which the spell consumes', 'consume': True})</t>
  </si>
  <si>
    <t>As you cast this spell, you use the rope to create a circle with a 5-foot radius on the ground or the floor. When you finish casting, the rope disappears and the circle becomes a magic trap.
 This trap is nearly invisible, requiring a successful Intelligence ({@skill Investigation}) check against your spell save DC to be discerned.
 The trap triggers when a Small, Medium, or Large creature moves onto the ground or the floor in the spell's radius. That creature must succeed on a Dexterity saving throw or be magically hoisted into the air, leaving it hanging upside down 3 feet above the ground or the floor. The creature is {@condition restrained} there until the spell ends.
 A {@condition restrained} creature can make a Dexterity saving throw at the end of each of its turns, ending the effect on itself on a success. Alternatively, the creature or someone else who can reach it can use an action to make an Intelligence ({@skill Arcana}) check against your spell save DC. On a success, the {@condition restrained} effect ends.
 After the trap is triggered, the spell ends when no creature is {@condition restrained} by it.</t>
  </si>
  <si>
    <t>Druid,Ranger,Wizard,Artificer,Artificer</t>
  </si>
  <si>
    <t>Crown of Madness</t>
  </si>
  <si>
    <t>One humanoid of your choice that you can see within range must succeed on a Wisdom saving throw or become {@condition charmed} by you for the duration. While the target is {@condition charmed} in this way, a twisted crown of jagged iron appears on its head, and a madness glows in its eyes.
 The {@condition charmed} target must use its action before moving on each of its turns to make a melee attack against a creature other than itself that you mentally choose. The target can act normally on its turn if you choose no creature or if none are within its reach.
 On your subsequent turns, you must use your action to maintain control over the target, or the spell ends. Also, the target can make a Wisdom saving throw at the end of each of its turns. On a success, the spell ends.</t>
  </si>
  <si>
    <t>Oathbreaker,Eldritch Knight,Arcane Trickster</t>
  </si>
  <si>
    <t>Find Traps</t>
  </si>
  <si>
    <t>You sense the presence of any trap within range that is within line of sight. A trap, for the purpose of this spell, includes anything that would inflict a sudden or unexpected effect you consider harmful or undesirable, which was specifically intended as such by its creator. Thus, the spell would sense an area affected by the {@spell alarm} spell, a {@spell glyph of warding}, or a mechanical pit trap, but it would not reveal a natural weakness in the floor, an unstable ceiling, or a hidden sinkhole.
 This spell merely reveals that a trap is present. You don't learn the location of each trap, but you do learn the general nature of the danger posed by a trap you sense.</t>
  </si>
  <si>
    <t>Cleric,Druid,Ranger</t>
  </si>
  <si>
    <t>Clockwork Soul,Divine Soul,Favored Soul,Favored Soul v3</t>
  </si>
  <si>
    <t>Moonbeam</t>
  </si>
  <si>
    <t>(several seeds of any moonseed plant and a piece of opalescent feldspar)</t>
  </si>
  <si>
    <t>A silvery beam of pale light shines down in a 5-foot-radius, 40-foot-high cylinder centered on a point within range. Until the spell ends, dim light fills the cylinder.
 When a creature enters the spell's area for the first time on a turn or starts its turn there, it is engulfed in ghostly flames that cause searing pain, and it must make a Constitution saving throw. It takes {@damage 2d10} radiant damage on a failed save, or half as much damage on a successful one.
 A shapechanger makes its saving throw with disadvantage. If it fails, it also instantly reverts to its original form and can't assume a different form until it leaves the spell's light.
 On each of your turns after you cast this spell, you can use an action to move the beam up to 60 feet in any direction.</t>
  </si>
  <si>
    <t>Ancients,Watchers,Twilight,Watchers</t>
  </si>
  <si>
    <t>You create three rays of fire and hurl them at targets within range. You can hurl them at one target or several.
 Make a ranged spell attack for each ray. On a hit, the target takes {@damage 2d6} fire damage.</t>
  </si>
  <si>
    <t>Light,Fiend,Artillerist,Wildfire,Artillerist,Genie,Wildfire,Eldritch Knight,Arcane Trickster</t>
  </si>
  <si>
    <t>Silence</t>
  </si>
  <si>
    <t>For the duration, no sound can be created within or pass through a 20-foot-radius sphere centered on a point you choose within range. Any creature or object entirely inside the sphere is immune to thunder damage, and creatures are {@condition deafened} while entirely inside it. Casting a spell that includes a verbal component is impossible there.</t>
  </si>
  <si>
    <t>Bard,Cleric,Ranger</t>
  </si>
  <si>
    <t>Land,Undying,Raven Queen,Land,Fathomless,Lurker in the Deep,Undead,Shadow,Divine Soul,Favored Soul,Favored Soul v3</t>
  </si>
  <si>
    <t>150 feet</t>
  </si>
  <si>
    <t>(seven sharp thorns or seven small twigs, each sharpened to a point)</t>
  </si>
  <si>
    <t>The ground in a 20-foot radius centered on a point within range twists and sprouts hard spikes and thorns. The area becomes difficult terrain for the duration. When a creature moves into or within the area, it takes {@damage 2d4} piercing damage for every 5 feet it travels.
 The transformation of the ground is camouflaged to look natural. Any creature that can't see the area at the time the spell is cast must make a Wisdom ({@skill Perception}) check against your spell save DC to recognize the terrain as hazardous before entering it.</t>
  </si>
  <si>
    <t>Nature,Land,Giant Soul,Genie</t>
  </si>
  <si>
    <t>Aganazzar's Scorcher</t>
  </si>
  <si>
    <t>(a red dragon's scale)</t>
  </si>
  <si>
    <t>A line of roaring flame 30 feet long and 5 feet wide emanates from you in a direction you choose. Each creature in the line must make a Dexterity saving throw. A creature takes {@damage 3d8} fire damage on a failed save, or half as much damage on a successful one.</t>
  </si>
  <si>
    <t>Aid</t>
  </si>
  <si>
    <t>(a tiny strip of white cloth)</t>
  </si>
  <si>
    <t>Your spell bolsters your allies with toughness and resolve. Choose up to three creatures within range. Each target's hit point maximum and current hit points increase by 5 for the duration.</t>
  </si>
  <si>
    <t>Cleric,Paladin,Artificer,Artificer,Artificer</t>
  </si>
  <si>
    <t>Protection,Solidarity,Unity,Peace,Divine Soul,Clockwork Soul,Favored Soul,Favored Soul v3</t>
  </si>
  <si>
    <t>Bard,Ranger,Bard,Ranger</t>
  </si>
  <si>
    <t>Boros Legionnaire,Selesnya Initiate</t>
  </si>
  <si>
    <t>Animal Messenger</t>
  </si>
  <si>
    <t>By means of this spell, you use an animal to deliver a message. Choose a Tiny beast you can see within range, such as a squirrel, a blue jay, or a bat. You specify a location, which you must have visited, and a recipient who matches a general description, such as "a man or woman dressed in the uniform of the town guard" or "a red-haired dwarf wearing a pointed hat." You also speak a message of up to twenty-five words. The target beast travels for the duration of the spell toward the specified location, covering about 50 miles per 24 hours for a flying messenger, or 25 miles for other animals.
 When the messenger arrives, it delivers your message to the creature that you described, replicating the sound of your voice. The messenger speaks only to a creature matching the description you gave. If the messenger doesn't reach its destination before the spell ends, the message is lost, and the beast makes its way back to where you cast this spell.</t>
  </si>
  <si>
    <t>Blindness/Deafness</t>
  </si>
  <si>
    <t>You can blind or deafen a foe. Choose one creature that you can see within range to make a Constitution saving throw. If it fails, the target is either {@condition blinded} or {@condition deafened} (your choice) for the duration. At the end of each of its turns, the target can make a Constitution saving throw. On a success, the spell ends.</t>
  </si>
  <si>
    <t>Bard,Cleric,Sorcerer,Wizard</t>
  </si>
  <si>
    <t>Death,Fiend,Undying,Spores,Undead,Eldritch Knight,Arcane Trickster,Divine Soul,Favored Soul,Favored Soul v3</t>
  </si>
  <si>
    <t>(a pinch of powdered iron)</t>
  </si>
  <si>
    <t>You cause a creature or an object you can see within range to grow larger or smaller for the duration. Choose either a creature or an object that is neither worn nor carried. If the target is unwilling, it can make a Constitution saving throw. On a success, the spell has no effect.
 If the target is a creature, everything it is wearing and carrying changes size with it. Any item dropped by an affected creature returns to normal size at once.
 EnlargeThe target's size doubles in all dimensions, and its weight is multiplied by eight. This growth increases its size by one categoryÃ¢â‚¬â€_x009d_from Medium to Large, for example. If there isn't enough room for the target to double its size, the creature or object attains the maximum possible size in the space available. Until the spell ends, the target also has advantage on Strength checks and Strength saving throws. The target's weapons also grow to match its new size. While these weapons are enlarged, the target's attacks with them deal {@damage 1d4} extra damage.
 ReduceThe target's size is halved in all dimensions, and its weight is reduced to one-eighth of normal. This reduction decreases its size by one categoryÃ¢â‚¬â€_x009d_from Medium to Small, for example. Until the spell ends, the target also has disadvantage on Strength checks and Strength saving throws. The target's weapons also shrink to match its new size. While these weapons are reduced, the target's attacks with them deal {@damage 1d4} less damage (this can't reduce the damage below 1).</t>
  </si>
  <si>
    <t>Giant Soul,Noble Genie,Destruction,Eldritch Knight,Arcane Trickster</t>
  </si>
  <si>
    <t>Bard,Druid,Bard,Druid</t>
  </si>
  <si>
    <t>Dwarf (Duergar),Dwarf (Duergar)</t>
  </si>
  <si>
    <t>Find Steed</t>
  </si>
  <si>
    <t>You summon a spirit that assumes the form of an unusually intelligent, strong, and loyal steed, creating a long-lasting bond with it. Appearing in an unoccupied space within range, the steed takes on a form that you choose: a {@creature warhorse}, a {@creature pony}, a {@creature camel}, an {@creature elk}, or a {@creature mastiff}. (Your DM might allow other animals to be summoned as steeds.) The steed has the statistics of the chosen form, though it is a celestial, fey, or fiend (your choice) instead of its normal type. Additionally, if your steed has an Intelligence of 5 or less, its Intelligence becomes 6, and it gains the ability to understand one language of your choice that you speak.
 Your steed serves you as a mount, both in combat and out, and you have an instinctive bond with it that allows you to fight as a seamless unit. While mounted on your steed, you can make any spell you cast that targets only you also target your steed.
 When the steed drops to 0 hit points, it disappears, leaving behind no physical form. You can also dismiss your steed at any time as an action, causing it to disappear. In either case, casting this spell again summons the same steed, restored to its hit point maximum.
 While your steed is within 1 mile of you, you can communicate with each other telepathically.
 You can't have more than one steed bonded by this spell at a time. As an action, you can release the steed from its bond at any time, causing it to disappear.</t>
  </si>
  <si>
    <t>Magic Mouth</t>
  </si>
  <si>
    <t>({'text': 'a small bit of honeycomb and jade dust worth at least 10 gp, which the spell consumes', 'cost': 1000, 'consume': True})</t>
  </si>
  <si>
    <t>until dispeled</t>
  </si>
  <si>
    <t>You implant a message within an object in range, a message that is uttered when a trigger condition is met. Choose an object that you can see and that isn't being worn or carried by another creature. Then speak the message, which must be 25 words or less, though it can be delivered over as long as 10 minutes. Finally, determine the circumstance that will trigger the spell to deliver your message.
 When that circumstance occurs, a magical mouth appears on the object and recites the message in your voice and at the same volume you spoke. If the object you chose has a mouth or something that looks like a mouth (for example, the mouth of a statue), the magical mouth appears there so that the words appear to come from the object's mouth. When you cast this spell, you can have the spell end after it delivers its message, or it can remain and repeat its message whenever the trigger occurs.
 The triggering circumstance can be as general or as detailed as you like, though it must be based on visual or audible conditions that occur within 30 feet of the object. For example, you could instruct the mouth to speak when any creature moves within 30 feet of the object or when a silver bell rings within 30 feet of it.</t>
  </si>
  <si>
    <t>Maximilian's Earthen Grasp</t>
  </si>
  <si>
    <t>(a miniature hand sculpted from clay)</t>
  </si>
  <si>
    <t>You choose a 5-foot-square unoccupied space on the ground that you can see within range. A Medium hand made from compacted soil rises there and reaches for one creature you can see within 5 feet of it. The target must make a Strength saving throw. On a failed save, the target takes {@damage 2d6} bludgeoning damage and is {@condition restrained} for the spell's duration.
 As an action, you can cause the hand to crush the {@condition restrained} target, which must make a Strength saving throw. The target takes {@damage 2d6} bludgeoning damage on a failed save, or half as much damage on a successful one.
 To break out, the {@condition restrained} target can use its action to make a Strength check against your spell save DC. On a success, the target escapes and is no longer {@condition restrained} by the hand.
 As an action, you can cause the hand to reach for a different creature or to move to a different unoccupied space within range. The hand releases a {@condition restrained} target if you do either.</t>
  </si>
  <si>
    <t>Prayer of Healing</t>
  </si>
  <si>
    <t>Up to six creatures of your choice that you can see within range each regain hit points equal to {@dice 2d8} + your spellcasting ability modifier. This spell has no effect on undead or constructs.</t>
  </si>
  <si>
    <t>Paladin,Paladin</t>
  </si>
  <si>
    <t>Suggestion</t>
  </si>
  <si>
    <t>(a snake's tongue and either a bit of honeycomb or a drop of sweet oil)</t>
  </si>
  <si>
    <t>You suggest a course of activity (limited to a sentence or two) and magically influence a creature you can see within range that can hear and understand you. Creatures that can't be {@condition charmed} are immune to this effect. The suggestion must be worded in such a manner as to make the course of action sound reasonable. Asking the creature to stab itself, throw itself onto a spear, immolate itself, or do some other obviously harmful act ends the spell.
 The target must make a Wisdom saving throw. On a failed save, it pursues the course of action you described to the best of its ability. The suggested course of action can continue for the entire duration. If the suggested activity can be completed in a shorter time, the spell ends when the subject finishes what it was asked to do.
 You can also specify conditions that will trigger a special activity during the duration. For example, you might suggest that a knight give her warhorse to the first beggar she meets. If the condition isn't met before the spell expires, the activity isn't performed.
 If you or any of your companions damage the target, the spell ends.</t>
  </si>
  <si>
    <t>Knowledge,Beauty,Eldritch Knight,Arcane Trickster</t>
  </si>
  <si>
    <t>Tiefling (Fierna),Tiefling (Fierna),Yuan-ti Pureblood</t>
  </si>
  <si>
    <t>Earthbind</t>
  </si>
  <si>
    <t>300 feet</t>
  </si>
  <si>
    <t>Choose one creature you can see within range. Yellow strips of magical energy loop around the creature. The target must succeed on a Strength saving throw, or its flying speed (if any) is reduced to 0 feet for the spell's duration. An airborne creature affected by this spell safely descends at 60 feet per round until it reaches the ground or the spell ends.</t>
  </si>
  <si>
    <t>Cordon of Arrows</t>
  </si>
  <si>
    <t>(four or more arrows or bolts)</t>
  </si>
  <si>
    <t>You plant four pieces of nonmagical ammunitionÃ¢â‚¬â€_x009d_{@item arrow|phb|arrows} or {@item crossbow bolt|phb|crossbow bolts}Ã¢â‚¬â€_x009d_in the ground within range and lay magic upon them to protect an area. Until the spell ends, whenever a creature other than you comes within 30 feet of the ammunition for the first time on a turn or ends its turn there, one piece of ammunition flies up to strike it. The creature must succeed on a Dexterity saving throw or take {@damage 1d6} piercing damage. The piece of ammunition is then destroyed. The spell ends when no ammunition remains.
 When you cast this spell, you can designate any creatures you choose, and the spell ignores them.</t>
  </si>
  <si>
    <t>Calm Emotions</t>
  </si>
  <si>
    <t>You attempt to suppress strong emotions in a group of people. Each humanoid in a 20-foot-radius sphere centered on a point you choose within range must make a Charisma saving throw; a creature can choose to fail this saving throw if it wishes. If a creature fails its saving throw, choose one of the following two effects.
 You can suppress any effect causing a target to be {@condition charmed} or {@condition frightened}. When this spell ends, any suppressed effect resumes, provided that its duration has not expired in the meantime.
 Alternatively, you can make a target indifferent about creatures of your choice that it is hostile toward. This indifference ends if the target is attacked or harmed by a spell or if it witnesses any of its friends being harmed. When the spell ends, the creature becomes hostile again, unless the DM rules otherwise.</t>
  </si>
  <si>
    <t>Archfey,Redemption,Aberrant Mind,Divine Soul,Favored Soul,Favored Soul v3</t>
  </si>
  <si>
    <t>Halfling (Mark of Hospitality),Human (Mark of Handling)</t>
  </si>
  <si>
    <t>Azorius Functionary,Selesnya Initiate</t>
  </si>
  <si>
    <t>Cloud of Daggers</t>
  </si>
  <si>
    <t>(a sliver of glass)</t>
  </si>
  <si>
    <t>You fill the air with spinning daggers in a cube 5 feet on each side, centered on a point you choose within range. A creature takes {@damage 4d4} slashing damage when it enters the spell's area for the first time on a turn or starts its turn there.</t>
  </si>
  <si>
    <t>(bat fur and a drop of pitch or piece of coal)</t>
  </si>
  <si>
    <t>Magical darkness spreads from a point you choose within range to fill a 15-foot-radius sphere for the duration. The darkness spreads around corners. A creature with {@sense darkvision} can't see through this darkness, and nonmagical light can't illuminate it.
 If the point you choose is on an object you are holding or one that isn't being worn or carried, the darkness emanates from the object and moves with it. Completely covering the source of the darkness with an opaque object, such as a bowl or a helm, blocks the darkness.
 If any of this spell's area overlaps with an area of light created by a spell of 2nd level or lower, the spell that created the light is dispelled.</t>
  </si>
  <si>
    <t>Land,Oathbreaker,Lolth,Darkness,Twilight,Eldritch Knight,Arcane Trickster</t>
  </si>
  <si>
    <t>Elf (Drow),Elf (Zendikar) (Mul Daya Nation),Half-Elf (Drow Descent),Tiefling,Tiefling (Variant),Tiefling (Levistus),Tiefling (Abyssal),Tiefling (Asmodeus),Tiefling (Levistus),Tiefling (Asmodeus),Tiefling (Variant),Elf (Mark of Shadow)</t>
  </si>
  <si>
    <t>Dust Devil</t>
  </si>
  <si>
    <t>(a pinch of dust)</t>
  </si>
  <si>
    <t>Choose an unoccupied 5-foot cube of air that you can see within range. An elemental force that resembles a dust devil appears in the cube and lasts for the spell's duration.
 Any creature that ends its turn within 5 feet of the dust devil must make a Strength saving throw. On a failed save, the creature takes {@damage 1d8} bludgeoning damage and is pushed 10 feet away from the dust devil. On a successful save, the creature takes half as much damage and isn't pushed.
 As a bonus action, you can move the dust devil up to 30 feet in any direction. If the dust devil moves over sand, dust, loose dirt, or light gravel, it sucks up the material and forms a 10-foot-radius cloud of debris around itself that lasts until the start of your next turn. The cloud heavily obscures its area.</t>
  </si>
  <si>
    <t>Enthrall</t>
  </si>
  <si>
    <t>You weave a distracting string of words, causing creatures of your choice that you can see within range and that can hear you to make a Wisdom saving throw. Any creature that can't be {@condition charmed} succeeds on this saving throw automatically, and if you or your companions are fighting a creature, it has advantage on the save. On a failed save, the target has disadvantage on Wisdom ({@skill Perception}) checks made to perceive any creature other than you until the spell ends or until the target can no longer hear you. The spell ends if you are {@condition incapacitated} or can no longer speak.</t>
  </si>
  <si>
    <t>Bard,Warlock</t>
  </si>
  <si>
    <t>Love,Heroism,Beauty</t>
  </si>
  <si>
    <t>Orzhov Representative,Rakdos Cultist</t>
  </si>
  <si>
    <t>(a bit of tallow, a pinch of brimstone, and a dusting of powdered iron)</t>
  </si>
  <si>
    <t>A 5-foot-diameter sphere of fire appears in an unoccupied space of your choice within range and lasts for the duration. Any creature that ends its turn within 5 feet of the sphere must make a Dexterity saving throw. The creature takes {@damage 2d6} fire damage on a failed save, or half as much damage on a successful one.
 As a bonus action, you can move the sphere up to 30 feet. If you ram the sphere into a creature, that creature must make the saving throw against the sphere's damage, and the sphere stops moving this turn.
 When you move the sphere, you can direct it over barriers up to 5 feet tall and jump it across pits up to 10 feet wide. The sphere ignites flammable objects not being worn or carried, and it sheds bright light in a 20-foot radius and dim light for an additional 20 feet.</t>
  </si>
  <si>
    <t>Druid,Wizard</t>
  </si>
  <si>
    <t>Light,Celestial,Undying Light,Celestial,Giant Soul,Alchemist,Wildfire,Eldritch Knight,Arcane Trickster</t>
  </si>
  <si>
    <t>Fortune's Favor</t>
  </si>
  <si>
    <t>({'text': 'a white pearl worth at least 100 gp, which the spell consumes', 'cost': 10000, 'consume': True})</t>
  </si>
  <si>
    <t>You impart latent luck to yourself or one willing creature you can see within range. When the chosen creature makes an attack roll, an ability check, or a saving throw before the spell ends, it can dismiss this spell on itself to roll an additional {@dice d20} and choose which of the {@dice d20}s to use. Alternatively, when an attack roll is made against the chosen creature, it can dismiss this spell on itself to roll a {@dice d20} and choose which of the {@dice d20}s to use, the one it rolled or the one the attacker rolled.
 If the original {@dice d20} roll has advantage or disadvantage, the creature rolls the additional {@dice d20} after advantage or disadvantage has been applied to the original roll.</t>
  </si>
  <si>
    <t>(a legume seed)</t>
  </si>
  <si>
    <t>A line of strong wind 60 feet long and 10 feet wide blasts from you in a direction you choose for the spell's duration. Each creature that starts its turn in the line must succeed on a Strength saving throw or be pushed 15 feet away from you in a direction following the line.
 Any creature in the line must spend 2 feet of movement for every 1 foot it moves when moving closer to you.
 The gust disperses gas or vapor, and it extinguishes candles, torches, and similar unprotected flames in the area. It causes protected flames, such as those of lanterns, to dance wildly and has a {@chance 50|50 percent} chance to extinguish them.
 As a bonus action on each of your turns before the spell ends, you can change the direction in which the line blasts from you.</t>
  </si>
  <si>
    <t>Tempest,Giant Soul,Lurker in the Deep,Genie,Storm,Fathomless,Genie,Four Elements,Eldritch Knight,Arcane Trickster</t>
  </si>
  <si>
    <t>Healing Spirit</t>
  </si>
  <si>
    <t>You call forth a nature spirit to soothe the wounded. The intangible spirit appears in a space that is a 5-foot cube you can see within range. The spirit looks like a transparent beast or fey (your choice).
 Until the spell ends, whenever you or a creature you can see moves into the spirit's space for the first time on a turn or starts its turn there, you can cause the spirit to restore {@dice 1d6} hit points to that creature (no action required). The spirit can't heal constructs or undead. The spirit can heal a number of times equal to 1 + your spellcasting ability modifier (minimum of twice). After healing that number of times, the spirit disappears.
 As a bonus action on your turn, you can move the spirit up to 30 feet to a space you can see.</t>
  </si>
  <si>
    <t>Heat Metal</t>
  </si>
  <si>
    <t>(a piece of iron and a flame)</t>
  </si>
  <si>
    <t>Choose a manufactured metal object, such as a metal weapon or a suit of heavy or medium metal armor, that you can see within range. You cause the object to glow red-hot. Any creature in physical contact with the object takes {@damage 2d8} fire damage when you cast the spell. Until the spell ends, you can use a bonus action on each of your subsequent turns to cause this damage again.
 If a creature is holding or wearing the object and takes the damage from it, the creature must succeed on a Constitution saving throw or drop the object if it can. If it doesn't drop the object, it has disadvantage on attack rolls and ability checks until the start of your next turn.</t>
  </si>
  <si>
    <t>City,Forge,Forge,Clockwork Soul</t>
  </si>
  <si>
    <t>(a small, straight piece of iron)</t>
  </si>
  <si>
    <t>Choose a humanoid that you can see within range. The target must succeed on a Wisdom saving throw or be {@condition paralyzed} for the duration. At the end of each of its turns, the target can make another Wisdom saving throw. On a success, the spell ends on the target.</t>
  </si>
  <si>
    <t>Bard,Cleric,Druid,Sorcerer,Warlock,Wizard</t>
  </si>
  <si>
    <t>Land,Vengeance,Conquest,Conquest,Conquest,Redemption,Redemption,Order,Giant Soul,Order,Land,Four Elements,Eldritch Knight,Arcane Trickster,Divine Soul,Favored Soul,Favored Soul v3</t>
  </si>
  <si>
    <t>Jim's Glowing Coin</t>
  </si>
  <si>
    <t>(a coin)</t>
  </si>
  <si>
    <t>Of the many tactics employed by master magician and renowned adventurer Jim Darkmagic, the old glowing coin trick is a time-honored classic. When you cast the spell, you hurl the coin that is the spell's material component to any spot within range. The coin lights up as if under the effect of a {@spell light} spell. Each creature of your choice that you can see within 30 feet of the coin must succeed on a Wisdom saving throw or be distracted for the duration. While distracted, a creature has disadvantage on Wisdom ({@skill Perception}) checks and initiative rolls.</t>
  </si>
  <si>
    <t>Knock</t>
  </si>
  <si>
    <t>Choose an object that you can see within range. The object can be a door, a box, a {@item chest|phb}, a set of {@item manacles|phb}, a padlock, or another object that contains a mundane or magical means that prevents access.
 A target that is held shut by a mundane lock or that is stuck or barred becomes unlocked, unstuck, or unbarred. If the object has multiple locks, only one of them is unlocked.
 If you choose a target that is held shut with {@spell arcane lock}, that spell is suppressed for 10 minutes, during which time the target can be opened and shut normally.
 When you cast the spell, a loud knock, audible from as far away as 300 feet, emanates from the target object.</t>
  </si>
  <si>
    <t>(either a small leather loop or a piece of golden wire bent into a cup shape with a long shank on one end)</t>
  </si>
  <si>
    <t>One creature or loose object of your choice that you can see within range rises vertically, up to 20 feet, and remains suspended there for the duration. The spell can levitate a target that weighs up to 500 pounds. An unwilling creature that succeeds on a Constitution saving throw is unaffected.
 The target can move only by pushing or pulling against a fixed object or surface within reach (such as a wall or a ceiling), which allows it to move as if it were climbing. You can change the target's altitude by up to 20 feet in either direction on your turn. If you are the target, you can move up or down as part of your move. Otherwise, you can use your action to move the target, which must remain within the spell's range.
 When the spell ends, the target floats gently to the ground if it is still aloft.</t>
  </si>
  <si>
    <t>Seeker,Storm,Eldritch Knight,Arcane Trickster</t>
  </si>
  <si>
    <t>Genasi (Air),Tiefling (Abyssal),Half-Elf (Mark of Storm)</t>
  </si>
  <si>
    <t>Mind Spike</t>
  </si>
  <si>
    <t>You reach into the mind of one creature you can see within range. The target must make a Wisdom saving throw, taking {@damage 3d8} psychic damage on a failed save, or half as much damage on a successful one. On a failed save, you also always know the target's location until the spell ends, but only while the two of you are on the same plane of existence. While you have this knowledge, the target can't become hidden from you, and if it's {@condition invisible}, it gains no benefit from that condition against you.</t>
  </si>
  <si>
    <t>Phantasmal Force</t>
  </si>
  <si>
    <t>You craft an illusion that takes root in the mind of a creature that you can see within range. The target must make an Intelligence saving throw. On a failed save, you create a phantasmal object, creature, or other visible phenomenon of your choice that is no larger than a 10-foot cube and that is perceivable only to the target for the duration. This spell has no effect on undead or constructs.
 The phantasm includes sound, temperature, and other stimuli, also evident only to the creature.
 The target can use its action to examine the phantasm with an Intelligence ({@skill Investigation}) check against your spell save DC. If the check succeeds, the target realizes that the phantasm is an illusion, and the spell ends.
 While a target is affected by the spell, the target treats the phantasm as if it were real. The target rationalizes any illogical outcomes from interacting with the phantasm. For example, a target attempting to walk across a phantasmal bridge that spans a chasm falls once it steps onto the bridge. If the target survives the fall, it still believes that the bridge exists and comes up with some other explanation for its fallÃ¢â‚¬â€_x009d_it was pushed, it slipped, or a strong wind might have knocked it off.
 An affected target is so convinced of the phantasm's reality that it can even take damage from the illusion. A phantasm created to appear as a creature can attack the target. Similarly, a phantasm created to appear as fire, a pool of acid, or lava can burn the target. Each round on your turn, the phantasm can deal {@damage 1d6} psychic damage to the target if it is in the phantasm's area or within 5 feet of the phantasm, provided that the illusion is of a creature or hazard that could logically deal damage, such as by attacking. The target perceives the damage as a type appropriate to the illusion.</t>
  </si>
  <si>
    <t>Archfey,Great Old One,Noble Genie,Undead,Eldritch Knight,Arcane Trickster</t>
  </si>
  <si>
    <t>Pyrotechnics</t>
  </si>
  <si>
    <t>Choose an area of nonmagical flame that you can see and that fits within a 5-foot cube within range. You can extinguish the fire in that area, and you create either fireworks or smoke when you do so.
 FireworksThe target explodes with a dazzling display of colors. Each creature within 10 feet of the target must succeed on a Constitution saving throw or become {@condition blinded} until the end of your next turn.
 SmokeThick black smoke spreads out from the target in a 20-foot radius, moving around corners. The area of the smoke is heavily obscured. The smoke persists for 1 minute or until a strong wind disperses it.</t>
  </si>
  <si>
    <t>Ray of Enfeeblement</t>
  </si>
  <si>
    <t>A black beam of enervating energy springs from your finger toward a creature within range. Make a ranged spell attack against the target. On a hit, the target deals only half damage with weapon attacks that use Strength until the spell ends.
 At the end of each of the target's turns, it can make a Constitution saving throw against the spell. On a success, the spell ends.</t>
  </si>
  <si>
    <t>Death,Grave,Ambition,Grave,Redemption,Spores,Eldritch Knight,Arcane Trickster</t>
  </si>
  <si>
    <t>Golgari Agent,Orzhov Representative</t>
  </si>
  <si>
    <t>(a chip of mica)</t>
  </si>
  <si>
    <t>A sudden loud ringing noise, painfully intense, erupts from a point of your choice within range. Each creature in a 10-foot-radius sphere centered on that point must make a Constitution saving throw. A creature takes {@damage 3d8} thunder damage on a failed save, or half as much damage on a successful one. A creature made of inorganic material such as stone, crystal, or metal has disadvantage on this saving throw.
 A nonmagical object that isn't being worn or carried also takes the damage if it's in the spell's area.</t>
  </si>
  <si>
    <t>Tempest,Zeal,Artillerist,Lurker in the Deep,Artillerist,Armorer,Armorer,Four Elements,Eldritch Knight,Arcane Trickster</t>
  </si>
  <si>
    <t>Spiritual Weapon</t>
  </si>
  <si>
    <t>You create a floating, spectral weapon within range that lasts for the duration or until you cast this spell again. When you cast the spell, you can make a melee spell attack against a creature within 5 feet of the weapon. On a hit, the target takes force damage equal to {@damage 1d8} + your spellcasting ability modifier.
 As a bonus action on your turn, you can move the weapon up to 20 feet and repeat the attack against a creature within 5 feet of it.
 The weapon can take whatever form you choose. Clerics of deities who are associated with a particular weapon (as St. Cuthbert is known for his mace and Thor for his hammer) make this spell's effect resemble that weapon.</t>
  </si>
  <si>
    <t>Life,War,Raven Queen,Conquest,Divine Soul,Favored Soul,Favored Soul v3</t>
  </si>
  <si>
    <t>Web</t>
  </si>
  <si>
    <t>(a bit of spiderweb)</t>
  </si>
  <si>
    <t>You conjure a mass of thick, sticky webbing at a point of your choice within range. The webs fill a 20-foot cube from that point for the duration. The webs are difficult terrain and lightly obscure their area.
 If the webs aren't anchored between two solid masses (such as walls or trees) or layered across a floor, wall, or ceiling, the conjured web collapses on itself, and the spell ends at the start of your next turn. Webs layered over a flat surface have a depth of 5 feet.
 Each creature that starts its turn in the webs or that enters them during its turn must make a Dexterity saving throw. On a failed save, the creature is {@condition restrained} as long as it remains in the webs or until it breaks free.
 A creature {@condition restrained} by the webs can use its action to make a Strength check against your spell save DC. If it succeeds, it is no longer {@condition restrained}.
 The webs are flammable. Any 5-foot cube of webs exposed to fire burns away in 1 round, dealing {@damage 2d4} fire damage to any creature that starts its turn in the fire.</t>
  </si>
  <si>
    <t>Sorcerer,Wizard,Artificer</t>
  </si>
  <si>
    <t>Land,Alchemist,Swarmkeeper,Eldritch Knight,Arcane Trickster</t>
  </si>
  <si>
    <t>You create a magical zone that guards against deception in a 15-foot-radius sphere centered on a point of your choice within range. Until the spell ends, a creature that enters the spell's area for the first time on a turn or starts its turn there must make a Charisma saving throw. On a failed save, a creature can't speak a deliberate lie while in the radius. You know whether each creature succeeds or fails on its saving throw.
 An affected creature is aware of the spell and can thus avoid answering questions to which it would normally respond with a lie. Such creatures can be evasive in its answers as long as it remains within the boundaries of the truth.</t>
  </si>
  <si>
    <t>Bard,Cleric,Paladin</t>
  </si>
  <si>
    <t>Devotion,Crown,Monster Slayer,Order,Divine Soul,Favored Soul,Favored Soul v3</t>
  </si>
  <si>
    <t>(powdered rhubarb leaf and an adder's stomach)</t>
  </si>
  <si>
    <t>A shimmering green arrow streaks toward a target within range and bursts in a spray of acid. Make a ranged spell attack against the target. On a hit, the target takes {@damage 4d4} acid damage immediately and {@damage 2d4} acid damage at the end of its next turn. On a miss, the arrow splashes the target with acid for half as much of the initial damage and no damage at the end of its next turn.</t>
  </si>
  <si>
    <t>Land,Alchemist,Alchemist,Land,Eldritch Knight,Arcane Trickster</t>
  </si>
  <si>
    <t>Snilloc's Snowball Swarm</t>
  </si>
  <si>
    <t>(a piece of ice or a small white rock chip)</t>
  </si>
  <si>
    <t>A flurry of magic snowballs erupts from a point you choose within range. Each creature in a 5-foot-radius sphere centered on that point must make a Dexterity saving throw. A creature takes {@damage 3d6} cold damage on a failed save, or half as much damage on a successful one.</t>
  </si>
  <si>
    <t>Summon Beast</t>
  </si>
  <si>
    <t>({'text': 'a feather, tuft of fur, and fish tail inside a gilded acorn worth at least 200 gp', 'cost': 20000})</t>
  </si>
  <si>
    <t>You call forth a bestial spirit. It manifests in an unoccupied space that you can see within range. This corporeal form uses the {@creature Bestial Spirit|TCE} stat block. When you cast the spell, choose an environment: Air, Land, or Water. The creature resembles an animal of your choice that is native to the chosen environment, which determines certain traits in its stat block. The creature disappears when it drops to 0 hit points or when the spell ends.
 The creature is an ally to you and your companions. In combat, the creature shares your initiative count, but it takes its turn immediately after yours. It obeys your verbal commands (no action required by you). If you don't issue any, it takes the {@action Dodge} action and uses its move to avoid danger.</t>
  </si>
  <si>
    <t>Tasha's Mind Whip</t>
  </si>
  <si>
    <t>You psychically lash out at one creature you can see within range. The target must make an Intelligence saving throw. On a failed save, the target takes {@damage 3d6} psychic damage, and it can't take a reaction until the end of its next turn. Moreover, on its next turn, it must choose whether it gets a move, an action, or a bonus action; it gets only one of the three. On a successful save, the target takes half as much damage and suffers none of the spell's other effects.</t>
  </si>
  <si>
    <t>Alter Self</t>
  </si>
  <si>
    <t>You assume a different form. When you cast the spell, choose one of the following options, the effects of which last for the duration of the spell. While the spell lasts, you can end one option as an action to gain the benefits of a different one.
 Aquatic AdaptationYou adapt your body to an aquatic environment, sprouting gills and growing webbing between your fingers. You can breathe underwater and gain a swimming speed equal to your walking speed.
 Change AppearanceYou transform your appearance. You decide what you look like, including your height, weight, facial features, sound of your voice, hair length, coloration, and distinguishing characteristics, if any. You can make yourself appear as a member of another race, though none of your statistics change. You also can't appear as a creature of a different size than you, and your basic shape stays the same; if you're bipedal, you can't use this spell to become quadrupedal, for instance. At any time for the duration of the spell, you can use your action to change your appearance in this way again.
 Natural WeaponsYou grow claws, fangs, spines, horns, or a different natural weapon of your choice. Your unarmed strikes deal {@damage 1d6} bludgeoning, piercing, or slashing damage, as appropriate to the natural weapon you chose, and you are proficient with your unarmed strikes. Finally, the natural weapon is magic and you have a +1 bonus to the attack and damage rolls you make using it.</t>
  </si>
  <si>
    <t>Horizon Walker,Horizon Walker,Alchemist,Moon,Eldritch Knight,Arcane Trickster</t>
  </si>
  <si>
    <t>Augury</t>
  </si>
  <si>
    <t>({'text': 'specially marked sticks, bones, or similar tokens worth at least 25 gp', 'cost': 2500})</t>
  </si>
  <si>
    <t>By casting gem-inlaid sticks, rolling dragon bones, laying out ornate cards, or employing some other divining tool, you receive an omen from an otherworldly entity about the results of a specific course of action that you plan to take within the next 30 minutes. The DM chooses from the following possible omens:
 Weal, for good results
 Woe, for bad results
 Weal and woe, for both good and bad results
 Nothing, for results that aren't especially good or badThe spell doesn't take into account any possible circumstances that might change the outcome, such as the casting of additional spells or the loss or gain of a companion.
 If you cast the spell two or more times before completing your next long rest, there is a cumulative {@chance 25|25 percent} chance for each casting after the first that you get a random reading. The DM makes this roll in secret.</t>
  </si>
  <si>
    <t>Knowledge,Watchers,Kraken,Ancestral Guardian,Divine Soul,Favored Soul,Favored Soul v3</t>
  </si>
  <si>
    <t>Druid,Wizard,Druid,Wizard</t>
  </si>
  <si>
    <t>Your body becomes blurred, shifting and wavering to all who can see you. For the duration, any creature has disadvantage on attack rolls against you. An attacker is immune to this effect if it doesn't rely on sight, as with blindsight, or can see through illusions, as with {@sense truesight}.</t>
  </si>
  <si>
    <t>Land,Hexblade,Genie,Eldritch Knight,Arcane Trickster</t>
  </si>
  <si>
    <t>Branding Smite</t>
  </si>
  <si>
    <t>The next time you hit a creature with a weapon attack before this spell ends, the weapon gleams with astral radiance as you strike. The attack deals an extra {@damage 2d6} radiant damage to the target, which becomes visible if it's {@condition invisible}, and the target sheds dim light in a 5-foot radius and can't become {@condition invisible} until the spell ends.</t>
  </si>
  <si>
    <t>Hexblade,Hexblade,Stone,Battle Smith,Battle Smith</t>
  </si>
  <si>
    <t>Detect Thoughts</t>
  </si>
  <si>
    <t>(a copper piece)</t>
  </si>
  <si>
    <t>For the duration, you can read the thoughts of certain creatures. When you cast the spell and as your action on each turn until the spell ends, you can focus your mind on any one creature that you can see within 30 feet of you. If the creature you choose has an Intelligence of 3 or lower or doesn't speak any language, the creature is unaffected.
 You initially learn the surface thoughts of the creatureÃ¢â‚¬â€_x009d_what is most on its mind in that moment. As an action, you can either shift your attention to another creature's thoughts or attempt to probe deeper into the same creature's mind. If you probe deeper, the target must make a Wisdom saving throw. If it fails, you gain insight into its reasoning (if any), its emotional state, and something that looms large in its mind (such as something it worries over, loves, or hates). If it succeeds, the spell ends. Either way, the target knows that you are probing into its mind, and unless you shift your attention to another creature's thoughts, the creature can use its action on its turn to make an Intelligence check contested by your Intelligence check; if it succeeds, the spell ends.
 Questions verbally directed at the target creature naturally shape the course of its thoughts, so this spell is particularly effective as part of an interrogation.
 You can also use this spell to detect the presence of thinking creatures you can't see. When you cast the spell or as your action during the duration, you can search for thoughts within 30 feet of you. The spell can penetrate barriers, but 2 feet of rock, 2 inches of any metal other than lead, or a thin sheet of lead blocks you. You can't detect a creature with an Intelligence of 3 or lower or one that doesn't speak any language.
 Once you detect the presence of a creature in this way, you can read its thoughts for the rest of the duration as described above, even if you can't see it, but it must still be within range.</t>
  </si>
  <si>
    <t>Great Old One,Archivist,Aberrant Mind,Aberrant Mind,Eldritch Knight,Arcane Trickster</t>
  </si>
  <si>
    <t>Gith (Githzerai),Gith (Githzerai),Tiefling (Dispater),Half-Elf (Mark of Detection)</t>
  </si>
  <si>
    <t>Flame Blade</t>
  </si>
  <si>
    <t>(leaf of sumac)</t>
  </si>
  <si>
    <t>You evoke a fiery blade in your free hand. The blade is similar in size and shape to a scimitar, and it lasts for the duration. If you let go of the blade, it disappears, but you can evoke the blade again as a bonus action.
 You can use your action to make a melee spell attack with the fiery blade. On a hit, the target takes {@damage 3d6} fire damage.
 The flaming blade sheds bright light in a 10-foot radius and dim light for an additional 10 feet.</t>
  </si>
  <si>
    <t>Gift of Gab</t>
  </si>
  <si>
    <t>Jim Darkmagic is said to have invented this spell, originally calling it {@i I said what?!} Have you ever been talking to the local monarch and accidentally mentioned how their son looks like your favorite hog from when you were growing up on the family farm? We've all been there! But rather than being beheaded for an honest slip of the tongue, you can pretend it never happenedÃ¢â‚¬â€_x009d_by ensuring that no one knows it happened.
 When you cast this spell, you skillfully reshape the memories of listeners in your immediate area, so that each creature of your choice within 5 feet of you forgets everything you said within the last 6 seconds. Those creatures then remember that you actually said the words you speak as the verbal component of the spell.</t>
  </si>
  <si>
    <t>Locate Animals or Plants</t>
  </si>
  <si>
    <t>(a bit of fur from a bloodhound)</t>
  </si>
  <si>
    <t>Describe or name a specific kind of beast or plant. Concentrating on the voice of nature in your surroundings, you learn the direction and distance to the closest creature or plant of that kind within 5 miles, if any are present.</t>
  </si>
  <si>
    <t>Wildfire</t>
  </si>
  <si>
    <t>Locate Object</t>
  </si>
  <si>
    <t>(a forked twig)</t>
  </si>
  <si>
    <t>Describe or name an object that is familiar to you. You sense the direction to the object's location, as long as that object is within 1,000 feet of you. If the object is in motion, you know the direction of its movement.
 The spell can locate a specific object known to you, as long as you have seen it up closeÃ¢â‚¬â€_x009d_within 30 feetÃ¢â‚¬â€_x009d_at least once. Alternatively, the spell can locate the nearest object of a particular kind, such as a certain kind of apparel, jewelry, furniture, tool, or weapon.
 This spell can't locate an object if any thickness of lead, even a thin sheet, blocks a direct path between you and the object.</t>
  </si>
  <si>
    <t>Bard,Cleric,Druid,Paladin,Ranger,Wizard</t>
  </si>
  <si>
    <t>Seeker,Archivist,Eldritch Knight,Arcane Trickster,Divine Soul,Favored Soul,Favored Soul v3</t>
  </si>
  <si>
    <t>Mirror Image</t>
  </si>
  <si>
    <t>Three illusory duplicates of yourself appear in your space. Until the spell ends, the duplicates move with you and mimic your actions, shifting position so it's impossible to track which image is real. You can use your action to dismiss the illusory duplicates.
 Each time a creature targets you with an attack during the spell's duration, roll a {@dice d20} to determine whether the attack instead targets one of your duplicates.
 If you have three duplicates, you must roll a 6 or higher to change the attack's target to a duplicate. With two duplicates, you must roll an 8 or higher. With one duplicate, you must roll an 11 or higher.
 A duplicate's AC equals 10 + your Dexterity modifier. If an attack hits a duplicate, the duplicate is destroyed. A duplicate can be destroyed only by an attack that hits it. It ignores all other damage and effects. The spell ends when all three duplicates are destroyed.
 A creature is unaffected by this spell if it can't see, if it relies on senses other than sight, such as blindsight, or if it can perceive illusions as false, as with {@sense truesight}.</t>
  </si>
  <si>
    <t>Trickery,Land,Treachery,Ambition,Armorer,Armorer,Land,Eldritch Knight,Arcane Trickster</t>
  </si>
  <si>
    <t>Briefly surrounded by silvery mist, you teleport up to 30 feet to an unoccupied space that you can see.</t>
  </si>
  <si>
    <t>Land,Ancients,Vengeance,Horizon Walker,Horizon Walker,Fey Wanderer,Eldritch Knight,Arcane Trickster</t>
  </si>
  <si>
    <t>Elf (Eladrin; DMG),Gith (Githyanki),Gith (Githyanki),Human (Mark of Passage)</t>
  </si>
  <si>
    <t>Pass without Trace</t>
  </si>
  <si>
    <t>(ashes from a burned leaf of mistletoe and a sprig of spruce)</t>
  </si>
  <si>
    <t>A veil of shadows and silence radiates from you, masking you and your companions from detection. For the duration, each creature you choose within 30 feet of you (including you) has a +10 bonus to Dexterity ({@skill Stealth}) checks and can't be tracked except by magical means. A creature that receives this bonus leaves behind no tracks or other traces of its passage.</t>
  </si>
  <si>
    <t>Trickery,Land,Land,Shadow</t>
  </si>
  <si>
    <t>Genasi (Earth),Elf (Mark of Shadow),Human (Mark of Passage)</t>
  </si>
  <si>
    <t>See Invisibility</t>
  </si>
  <si>
    <t>(a pinch of Talc and a small sprinkling of powdered silver)</t>
  </si>
  <si>
    <t>For the duration, you see {@condition invisible} creatures and objects as if they were visible, and you can see into the Ethereal Plane. Ethereal creatures and objects appear ghostly and translucent.</t>
  </si>
  <si>
    <t>Twilight,Watchers,Eldritch Knight,Arcane Trickster</t>
  </si>
  <si>
    <t>Shadow Blade</t>
  </si>
  <si>
    <t>You weave together threads of shadow to create a sword of solidified gloom in your hand. This magic sword lasts until the spell ends. It counts as a simple melee weapon with which you are proficient. It deals {@damage 2d8} psychic damage on a hit and has the finesse, light, and thrown properties (range 20/60). In addition, when you use the sword to attack a target that is in dim light or darkness, you make the attack roll with advantage.
 If you drop the weapon or throw it, it dissipates at the end of the turn. Thereafter, while the spell persists, you can use a bonus action to cause the sword to reappear in your hand.</t>
  </si>
  <si>
    <t>Warding Wind</t>
  </si>
  <si>
    <t>A strong wind (20 miles per hour) blows around you in a 10-foot radius and moves with you, remaining centered on you. The wind lasts for the spell's duration.
 The wind has the following effects:
 It {@condition deafened||deafens} you and other creatures in its area.
 It extinguishes unprotected flames in its area that are torch-sized or smaller.
 It hedges out vapor, gas, and fog that can be dispersed by strong wind.
 The area is difficult terrain for creatures other than you.
 The attack rolls of ranged weapon attacks have disadvantage if the attacks pass in or out of the wind.</t>
  </si>
  <si>
    <t>Wristpocket</t>
  </si>
  <si>
    <t>You flick your wrist, causing one object in your hand to vanish. The object, which only you can be holding and can weigh no more than 5 pounds, is transported to an extradimensional space, where it remains for the duration.
 Until the spell ends, you can use your action to summon the object to your free hand, and you can use your action to return the object to the extradimensional space. An object still in the pocket plane when the spell ends appears in your space, at your feet.</t>
  </si>
  <si>
    <t>Skywrite</t>
  </si>
  <si>
    <t>sight</t>
  </si>
  <si>
    <t>You cause up to ten words to form in a part of the sky you can see. The words appear to be made of cloud and remain in place for the spell's duration. The words dissipate when the spell ends. A strong wind can disperse the clouds and end the spell early.</t>
  </si>
  <si>
    <t>Bard,Druid,Wizard,Artificer,Artificer</t>
  </si>
  <si>
    <t>Arcane Lock</t>
  </si>
  <si>
    <t>({'text': 'gold dust worth at least 25 gp, which the spell consumes', 'cost': 2500, 'consume': True})</t>
  </si>
  <si>
    <t>You touch a closed door, window, gate, chest, or other entryway, and it becomes locked for the duration. You and the creatures you designate when you cast this spell can open the object normally. You can also set a password that, when spoken within 5 feet of the object, suppresses this spell for 1 minute. Otherwise, it is impassable until it is broken or the spell is dispelled or suppressed. Casting {@spell knock} on the object suppresses {@spell arcane lock} for 10 minutes.
 While affected by this spell, the object is more difficult to break or force open; the DC to break it or pick any locks on it increases by 10.</t>
  </si>
  <si>
    <t>Wizard,Artificer,Artificer,Artificer</t>
  </si>
  <si>
    <t>Tiefling (Mammon),Tiefling (Mammon),Dwarf (Mark of Warding)</t>
  </si>
  <si>
    <t>Barkskin</t>
  </si>
  <si>
    <t>(a handful of oak bark)</t>
  </si>
  <si>
    <t>You touch a willing creature. Until the spell ends, the target's skin has a rough, bark-like appearance, and the target's AC can't be less than 16, regardless of what kind of armor it is wearing.</t>
  </si>
  <si>
    <t>Nature,Land,Land</t>
  </si>
  <si>
    <t>Beast Sense</t>
  </si>
  <si>
    <t>You touch a willing beast. For the duration of the spell, you can use your action to see through the beast's eyes and hear what it hears, and continue to do so until you use your action to return to your normal senses. While perceiving through the beast's senses, you gain the benefits of any special senses possessed by that creature, though you are {@condition blinded} and {@condition deafened} to your own surroundings.</t>
  </si>
  <si>
    <t>Continual Flame</t>
  </si>
  <si>
    <t>({'text': 'ruby dust worth 50 gp, which the spell consumes', 'cost': 5000, 'consume': True})</t>
  </si>
  <si>
    <t>A flame, equivalent in brightness to a torch, springs forth from an object that you touch. The effect looks like a regular flame, but it creates no heat and doesn't use oxygen. A continual flame can be covered or hidden but not smothered or quenched.</t>
  </si>
  <si>
    <t>Cleric,Wizard,Artificer,Artificer,Artificer</t>
  </si>
  <si>
    <t>Eldritch Knight,Arcane Trickster,Divine Soul,Favored Soul,Favored Soul v3</t>
  </si>
  <si>
    <t>Druid,Druid</t>
  </si>
  <si>
    <t>Darkvision</t>
  </si>
  <si>
    <t>(either a pinch of dried carrot or an agate)</t>
  </si>
  <si>
    <t>You touch a willing creature to grant it the ability to see in the dark. For the duration, that creature has {@sense darkvision} out to a range of 60 feet.</t>
  </si>
  <si>
    <t>Shadow,Eldritch Knight,Arcane Trickster</t>
  </si>
  <si>
    <t>Dragon's Breath</t>
  </si>
  <si>
    <t>(a hot pepper)</t>
  </si>
  <si>
    <t>You touch one willing creature and imbue it with the power to spew magical energy from its mouth, provided it has one. Choose acid, cold, fire, lightning, or poison. Until the spell ends, the creature can use an action to exhale energy of the chosen type in a 15-foot cone. Each creature in that area must make a Dexterity saving throw, taking {@damage 3d6} damage of the chosen type on a failed save, or half as much damage on a successful one.</t>
  </si>
  <si>
    <t>(fur or a feather from a beast)</t>
  </si>
  <si>
    <t>You touch a creature and bestow upon it a magical enhancement. Choose one of the following effects; the target gains that effect until the spell ends.
 Bear's EnduranceThe target has advantage on Constitution checks. It also gains {@dice 2d6} temporary hit points, which are lost when the spell ends.
 Bull's StrengthThe target has advantage on Strength checks, and his or her carrying capacity doubles.
 Cat's GraceThe target has advantage on Dexterity checks. It also doesn't take damage from falling 20 feet or less if it isn't {@condition incapacitated}.
 Eagle's SplendorThe target has advantage on Charisma checks.
 Fox's CunningThe target has advantage on Intelligence checks.
 Owl's WisdomThe target has advantage on Wisdom checks.</t>
  </si>
  <si>
    <t>Bard,Cleric,Druid,Sorcerer,Artificer,Artificer,Artificer</t>
  </si>
  <si>
    <t>Strength,Primeval Guardian,Primeval Guardian,Order,Glory,Heroism,Divine Soul,Favored Soul,Favored Soul v3</t>
  </si>
  <si>
    <t>Ranger,Wizard,Ranger,Wizard</t>
  </si>
  <si>
    <t>Gentle Repose</t>
  </si>
  <si>
    <t>(a pinch of salt and one copper piece placed on each of the corpse's eyes, which must remain there for the duration)</t>
  </si>
  <si>
    <t>You touch a corpse or other remains. For the duration, the target is protected from decay and can't become undead.
 The spell also effectively extends the time limit on raising the target from the dead, since days spent under the influence of this spell don't count against the time limit of spells such as {@spell raise dead}.</t>
  </si>
  <si>
    <t>Cleric,Wizard</t>
  </si>
  <si>
    <t>Grave,Spores,Eldritch Knight,Arcane Trickster,Divine Soul,Favored Soul,Favored Soul v3</t>
  </si>
  <si>
    <t>Immovable Object</t>
  </si>
  <si>
    <t>You touch an object that weighs no more than 10 pounds and cause it to become magically fixed in place. You and the creatures you designate when you cast this spell can move the object normally. You can also set a password that, when spoken within 5 feet of the object, suppresses this spell for 1 minute.
 If the object is fixed in the air, it can hold up to 4,000 pounds of weight. More weight causes the object to fall. Otherwise, a creature can use an action to make a Strength check against your spell save DC. On a success, the creature can move the object up to 10 feet.</t>
  </si>
  <si>
    <t>(an eyelash encased in gum arabic)</t>
  </si>
  <si>
    <t>A creature you touch becomes {@condition invisible} until the spell ends. Anything the target is wearing or carrying is {@condition invisible} as long as it is on the target's person. The spell ends for a target that attacks or casts a spell.</t>
  </si>
  <si>
    <t>Bard,Sorcerer,Warlock,Wizard,Artificer,Artificer,Artificer</t>
  </si>
  <si>
    <t>Land,Treachery,Giant Soul,Twilight,Land,Eldritch Knight,Arcane Trickster</t>
  </si>
  <si>
    <t>Dwarf (Duergar),Dwarf (Duergar),Tiefling (Abyssal),Tiefling (Dispater),Tiefling (Glasya),Tiefling (Glasya),Elf (Mark of Shadow)</t>
  </si>
  <si>
    <t>Lesser Restoration</t>
  </si>
  <si>
    <t>You touch a creature and can end either one disease or one condition afflicting it. The condition can be {@condition blinded}, {@condition deafened}, {@condition paralyzed}, or {@condition poisoned}.</t>
  </si>
  <si>
    <t>Life,Devotion,Celestial,Celestial,Clockwork Soul,Divine Soul,Favored Soul,Favored Soul v3</t>
  </si>
  <si>
    <t>Aasimar,Halfling (Mark of Healing)</t>
  </si>
  <si>
    <t>Magic Weapon</t>
  </si>
  <si>
    <t>You touch a nonmagical weapon. Until the spell ends, that weapon becomes a magic weapon with a +1 bonus to attack rolls and damage rolls.</t>
  </si>
  <si>
    <t>Paladin,Wizard,Artificer,Artificer,Artificer</t>
  </si>
  <si>
    <t>Arcana,War,Forge,Hexblade,Stone,Zeal,Forge,Glory,Eldritch Knight,Arcane Trickster</t>
  </si>
  <si>
    <t>Ranger,Ranger,Sorcerer</t>
  </si>
  <si>
    <t>Nystul's Magic Aura</t>
  </si>
  <si>
    <t>(a small square of silk)</t>
  </si>
  <si>
    <t>You place an illusion on a creature or an object you touch so that divination spells reveal false information about it. The target can be a willing creature or an object that isn't being carried or worn by another creature.
 When you cast the spell, choose one or both of the following effects. The effect lasts for the duration. If you cast this spell on the same creature or object every day for 30 days, placing the same effect on it each time, the illusion lasts until it is dispelled.
 False AuraYou change the way the target appears to spells and magical effects, such as {@spell detect magic}, that detect magical auras. You can make a nonmagical object appear magical, a magical object appear nonmagical, or change the object's magical aura so that it appears to belong to a specific school of magic that you choose. When you use this effect on an object, you can make the false magic apparent to any creature that handles the item.
 MaskYou change the way the target appears to spells and magical effects that detect creature types, such as a paladin's {@classFeature Divine Sense|Paladin|PHB|1} or the trigger of a {@spell symbol} spell. You choose a creature type and other spells and magical effects treat the target as if it were a creature of that type or of that alignment.</t>
  </si>
  <si>
    <t>Arcana,Eldritch Knight,Arcane Trickster</t>
  </si>
  <si>
    <t>Protection from Poison</t>
  </si>
  <si>
    <t>You touch a creature. If it is {@condition poisoned}, you neutralize the poison. If more than one poison afflicts the target, you neutralize one poison that you know is present, or you neutralize one at random.
 For the duration, the target has advantage on saving throws against being {@condition poisoned}, and it has resistance to poison damage.</t>
  </si>
  <si>
    <t>Cleric,Druid,Paladin,Ranger,Artificer,Artificer,Artificer</t>
  </si>
  <si>
    <t>Strength,Protection,Divine Soul,Favored Soul,Favored Soul v3</t>
  </si>
  <si>
    <t>(powdered corn extract and a twisted loop of parchment)</t>
  </si>
  <si>
    <t>You touch a length of rope that is up to 60 feet long. One end of the rope then rises into the air until the whole rope hangs perpendicular to the ground. At the upper end of the rope, an invisible entrance opens to an extradimensional space that lasts until the spell ends.
 The extradimensional space can be reached by climbing to the top of the rope. The space can hold as many as eight Medium or smaller creatures. The rope can be pulled into the space, making the rope disappear from view outside the space.
 Attacks and spells can't cross through the entrance into or out of the extradimensional space, but those inside can see out of it as if through a 3-foot-by-5-foot window centered on the rope.
 Anything inside the extradimensional space drops out when the spell ends.</t>
  </si>
  <si>
    <t>Deep Stalker,Gloom Stalker,Deep Stalker Conclave,Gloom Stalker,Eldritch Knight,Arcane Trickster</t>
  </si>
  <si>
    <t>Spider Climb</t>
  </si>
  <si>
    <t>(a drop of bitumen and a spider)</t>
  </si>
  <si>
    <t>Until the spell ends, one willing creature you touch gains the ability to move up, down, and across vertical surfaces and upside down along ceilings, while leaving its hands free. The target also gains a climbing speed equal to its walking speed.</t>
  </si>
  <si>
    <t>Land,Eldritch Knight,Arcane Trickster</t>
  </si>
  <si>
    <t>Warding Bond</t>
  </si>
  <si>
    <t>({'text': 'a pair of platinum rings worth at least 50 gp each, which you and the target must wear for the duration', 'cost': 5000})</t>
  </si>
  <si>
    <t>This spell wards a willing creature you touch and creates a mystic connection between you and the target until the spell ends. While the target is within 60 feet of you, it gains a +1 bonus to AC and saving throws, and it has resistance to all damage. Also, each time it takes damage, you take the same amount of damage.
 The spell ends if you drop to 0 hit points or if you and the target become separated by more than 60 feet. It also ends if the spell is cast again on either of the connected creatures. You can also dismiss the spell as an action.</t>
  </si>
  <si>
    <t>Crown,Solidarity,Battle Smith,Battle Smith,Unity,Love,Peace,Divine Soul,Favored Soul,Favored Soul v3</t>
  </si>
  <si>
    <t>Paladin,Ranger,Paladin</t>
  </si>
  <si>
    <t>Clairvoyance</t>
  </si>
  <si>
    <t>1 miles</t>
  </si>
  <si>
    <t>({'text': 'a focus worth at least 100 gp, either a jeweled horn for hearing or a glass eye for seeing', 'cost': 10000})</t>
  </si>
  <si>
    <t>You create an invisible sensor within range in a location familiar to you (a place you have visited or seen before) or in an obvious location that is unfamiliar to you (such as behind a door, around a corner, or in a grove of trees). The sensor remains in place for the duration, and it can't be attacked or otherwise interacted with.
 When you cast the spell, you choose seeing or hearing. You can use the chosen sense through the sensor as if you were in its space. As your action, you can switch between seeing and hearing.
 A creature that can see the sensor (such as a creature benefiting from {@spell see invisibility} or {@sense truesight}) sees a luminous, intangible orb about the size of your fist.</t>
  </si>
  <si>
    <t>Great Old One,Seeker,Ancestral Guardian,Eldritch Knight,Arcane Trickster,Divine Soul,Favored Soul,Favored Soul v3</t>
  </si>
  <si>
    <t>Elf (Mark of Shadow),Half-Elf (Mark of Detection),Half-Orc (Mark of Finding),Human (Mark of Finding)</t>
  </si>
  <si>
    <t>Animate Dead</t>
  </si>
  <si>
    <t>(a drop of blood, a piece of flesh, and a pinch of bone dust)</t>
  </si>
  <si>
    <t>This spell creates an undead servant. Choose a pile of bones or a corpse of a Medium or Small humanoid within range. Your spell imbues the target with a foul mimicry of life, raising it as an undead creature. The target becomes a {@creature skeleton} if you chose bones or a {@creature zombie} if you chose a corpse (the DM has the creature's game statistics).
 On each of your turns, you can use a bonus action to mentally command any creature you made with this spell if the creature is within 60 feet of you (if you control multiple creatures, you can command any or all of them at the same time, issuing the same command to each one). You decide what action the creature will take and where it will move during its next turn, or you can issue a general command, such as to guard a particular chamber or corridor. If you issue no commands, the creature only defends itself against hostile creatures. Once given an order, the creature continues to follow it until its task is complete.
 The creature is under your control for 24 hours, after which it stops obeying any command you've given it. To maintain control of the creature for another 24 hours, you must cast this spell on the creature again before the current 24-hour period ends. This use of the spell reasserts your control over up to four creatures you have animated with this spell, rather than animating a new one.</t>
  </si>
  <si>
    <t>Death,Oathbreaker,Spores,Eldritch Knight,Arcane Trickster,Divine Soul,Favored Soul,Favored Soul v3</t>
  </si>
  <si>
    <t>Leomund's Tiny Hut</t>
  </si>
  <si>
    <t>(a small crystal bead)</t>
  </si>
  <si>
    <t>A 10-foot-radius immobile dome of force springs into existence around and above you and remains stationary for the duration. The spell ends if you leave its area.
 Nine creatures of Medium size or smaller can fit inside the dome with you. The spell fails if its area includes a larger creature or more than nine creatures. Creatures and objects within the dome when you cast this spell can move through it freely. All other creatures and objects are barred from passing through it. Spells and other magical effects can't extend through the dome or be cast through it. The atmosphere inside the space is comfortable and dry, regardless of the weather outside.
 Until the spell ends, you can command the interior to become dimly lit or dark. The dome is opaque from the outside, of any color you choose, but it is transparent from the inside.</t>
  </si>
  <si>
    <t>Twilight,Eldritch Knight,Arcane Trickster</t>
  </si>
  <si>
    <t>({'text': 'holy water or powdered silver and iron worth at least 100 gp, which the spell consumes', 'cost': 10000, 'consume': True})</t>
  </si>
  <si>
    <t>You create a 10-foot-radius, 20-foot-tall cylinder of magical energy centered on a point on the ground that you can see within range. Glowing runes appear wherever the cylinder intersects with the floor or other surface.
 Choose one or more of the following types of creatures: celestials, elementals, fey, fiends, or undead. The circle affects a creature of the chosen type in the following ways:
 The creature can't willingly enter the cylinder by nonmagical means. If the creature tries to use teleportation or interplanar travel to do so, it must first succeed on a Charisma saving throw.
 The creature has disadvantage on attack rolls against targets within the cylinder.
 Targets within the cylinder can't be {@condition charmed}, {@condition frightened}, or possessed by the creature.When you cast this spell, you can elect to cause its magic to operate in the reverse direction, preventing a creature of the specified type from leaving the cylinder and protecting targets outside it.</t>
  </si>
  <si>
    <t>Arcana,Monster Slayer,Eldritch Knight,Arcane Trickster,Divine Soul,Favored Soul,Favored Soul v3</t>
  </si>
  <si>
    <t>Speak with Dead</t>
  </si>
  <si>
    <t>(burning incense)</t>
  </si>
  <si>
    <t>You grant the semblance of life and intelligence to a corpse of your choice within range, allowing it to answer the questions you pose. The corpse must still have a mouth and can't be undead. The spell fails if the corpse was the target of this spell within the last 10 days.
 Until the spell ends, you can ask the corpse up to five questions. The corpse knows only what it knew in life, including the languages it knew. Answers are usually brief, cryptic, or repetitive, and the corpse is under no compulsion to offer a truthful answer if you are hostile to it or it recognizes you as an enemy. This spell doesn't return the creature's soul to its body, only its animating spirit. Thus, the corpse can't learn new information, doesn't comprehend anything that has happened since it died, and can't speculate about future events.</t>
  </si>
  <si>
    <t>Knowledge,Knowledge,Undying,Raven Queen,Undead,Divine Soul,Favored Soul,Favored Soul v3</t>
  </si>
  <si>
    <t>Wizard,Wizard</t>
  </si>
  <si>
    <t>100 feet</t>
  </si>
  <si>
    <t>(a bit of fur and a rod of amber, crystal, or glass)</t>
  </si>
  <si>
    <t>A stroke of lightning forming a line 100 feet long and 5 feet wide blasts out from you in a direction you choose. Each creature in the line must make a Dexterity saving throw. A creature takes {@damage 8d6} lightning damage on a failed save, or half as much damage on a successful one.
 The lightning ignites flammable objects in the area that aren't being worn or carried.</t>
  </si>
  <si>
    <t>Land,City,Lurker in the Deep,Armorer,Armorer,Land,Fathomless,Eldritch Knight,Arcane Trickster</t>
  </si>
  <si>
    <t>Call Lightning</t>
  </si>
  <si>
    <t>A storm cloud appears in the shape of a cylinder that is 10 feet tall with a 60-foot radius, centered on a point you can see within range directly above you. The spell fails if you can't see a point in the air where the storm cloud could appear (for example, if you are in a room that can't accommodate the cloud).
 When you cast the spell, choose a point you can see under the cloud. A bolt of lightning flashes down from the cloud to that point. Each creature within 5 feet of that point must make a Dexterity saving throw. A creature takes {@damage 3d10} lightning damage on a failed save, or half as much damage on a successful one. On each of your turns until the spell ends, you can use your action to call down lightning in this way again, targeting the same point or a different one.
 If you are outdoors in stormy conditions when you cast this spell, the spell gives you control over the existing storm instead of creating a new one. Under such conditions, the spell's damage increases by {@dice 1d10}.</t>
  </si>
  <si>
    <t>Tempest,Land,Land,Storm,Kraken</t>
  </si>
  <si>
    <t>Dispel Magic</t>
  </si>
  <si>
    <t>Choose one creature, object, or magical effect within range. Any spell of 3rd level or lower on the target ends. For each spell of 4th level or higher on the target, make an ability check using your spellcasting ability. The DC equals 10 + the spell's level. On a successful check, the spell ends.</t>
  </si>
  <si>
    <t>Bard,Cleric,Druid,Paladin,Sorcerer,Warlock,Wizard,Artificer,Artificer</t>
  </si>
  <si>
    <t>Arcana,Trickery,Devotion,Fey Wanderer,Eldritch Knight,Arcane Trickster,Divine Soul,Favored Soul,Favored Soul v3,Clockwork Soul</t>
  </si>
  <si>
    <t>Enemies Abound</t>
  </si>
  <si>
    <t>You reach into the mind of one creature you can see and force it to make an Intelligence saving throw. A creature automatically succeeds if it is immune to being {@condition frightened}. On a failed save, the target loses the ability to distinguish friend from foe, regarding all creatures it can see as enemies until the spell ends. Each time the target takes damage, it can repeat the saving throw, ending the effect on itself on a success.
 Whenever the affected creature chooses another creature as a target, it must choose the target at random from among the creatures it can see within range of the attack, spell, or other ability it's using. If an enemy provokes an opportunity attack from the affected creature, the creature must make that attack if it is able to.</t>
  </si>
  <si>
    <t>Erupting Earth</t>
  </si>
  <si>
    <t>(a piece of obsidian)</t>
  </si>
  <si>
    <t>Choose a point you can see on the ground within range. A fountain of churned earth and stone erupts in a 20-foot cube centered on that point. Each creature in that area must make a Dexterity saving throw. A creature takes {@damage 3d12} bludgeoning damage on a failed save, or half as much damage on a successful one. Additionally, the ground in that area becomes difficult terrain until cleared. Each 5-foot-square portion of the area requires at least 1 minute to clear by hand.</t>
  </si>
  <si>
    <t>Hypnotic Pattern</t>
  </si>
  <si>
    <t>(a glowing stick of incense or a crystal vial filled with phosphorescent material)</t>
  </si>
  <si>
    <t>You create a twisting pattern of colors that weaves through the air inside a 30-foot cube within range. The pattern appears for a moment and vanishes. Each creature in the area who sees the pattern must make a Wisdom saving throw. On a failed save, the creature becomes {@condition charmed} for the duration. While {@condition charmed} by this spell, the creature is {@condition incapacitated} and has a speed of 0.
 The spell ends for an affected creature if it takes any damage or if someone else uses an action to shake the creature out of its stupor.</t>
  </si>
  <si>
    <t>Redemption,Archivist,Love,Armorer,Eldritch Knight,Arcane Trickster</t>
  </si>
  <si>
    <t>Major Image</t>
  </si>
  <si>
    <t>You create the image of an object, a creature, or some other visible phenomenon that is no larger than a 20-foot cube. The image appears at a spot that you can see within range and lasts for the duration. It seems completely real, including sounds, smells, and temperature appropriate to the thing depicted. You can't create sufficient heat or cold to cause damage, a sound loud enough to deal thunder damage or deafen a creature, or a smell that might sicken a creature (like a {@creature troglodyte||troglodyte's} stench).
 As long as you are within range of the illusion, you can use your action to cause the image to move to any other spot within range. As the image changes location, you can alter its appearance so that its movements appear natural for the image. For example, if you create an image of a creature and move it, you can alter the image so that it appears to be walking. Similarly, you can cause the illusion to make different sounds at different times, even making it carry on a conversation, for example.
 Physical interaction with the image reveals it to be an illusion, because things can pass through it. A creature that uses its action to examine the image can determine that it is an illusion with a successful Intelligence ({@skill Investigation}) check against your spell save DC. If a creature discerns the illusion for what it is, the creature can see through the image, and its other sensory qualities become faint to the creature.</t>
  </si>
  <si>
    <t>Slow</t>
  </si>
  <si>
    <t>(a drop of molasses)</t>
  </si>
  <si>
    <t>You alter time around up to six creatures of your choice in a 40-foot cube within range. Each target must succeed on a Wisdom saving throw or be affected by this spell for the duration.
 An affected target's speed is halved, it takes a Ã¢Ë†â€™2 penalty to AC and Dexterity saving throws, and it can't use reactions. On its turn, it can use either an action or a bonus action, not both. Regardless of the creature's abilities or magic items, it can't make more than one melee or ranged attack during its turn.
 If the creature attempts to cast a spell with a casting time of 1 action, roll a {@dice d20}. On an 11 or higher, the spell doesn't take effect until the creature's next turn, and the creature must use its action on that turn to complete the spell. If it can't, the spell is wasted.
 A creature affected by this spell makes another Wisdom saving throw at the end of each of its turns. On a successful save, the effect ends for it.</t>
  </si>
  <si>
    <t>Land,Protection,Order,Land,Eldritch Knight,Arcane Trickster</t>
  </si>
  <si>
    <t>Tidal Wave</t>
  </si>
  <si>
    <t>(a drop of water)</t>
  </si>
  <si>
    <t>You conjure up a wave of water that crashes down on an area within range. The area can be up to 30 feet long, up to 10 feet wide, and up to 10 feet tall. Each creature in that area must make a Dexterity saving throw. On a failed save, a creature takes {@damage 4d8} bludgeoning damage and is knocked {@condition prone}. On a successful save, a creature takes half as much damage and isn't knocked {@condition prone}. The water then spreads out across the ground in all directions, extinguishing unprotected flames in its area and within 30 feet of it, and then it vanishes.</t>
  </si>
  <si>
    <t>Wind Wall</t>
  </si>
  <si>
    <t>(a tiny fan and a feather of exotic origin)</t>
  </si>
  <si>
    <t>A wall of strong wind rises from the ground at a point you choose within range. You can make the wall up to 50 feet long, 15 feet high, and 1 foot thick. You can shape the wall in any way you choose so long as it makes one continuous path along the ground. The wall lasts for the duration.
 When the wall appears, each creature within its area must make a Strength saving throw. A creature takes {@damage 3d8} bludgeoning damage on a failed save, or half as much damage on a successful one.
 The strong wind keeps fog, smoke, and other gases at bay. Small or smaller flying creatures or objects can't pass through the wall. Loose, lightweight materials brought into the wall fly upward. Arrows, bolts, and other ordinary projectiles launched at targets behind the wall are deflected upward and automatically miss. (Boulders hurled by giants or siege engines, and similar projectiles, are unaffected.) Creatures in gaseous form can't pass through it.</t>
  </si>
  <si>
    <t>Nature,Artillerist,Artillerist,Genie,Genie,Genie</t>
  </si>
  <si>
    <t>Spirit Guardians</t>
  </si>
  <si>
    <t>You call forth spirits to protect you. They flit around you to a distance of 15 feet for the duration. If you are good or neutral, their spectral form appears angelic or fey (your choice). If you are evil, they appear fiendish.
 When you cast this spell, you can designate any number of creatures you can see to be unaffected by it. An affected creature's speed is halved in the area, and when the creature enters the area for the first time on a turn or starts its turn there, it must make a Wisdom saving throw. On a failed save, the creature takes {@damage 3d8} radiant damage (if you are good or neutral) or {@damage 3d8} necrotic damage (if you are evil). On a successful save, the creature takes half as much damage.</t>
  </si>
  <si>
    <t>War,Crown,Divine Soul,Favored Soul,Favored Soul v3</t>
  </si>
  <si>
    <t>(a tiny ball of bat guano and sulfur)</t>
  </si>
  <si>
    <t>A bright streak flashes from your pointing finger to a point you choose within range and then blossoms with a low roar into an explosion of flame. Each creature in a 20-foot-radius sphere centered on that point must make a Dexterity saving throw. A target takes {@damage 8d6} fire damage on a failed save, or half as much damage on a successful one.
 The fire spreads around corners. It ignites flammable objects in the area that aren't being worn or carried.</t>
  </si>
  <si>
    <t>Light,Fiend,Zeal,Artillerist,Wildfire,Artillerist,Genie,Four Elements,Eldritch Knight,Arcane Trickster</t>
  </si>
  <si>
    <t>Hunger of Hadar</t>
  </si>
  <si>
    <t>(a pickled octopus tentacle)</t>
  </si>
  <si>
    <t>You open a gateway to the dark between the stars, a region infested with unknown horrors. A 20-foot-radius sphere of blackness and bitter cold appears, centered on a point within range and lasting for the duration. This void is filled with a cacophony of soft whispers and slurping noises that can be heard up to 30 feet away. No light, magical or otherwise, can illuminate the area, and creatures fully within the area are {@condition blinded}.
 The void creates a warp in the fabric of space, and the area is difficult terrain. Any creature that starts its turn in the area takes {@damage 2d6} cold damage. Any creature that ends its turn in the area must succeed on a Dexterity saving throw or take {@damage 2d6} acid damage as milky, otherworldly tentacles rub against it.</t>
  </si>
  <si>
    <t>Plant Growth</t>
  </si>
  <si>
    <t>1 action or 8 hour</t>
  </si>
  <si>
    <t>This spell channels vitality into plants within a specific area. There are two possible uses for the spell, granting either immediate or long-term benefits.
 If you cast this spell using 1 action, choose a point within range. All normal plants in a 100-foot radius centered on that point become thick and overgrown. A creature moving through the area must spend 4 feet of movement for every 1 foot it moves.
 You can exclude one or more areas of any size within the spell's area from being affected.
 If you cast this spell over 8 hours, you enrich the land. All plants in a half-mile radius centered on a point within range become enriched for 1 year. The plants yield twice the normal amount of food when harvested.</t>
  </si>
  <si>
    <t>Nature,Land,Ancients,Archfey,Wildfire,Land,Wildfire</t>
  </si>
  <si>
    <t>Golgari Agent,Selesnya Initiate</t>
  </si>
  <si>
    <t>(a pinch of dust and a few drops of water)</t>
  </si>
  <si>
    <t>Until the spell ends, freezing rain and sleet fall in a 20-foot-tall cylinder with a 40-foot radius centered on a point you choose within range. The area is heavily obscured, and exposed flames in the area are doused.
 The ground in the area is covered with slick ice, making it difficult terrain. When a creature enters the spell's area for the first time on a turn or starts its turn there, it must make a Dexterity saving throw. On a failed save, it falls {@condition prone}.
 If a creature starts its turn in the spell's area and is concentrating on a spell, the creature must make a successful Constitution saving throw against your spell save DC or lose concentration.</t>
  </si>
  <si>
    <t>Tempest,Land,Lurker in the Deep,Genie,Land,Storm,Fathomless,Genie,Eldritch Knight,Arcane Trickster</t>
  </si>
  <si>
    <t>Aura of Vitality</t>
  </si>
  <si>
    <t>Healing energy radiates from you in an aura with a 30-foot radius. Until the spell ends, the aura moves with you, centered on you. You can use a bonus action to cause one creature in the aura (including you) to regain {@dice 2d6} hit points.</t>
  </si>
  <si>
    <t>Crown,Battle Smith,Twilight,Battle Smith,Twilight</t>
  </si>
  <si>
    <t>Cleric,Druid,Cleric,Druid</t>
  </si>
  <si>
    <t>Beacon of Hope</t>
  </si>
  <si>
    <t>This spell bestows hope and vitality. Choose any number of creatures within range. For the duration, each target has advantage on Wisdom saving throws and death saving throws, and regains the maximum number of hit points possible from any healing.</t>
  </si>
  <si>
    <t>Life,Devotion,Solidarity,Unity,Love,Peace,Divine Soul,Favored Soul,Favored Soul v3</t>
  </si>
  <si>
    <t>Catnap</t>
  </si>
  <si>
    <t>(a pinch of sand)</t>
  </si>
  <si>
    <t>You make a calming gesture, and up to three willing creatures of your choice that you can see within range fall {@condition unconscious} for the spell's duration. The spell ends on a target early if it takes damage or someone uses an action to shake or slap it awake. If a target remains {@condition unconscious} for the full duration, that target gains the benefit of a short rest, and it can't be affected by this spell again until it finishes a long rest.</t>
  </si>
  <si>
    <t>Create Food and Water</t>
  </si>
  <si>
    <t>You create 45 pounds of food and 30 gallons of water on the ground or in containers within range, enough to sustain up to fifteen humanoids or five steeds for 24 hours. The food is bland but nourishing, and spoils if uneaten after 24 hours. The water is clean and doesn't go bad.</t>
  </si>
  <si>
    <t>Land,Alchemist,Noble Genie,Favored Soul,Favored Soul v3</t>
  </si>
  <si>
    <t>Crusader's Mantle</t>
  </si>
  <si>
    <t>Holy power radiates from you in an aura with a 30-foot radius, awakening boldness in friendly creatures. Until the spell ends, the aura moves with you, centered on you. While in the aura, each nonhostile creature in the aura (including you) deals an extra {@damage 1d4} radiant damage when it hits with a weapon attack.</t>
  </si>
  <si>
    <t>War,Solidarity</t>
  </si>
  <si>
    <t>Fast Friends</t>
  </si>
  <si>
    <t>When you need to make sure something gets done, you can't rely on vague promises, sworn oaths, or binding contracts of employment. When you cast this spell, choose one humanoid within range that can see and hear you, and that can understand you. The creature must succeed on a Wisdom saving throw or become {@condition charmed} by you for the duration. While the creature is {@condition charmed} in this way, it undertakes to perform any services or activities you ask of it in a friendly manner, to the best of its ability.
 You can set the creature new tasks when a previous task is completed, or if you decide to end its current task. If the service or activity might cause harm to the creature, or if it conflicts with the creature's normal activities and desires, the creature can make another Wisdom saving throw to try to end the effect. This save is made with advantage if you or your companions are fighting the creature. If the activity would result in certain death for the creature, the spell ends.
 When the spell ends, the creature knows it was {@condition charmed} by you.</t>
  </si>
  <si>
    <t>Bard,Cleric,Wizard</t>
  </si>
  <si>
    <t>(a white feather or the heart of a hen)</t>
  </si>
  <si>
    <t>You project a phantasmal image of a creature's worst fears. Each creature in a 30-foot cone must succeed on a Wisdom saving throw or drop whatever it is holding and become {@condition frightened} for the duration.
 While {@condition frightened} by this spell, a creature must take the {@action Dash} action and move away from you by the safest available route on each of its turns, unless there is nowhere to move. If the creature ends its turn in a location where it doesn't have line of sight to you, the creature can make a Wisdom saving throw. On a successful save, the spell ends for that creature.</t>
  </si>
  <si>
    <t>Conquest,Gloom Stalker,Lolth,Darkness,Eldritch Knight,Arcane Trickster</t>
  </si>
  <si>
    <t>(a shaving of licorice root)</t>
  </si>
  <si>
    <t>Choose a willing creature that you can see within range. Until the spell ends, the target's speed is doubled, it gains a +2 bonus to AC, it has advantage on Dexterity saving throws, and it gains an additional action on each of its turns. That action can be used only to take the {@action Attack} (one weapon attack only), {@action Dash}, {@action Disengage}, {@action Hide}, or {@action Use an Object} action.
 When the spell ends, the target can't move or take actions until after its next turn, as a wave of lethargy sweeps over it.</t>
  </si>
  <si>
    <t>Land,Vengeance,Treachery,Strength,Zeal,Horizon Walker,Horizon Walker,Glory,Land,Heroism,Eldritch Knight,Arcane Trickster</t>
  </si>
  <si>
    <t>Incite Greed</t>
  </si>
  <si>
    <t>({'text': 'a gem worth at least 50 gp', 'cost': 5000})</t>
  </si>
  <si>
    <t>When you cast this spell, you present the gem used as the material component and choose any number of creatures within range that can see you. Each target must succeed on a Wisdom saving throw or be {@condition charmed} by you until the spell ends, or until you or your companions do anything harmful to it. While {@condition charmed} in this way, a creature can do nothing but use its movement to approach you in a safe manner. While an affected creature is within 5 feet of you, it cannot move, but simply stares greedily at the gem you present.
 At the end of each of its turns, an affected target can make a Wisdom saving throw. If it succeeds, this effect ends for that target.</t>
  </si>
  <si>
    <t>Cleric,Wizard,Warlock</t>
  </si>
  <si>
    <t>Intellect Fortress</t>
  </si>
  <si>
    <t>For the duration, you or one willing creature you can see within range has resistance to psychic damage, as well as advantage on Intelligence, Wisdom, and Charisma saving throws.</t>
  </si>
  <si>
    <t>Life Transference</t>
  </si>
  <si>
    <t>You sacrifice some of your health to mend another creature's injuries. You take {@damage 4d8} necrotic damage, which can't be reduced in any way, and one creature of your choice that you can see within range regains a number of hit points equal to twice the necrotic damage you take.</t>
  </si>
  <si>
    <t>Paladin,Warlock</t>
  </si>
  <si>
    <t>Phantom Steed</t>
  </si>
  <si>
    <t>A Large quasi-real, horselike creature appears on the ground in an unoccupied space of your choice within range. You decide the creature's appearance, but it is equipped with a saddle, bit, and bridle. Any of the equipment created by the spell vanishes in a puff of smoke if it is carried more than 10 feet away from the steed.
 For the duration, you or a creature you choose can ride the steed. The creature uses the statistics for a {@creature riding horse}, except it has a speed of 100 feet and can travel 10 miles in an hour, or 13 miles at a fast pace. When the spell ends, the steed gradually fades, giving the rider 1 minute to dismount. The spell ends if you use an action to dismiss it or if the steed takes any damage.</t>
  </si>
  <si>
    <t>Undead,Eldritch Knight,Arcane Trickster</t>
  </si>
  <si>
    <t>Pulse Wave</t>
  </si>
  <si>
    <t>You create intense pressure, unleash it in a 30-foot cone, and decide whether the pressure pulls or pushes creatures and objects. Each creature in that cone must make a Constitution saving throw. A creature takes {@damage 6d6} force damage on a failed save, or half as much damage on a successful one. And every creature that fails the save is either pulled 15 feet toward you or pushed 15 feet away from you, depending on the choice you made for the spell.
 In addition, unsecured objects that are completely within the cone are likewise pulled or pushed 15 feet.</t>
  </si>
  <si>
    <t>Speak with Plants</t>
  </si>
  <si>
    <t>You imbue plants within 30 feet of you with limited sentience and animation, giving them the ability to communicate with you and follow your simple commands. You can question plants about events in the spell's area within the past day, gaining information about creatures that have passed, weather, and other circumstances.
 You can also turn difficult terrain caused by plant growth (such as thickets and undergrowth) into ordinary terrain that lasts for the duration. Or you can turn ordinary terrain where plants are present into difficult terrain that lasts for the duration, causing vines and branches to hinder pursuers, for example.
 Plants might be able to perform other tasks on your behalf, at the DM's discretion. The spell doesn't enable plants to uproot themselves and move about, but they can freely move branches, tendrils, and stalks.
 If a plant creature is in the area, you can communicate with it as if you shared a common language, but you gain no magical ability to influence it.
 This spell can cause the plants created by the {@spell entangle} spell to release a {@condition restrained} creature.</t>
  </si>
  <si>
    <t>Water Breathing</t>
  </si>
  <si>
    <t>(a short reed or piece of straw)</t>
  </si>
  <si>
    <t>This spell grants up to ten willing creatures you can see within range the ability to breathe underwater until the spell ends. Affected creatures also retain their normal mode of respiration.</t>
  </si>
  <si>
    <t>Land,Kraken,Eldritch Knight,Arcane Trickster</t>
  </si>
  <si>
    <t>Water Walk</t>
  </si>
  <si>
    <t>(a piece of cork)</t>
  </si>
  <si>
    <t>This spell grants the ability to move across any liquid surfaceÃ¢â‚¬â€_x009d_such as water, acid, mud, snow, quicksand, or lavaÃ¢â‚¬â€_x009d_as if it were harmless solid ground (creatures crossing molten lava can still take damage from the heat). Up to ten willing creatures you can see within range gain this ability for the duration.
 If you target a creature submerged in a liquid, the spell carries the target to the surface of the liquid at a rate of 60 feet per round.</t>
  </si>
  <si>
    <t>Cleric,Druid,Ranger,Sorcerer,Artificer,Artificer,Artificer</t>
  </si>
  <si>
    <t>Land,Land,Divine Soul,Favored Soul,Favored Soul v3</t>
  </si>
  <si>
    <t>You summon fey spirits that take the form of beasts and appear in unoccupied spaces that you can see within range. Choose one of the following options for what appears:
 One {@filter beast of challenge rating 2 or lower|bestiary|challenge rating=[&amp;0;&amp;2]|type=beast|miscellaneous=!swarm}
 Two {@filter beasts of challenge rating 1 or lower|bestiary|challenge rating=[&amp;0;&amp;1]|type=beast|miscellaneous=!swarm}
 Four {@filter beasts of challenge rating 1/2 or lower|bestiary|challenge rating=[&amp;0;&amp;1/2]|type=beast|miscellaneous=!swarm}
 Eight {@filter beasts of challenge rating 1/4 or lower|bestiary|challenge rating=[&amp;0;&amp;1/4]|type=beast|miscellaneous=!swarm}Each beast is also considered fey, and it disappears when it drops to 0 hit points or when the spell ends.
 The summoned creatures are friendly to you and your companions. Roll initiative for the summoned creatures as a group, which has its own turns. They obey any verbal commands that you issue to them (no action required by you). If you don't issue any commands to them, they defend themselves from hostile creatures, but otherwise take no actions.
 The DM has the creatures' statistics.</t>
  </si>
  <si>
    <t>Primeval Guardian,Primeval Guardian</t>
  </si>
  <si>
    <t>Conjure Barrage</t>
  </si>
  <si>
    <t>(one piece of ammunition or a thrown weapon)</t>
  </si>
  <si>
    <t>You throw a nonmagical weapon or fire a piece of nonmagical ammunition into the air to create a cone of identical weapons that shoot forward and then disappear. Each creature in a 60-foot cone must succeed on a Dexterity saving throw. A creature takes {@damage 3d8} damage on a failed save, or half as much damage on a successful one. The damage type is the same as that of the weapon or ammunition used as a component.</t>
  </si>
  <si>
    <t>Counterspell</t>
  </si>
  <si>
    <t>You attempt to interrupt a creature in the process of casting a spell. If the creature is casting a spell of 3rd level or lower, its spell fails and has no effect. If it is casting a spell of 4th level or higher, make an ability check using your spellcasting ability. The DC equals 10 + the spell's level. On a success, the creature's spell fails and has no effect.</t>
  </si>
  <si>
    <t>Redemption,Clockwork Soul,Watchers,Eldritch Knight,Arcane Trickster</t>
  </si>
  <si>
    <t>Daylight</t>
  </si>
  <si>
    <t>A 60-foot-radius sphere of light spreads out from a point you choose within range. The sphere is bright light and sheds dim light for an additional 60 feet.
 If you chose a point on an object you are holding or one that isn't being worn or carried, the light shines from the object and moves with it. Completely covering the affected object with an opaque object, such as a bowl or a helm, blocks the light.
 If any of this spell's area overlaps with an area of darkness created by a spell of 3rd level or lower, the spell that created the darkness is dispelled.</t>
  </si>
  <si>
    <t>Cleric,Druid,Paladin,Ranger,Sorcerer</t>
  </si>
  <si>
    <t>Light,Land,Celestial,Undying Light,Celestial,Divine Soul,Favored Soul,Favored Soul v3</t>
  </si>
  <si>
    <t>Aasimar</t>
  </si>
  <si>
    <t>Mass Healing Word</t>
  </si>
  <si>
    <t>As you call out words of restoration, up to six creatures of your choice that you can see within range regain hit points equal to {@dice 1d4} + your spellcasting ability modifier. This spell has no effect on undead or constructs.</t>
  </si>
  <si>
    <t>Order,Order,Alchemist,Divine Soul,Favored Soul,Favored Soul v3</t>
  </si>
  <si>
    <t>Motivational Speech</t>
  </si>
  <si>
    <t>You address allies, staff, or innocent bystanders to exhort and inspire them to greatness, whether they have anything to get excited about or not. Choose up to five creatures within range that can hear you. For the duration, each affected creature gains 5 temporary hit points and has advantage on Wisdom saving throws. If an affected creature is hit by an attack, it has advantage on the next attack roll it makes. Once an affected creature loses the temporary hit points granted by this spell, the spell ends for that creature.</t>
  </si>
  <si>
    <t>Summon Lesser Demons</t>
  </si>
  <si>
    <t>({'text': 'a vial of blood from a humanoid killed within the past 24 hours', 'consume': 'optional'})</t>
  </si>
  <si>
    <t>You utter foul words, summoning demons from the chaos of the Abyss. Roll on the following table to determine what appears.
 The DM chooses the demons, such as {@creature manes} or {@creature dretch||dretches}, and you choose the unoccupied spaces you can see within range where they appear. A summoned demon disappears when it drops to 0 hit points or when the spell ends.
 The demons are hostile to all creatures, including you. Roll initiative for the summoned demons as a group, which has its own turns. The demons pursue and attack the nearest non-demons to the best of their ability.
 As part of casting the spell, you can form a circle on the ground with the blood used as a material component. The circle is large enough to encompass your space. While the spell lasts, the summoned demons can't cross the circle or harm it, and they can't target anyone within it. Using the material component in this manner consumes it when the spell ends.</t>
  </si>
  <si>
    <t>Wall of Water</t>
  </si>
  <si>
    <t>You create a wall of water on the ground at a point you can see within range. You can make the wall up to 30 feet long, 10 feet high, and 1 foot thick, or you can make a ringed wall up to 20 feet in diameter, 20 feet high, and 1 foot thick. The wall vanishes when the spell ends. The wall's space is difficult terrain.
 Any ranged weapon attack that enters the wall's space has disadvantage on the attack roll, and fire damage is halved if the fire effect passes through the wall to reach its target. Spells that deal cold damage that pass through the wall cause the area of the wall they pass through to freeze solid (at least a 5-foot-square section is frozen). Each 5-foot-square frozen section has AC 5 and 15 hit points. Reducing a frozen section to 0 hit points destroys it. When a section is destroyed, the wall's water doesn't fill it.</t>
  </si>
  <si>
    <t>(a rotten egg or several skunk cabbage leaves)</t>
  </si>
  <si>
    <t>You create a 20-foot-radius sphere of yellow, nauseating gas centered on a point within range. The cloud spreads around corners, and its area is heavily obscured. The cloud lingers in the air for the duration.
 Each creature that is completely within the cloud at the start of its turn must make a Constitution saving throw against poison. On a failed save, the creature spends its action that turn retching and reeling. Creatures that don't need to breathe or are immune to poison automatically succeed on this saving throw.
 A moderate wind (at least 10 miles per hour) disperses the cloud after 4 rounds. A strong wind (at least 20 miles per hour) disperses it after 1 round.</t>
  </si>
  <si>
    <t>Land,Fiend,Alchemist,Eldritch Knight,Arcane Trickster</t>
  </si>
  <si>
    <t>Summon Fey</t>
  </si>
  <si>
    <t>({'text': 'a gilded flower worth at least 300 gp', 'cost': 30000})</t>
  </si>
  <si>
    <t>You call forth a fey spirit. It manifests in an unoccupied space that you can see within range. This corporeal form uses the {@creature Fey Spirit|TCE} stat block. When you cast the spell, choose a mood: Fuming, Mirthful, or Tricksy. The creature resembles a fey creature of your choice marked by the chosen mood, which determines one of the traits in its stat block. The creature disappears when it drops to 0 hit points or when the spell ends.
 The creature is an ally to you and your companions. In combat, the creature shares your initiative count, but it takes its turn immediately after yours. It obeys your verbal commands (no action required by you). If you don't issue any, it takes the {@action Dodge} action and uses its move to avoid danger.</t>
  </si>
  <si>
    <t>Druid,Ranger,Warlock,Wizard</t>
  </si>
  <si>
    <t>Summon Shadowspawn</t>
  </si>
  <si>
    <t>({'text': 'tears inside a gem worth at least 300 gp', 'cost': 30000})</t>
  </si>
  <si>
    <t>You call forth a shadowy spirit. It manifests in an unoccupied space that you can see within range. This corporeal form uses the {@creature Shadow Spirit|TCE} stat block. When you cast the spell, choose an emotion: Fury, Despair, or Fear. The creature resembles a misshapen biped marked by the chosen emotion, which determines certain traits in its stat block. The creature disappears when it drops to 0 hit points or when the spell ends.
 The creature is an ally to you and your companions. In combat, the creature shares your initiative count, but it takes its turn immediately after yours. It obeys your verbal commands (no action required by you). If you don't issue any, it takes the {@action Dodge} action and uses its move to avoid danger.</t>
  </si>
  <si>
    <t>Summon Undead</t>
  </si>
  <si>
    <t>({'text': 'a gilded skull worth at least 300 gp', 'cost': 30000})</t>
  </si>
  <si>
    <t>You call forth an undead spirit. It manifests in an unoccupied space that you can see within range. This corporeal form uses the {@creature Undead Spirit|TCE} stat block. When you cast the spell, choose the creature's form: Ghostly, Putrid, or Skeletal. The spirit resembles an undead creature with the chosen form, which determines certain traits in its stat block. The creature disappears when it drops to 0 hit points or when the spell ends.
 The creature is an ally to you and your companions. In combat, the creature shares your initiative count, but it takes its turn immediately after yours. It obeys your verbal commands (no action required by you). If you don't issue any, it takes the {@action Dodge} action and uses its move to avoid danger.</t>
  </si>
  <si>
    <t>Thunder Step</t>
  </si>
  <si>
    <t>You teleport yourself to an unoccupied space you can see within range. Immediately after you disappear, a thunderous boom sounds, and each creature within 10 feet of the space you left must make a Constitution saving throw, taking {@damage 3d10} thunder damage on a failed save, or half as much damage on a successful one. The thunder can be heard from up to 300 feet away.
 You can bring along objects as long as their weight doesn't exceed what you can carry. You can also teleport one willing creature of your size or smaller who is carrying gear up to its carrying capacity. The creature must be within 5 feet of you when you cast this spell, and there must be an unoccupied space within 5 feet of your destination space for the creature to appear in; otherwise, the creature is left behind.</t>
  </si>
  <si>
    <t>Wall of Sand</t>
  </si>
  <si>
    <t>(a handful of sand)</t>
  </si>
  <si>
    <t>You create a wall of swirling sand on the ground at a point you can see within range. You can make the wall up to 30 feet long, 10 feet high, and 10 feet thick, and it vanishes when the spell ends. It blocks line of sight but not movement. A creature is {@condition blinded} while in the wall's space and must spend 3 feet of movement for every 1 foot it moves there.</t>
  </si>
  <si>
    <t>Blinding Smite</t>
  </si>
  <si>
    <t>The next time you hit a creature with a melee weapon attack during this spell's duration, your weapon flares with bright light, and the attack deals an extra {@damage 3d8} radiant damage to the target. Additionally, the target must succeed on a Constitution saving throw or be {@condition blinded} until the spell ends.
 A creature {@condition blinded} by this spell makes another Constitution saving throw at the end of each of its turns. On a successful save, it is no longer {@condition blinded}.</t>
  </si>
  <si>
    <t>Stone,Battle Smith</t>
  </si>
  <si>
    <t>Roll a {@dice d20} at the end of each of your turns for the duration of the spell. On a roll of 11 or higher, you vanish from your current plane of existence and appear in the Ethereal Plane (the spell fails and the casting is wasted if you were already on that plane). At the start of your next turn, and when the spell ends if you are on the Ethereal Plane, you return to an unoccupied space of your choice that you can see within 10 feet of the space you vanished from. If no unoccupied space is available within that range, you appear in the nearest unoccupied space (chosen at random if more than one space is equally near). You can dismiss this spell as an action.
 While on the Ethereal Plane, you can see and hear the plane you originated from, which is cast in shades of gray, and you can't see anything there more than 60 feet away. You can only affect and be affected by other creatures on the Ethereal Plane. Creatures that aren't there can't perceive you or interact with you, unless they have the ability to do so.</t>
  </si>
  <si>
    <t>Trickery,Archfey,Hexblade,Eldritch Knight,Arcane Trickster</t>
  </si>
  <si>
    <t>Lightning Arrow</t>
  </si>
  <si>
    <t>The next time you make a ranged weapon attack during the spell's duration, the weapon's ammunition, or the weapon itself if it's a thrown weapon, transforms into a bolt of lightning. Make the attack roll as normal. The target takes {@damage 4d8} lightning damage on a hit, or half as much damage on a miss, instead of the weapon's normal damage.
 Whether you hit or miss, each creature within 10 feet of the target must make a Dexterity saving throw. Each of these creatures takes {@damage 2d8} lightning damage on a failed save, or half as much damage on a successful one.
 The piece of ammunition or weapon then returns to its normal form.</t>
  </si>
  <si>
    <t>Melf's Minute Meteors</t>
  </si>
  <si>
    <t>(niter, sulfur, and pine tar formed into a bead)</t>
  </si>
  <si>
    <t>You create six tiny meteors in your space. They float in the air and orbit you for the spell's duration. When you cast the spellÃ¢â‚¬â€_x009d_and as a bonus action on each of your turns thereafterÃ¢â‚¬â€_x009d_you can expend one or two of the meteors, sending them streaking toward a point or points you choose within 120 feet of you. Once a meteor reaches its destination or impacts against a solid surface, the meteor explodes. Each creature within 5 feet of the point where the meteor explodes must make a Dexterity saving throw. A creature takes {@damage 2d6} fire damage on a failed save, or half as much damage on a successful one.</t>
  </si>
  <si>
    <t>Spirit Shroud</t>
  </si>
  <si>
    <t>You call forth spirits of the dead, which flit around you for the spell's duration. The spirits are intangible and invulnerable.
 Until the spell ends, any attack you make deals {@damage 1d8} extra damage when you hit a creature within 10 feet of you. This damage is radiant, necrotic, or cold (your choice when you cast the spell). Any creature that takes this damage can't regain hit points until the start of your next turn.
 In addition, any creature of your choice that you can see that starts its turn within 10 feet of you has its speed reduced by 10 feet until the start of your next turn.</t>
  </si>
  <si>
    <t>Vampiric Touch</t>
  </si>
  <si>
    <t>The touch of your shadow-wreathed hand can siphon life force from others to heal your wounds. Make a melee spell attack against a creature within your reach. On a hit, the target takes {@damage 3d6} necrotic damage, and you regain hit points equal to half the amount of necrotic damage dealt. Until the spell ends, you can make the attack again on each of your turns as an action.</t>
  </si>
  <si>
    <t>Death,Grave,Ambition,Grave,Lolth,Darkness,Eldritch Knight,Arcane Trickster</t>
  </si>
  <si>
    <t>Bestow Curse</t>
  </si>
  <si>
    <t>You touch a creature, and that creature must succeed on a Wisdom saving throw or become cursed for the duration of the spell. When you cast this spell, choose the nature of the curse from the following options:
 Choose one ability score. While cursed, the target has disadvantage on ability checks and saving throws made with that ability score.
 While cursed, the target has disadvantage on attack rolls against you.
 While cursed, the target must make a Wisdom saving throw at the start of each of its turns. If it fails, it wastes its action that turn doing nothing.
 While the target is cursed, your attacks and spells deal an extra {@damage 1d8} necrotic damage to the target.A {@spell remove curse} spell ends this effect. At the DM's option, you may choose an alternative curse effect, but it should be no more powerful than those described above. The DM has final say on such a curse's effect.</t>
  </si>
  <si>
    <t>Oathbreaker,Ambition,Conquest,Eldritch Knight,Arcane Trickster,Divine Soul,Favored Soul,Favored Soul v3</t>
  </si>
  <si>
    <t>Elemental Weapon</t>
  </si>
  <si>
    <t>A nonmagical weapon you touch becomes a magic weapon. Choose one of the following damage types: acid, cold, fire, lightning, or thunder. For the duration, the weapon has a +1 bonus to attack rolls and deals an extra {@damage 1d4} damage of the chosen type when it hits.</t>
  </si>
  <si>
    <t>Paladin,Artificer,Artificer</t>
  </si>
  <si>
    <t>Forge,Hexblade,Hexblade,Stone,Forge</t>
  </si>
  <si>
    <t>Druid,Druid,Ranger</t>
  </si>
  <si>
    <t>(a pinch of graveyard dirt)</t>
  </si>
  <si>
    <t>You touch a willing creature and put it into a cataleptic state that is indistinguishable from death.
 For the spell's duration, or until you use an action to touch the target and dismiss the spell, the target appears dead to all outward inspection and to spells used to determine the target's status. The target is {@condition blinded} and {@condition incapacitated}, and its speed drops to 0. The target has resistance to all damage except psychic damage. If the target is diseased or {@condition poisoned} when you cast the spell, or becomes diseased or {@condition poisoned} while under the spell's effect, the disease and poison have no effect until the spell ends.</t>
  </si>
  <si>
    <t>Bard,Cleric,Druid,Wizard</t>
  </si>
  <si>
    <t>Undying,Raven Queen,Undead,Eldritch Knight,Arcane Trickster,Divine Soul,Favored Soul,Favored Soul v3</t>
  </si>
  <si>
    <t>Flame Arrows</t>
  </si>
  <si>
    <t>You touch a quiver containing arrows or bolts. When a target is hit by a ranged weapon attack using a piece of ammunition drawn from the quiver, the target takes an extra {@damage 1d6} fire damage. The spell's magic ends on a piece of ammunition when it hits or misses, and the spell ends when twelve pieces of ammunition have been drawn from the quiver.</t>
  </si>
  <si>
    <t>(a wing feather from any bird)</t>
  </si>
  <si>
    <t>You touch a willing creature. The target gains a flying speed of 60 feet for the duration. When the spell ends, the target falls if it is still aloft, unless it can stop the fall.</t>
  </si>
  <si>
    <t>Eldritch Knight,Arcane Trickster,Four Elements</t>
  </si>
  <si>
    <t>(a bit of gauze and a wisp of smoke)</t>
  </si>
  <si>
    <t>You transform a willing creature you touch, along with everything it's wearing and carrying, into a misty cloud for the duration. The spell ends if the creature drops to 0 hit points. An incorporeal creature isn't affected.
 While in this form, the target's only method of movement is a flying speed of 10 feet. The target can enter and occupy the space of another creature. The target has resistance to nonmagical damage, and it has advantage on Strength, Dexterity, and Constitution saving throws. The target can pass through small holes, narrow openings, and even mere cracks, though it treats liquids as though they were solid surfaces. The target can't fall and remains hovering in the air even when {@condition stunned} or otherwise {@condition incapacitated}.
 While in the form of a misty cloud, the target can't talk or manipulate objects, and any objects it was carrying or holding can't be dropped, used, or otherwise interacted with. The target can't attack or cast spells.</t>
  </si>
  <si>
    <t>Sorcerer,Warlock,Wizard,Artificer,Artificer</t>
  </si>
  <si>
    <t>Land,Treachery,Spores,Alchemist,Land,Swarmkeeper,Four Elements,Eldritch Knight,Arcane Trickster</t>
  </si>
  <si>
    <t>Dimir Operative,Simic Scientist</t>
  </si>
  <si>
    <t>Glyph of Warding</t>
  </si>
  <si>
    <t>({'text': 'incense and powdered diamond worth at least 200 gp, which the spell consumes', 'cost': 20000, 'consume': True})</t>
  </si>
  <si>
    <t>until dispeled or triggered</t>
  </si>
  <si>
    <t>When you cast this spell, you inscribe a glyph that later unleashes a magical effect. You inscribe it either on a surface (such as a table or a section of floor or wall) or within an object that can be closed (such as a book, a scroll, or a treasure chest) to conceal the glyph. The glyph can cover an area no larger than 10 feet in diameter. If the surface or object is moved more than 10 feet from where you cast this spell, the glyph is broken, and the spell ends without being triggered.
 The glyph is nearly invisible and requires a successful Intelligence ({@skill Investigation}) check against your spell save DC to be found.
 You decide what triggers the glyph when you cast the spell. For glyphs inscribed on a surface, the most typical triggers include touching or standing on the glyph, removing another object covering the glyph, approaching within a certain distance of the glyph, or manipulating the object on which the glyph is inscribed. For glyphs inscribed within an object, the most common triggers include opening that object, approaching within a certain distance of the object, or seeing or reading the glyph. Once a glyph is triggered, this spell ends.
 You can further refine the trigger so the spell activates only under certain circumstances or according to physical characteristics (such as height or weight), creature kind (for example, the ward could be set to affect aberrations or drow), or alignment. You can also set conditions for creatures that don't trigger the glyph, such as those who say a certain password.
 When you inscribe the glyph, choose explosive runes or a spell glyph.
 Explosive RunesWhen triggered, the glyph erupts with magical energy in a 20-foot-radius sphere centered on the glyph. The sphere spreads around corners. Each creature in the area must make a Dexterity saving throw. A creature takes {@damage 5d8} acid, cold, fire, lightning, or thunder damage on a failed saving throw (your choice when you create the glyph), or half as much damage on a successful one.
 Spell GlyphYou can store a prepared spell of 3rd level or lower in the glyph by casting it as part of creating the glyph. The spell must target a single creature or an area. The spell being stored has no immediate effect when cast in this way. When the glyph is triggered, the stored spell is cast. If the spell has a target, it targets the creature that triggered the glyph. If the spell affects an area, the area is centered on that creature. If the spell summons hostile creatures or creates harmful objects or traps, they appear as close as possible to the intruder and attack it. If the spell requires concentration, it lasts until the end of its full duration.</t>
  </si>
  <si>
    <t>Bard,Cleric,Wizard,Artificer,Artificer,Artificer</t>
  </si>
  <si>
    <t>Deep Stalker,Deep Stalker Conclave,Clockwork Soul,Eldritch Knight,Arcane Trickster,Divine Soul,Favored Soul,Favored Soul v3</t>
  </si>
  <si>
    <t>Meld into Stone</t>
  </si>
  <si>
    <t>You step into a stone object or surface large enough to fully contain your body, melding yourself and all the equipment you carry with the stone for the duration. Using your movement, you step into the stone at a point you can touch. Nothing of your presence remains visible or otherwise detectable by nonmagical senses.
 While merged with the stone, you can't see what occurs outside it, and any Wisdom ({@skill Perception}) checks you make to hear sounds outside it are made with disadvantage. You remain aware of the passage of time and can cast spells on yourself while merged in the stone. You can use your movement to leave the stone where you entered it, which ends the spell. You otherwise can't move.
 Minor physical damage to the stone doesn't harm you, but its partial destruction or a change in its shape (to the extent that you no longer fit within it) expels you and deals {@damage 6d6} bludgeoning damage to you. The stone's complete destruction (or transmutation into a different substance) expels you and deals 50 bludgeoning damage to you. If expelled, you fall {@condition prone} in an unoccupied space closest to where you first entered.</t>
  </si>
  <si>
    <t>Land,Genie,Divine Soul,Favored Soul,Favored Soul v3</t>
  </si>
  <si>
    <t>Nondetection</t>
  </si>
  <si>
    <t>({'text': 'a pinch of diamond dust worth 25 gp sprinkled over the target, which the spell consumes', 'cost': 2500, 'consume': True})</t>
  </si>
  <si>
    <t>For the duration, you hide a target that you touch from divination magic. The target can be a willing creature or a place or an object no larger than 10 feet in any dimension. The target can't be targeted by any divination magic or perceived through magical scrying sensors.</t>
  </si>
  <si>
    <t>Bard,Ranger,Wizard</t>
  </si>
  <si>
    <t>Knowledge,Knowledge,Watchers,Eldritch Knight,Arcane Trickster</t>
  </si>
  <si>
    <t>Protection from Energy</t>
  </si>
  <si>
    <t>For the duration, the willing creature you touch has resistance to one damage type of your choice: acid, cold, fire, lightning, or thunder.</t>
  </si>
  <si>
    <t>Cleric,Druid,Ranger,Sorcerer,Wizard,Artificer,Artificer,Artificer</t>
  </si>
  <si>
    <t>Land,Ancients,Vengeance,Forge,Protection,Strength,Forge,Horizon Walker,Noble Genie,Glory,Land,Heroism,Clockwork Soul,Eldritch Knight,Arcane Trickster,Divine Soul,Favored Soul,Favored Soul v3</t>
  </si>
  <si>
    <t>Remove Curse</t>
  </si>
  <si>
    <t>At your touch, all curses affecting one creature or object end. If the object is a cursed magic item, its curse remains, but the spell breaks its owner's attunement to the object so it can be removed or discarded.</t>
  </si>
  <si>
    <t>Revivify</t>
  </si>
  <si>
    <t>({'text': 'diamonds worth 300 gp, which the spell consumes', 'cost': 30000, 'consume': True})</t>
  </si>
  <si>
    <t>You touch a creature that has died within the last minute. That creature returns to life with 1 hit point. This spell can't return to life a creature that has died of old age, nor can it restore any missing body parts.</t>
  </si>
  <si>
    <t>Life,Grave,Celestial,Celestial,Grave,Wildfire,Divine Soul,Favored Soul,Favored Soul v3</t>
  </si>
  <si>
    <t>Druid,Ranger,Druid,Ranger</t>
  </si>
  <si>
    <t>Tiny Servant</t>
  </si>
  <si>
    <t>You touch one Tiny, nonmagical object that isn't attached to another object or a surface and isn't being carried by another creature. The target animates and sprouts little arms and legs, becoming a creature under your control until the spell ends or the creature drops to 0 hit points. See the {@creature tiny servant|xge|stat block} for its statistics.
 As a bonus action, you can mentally command the creature if it is within 120 feet of you. (If you control multiple creatures with this spell, you can command any or all of them at the same time, issuing the same command to each one.) You decide what action the creature will take and where it will move during its next turn, or you can issue a simple, general command, such as to fetch a key, stand watch, or stack some books. If you issue no commands, the servant does nothing other than defend itself against hostile creatures. Once given an order, the servant continues to follow that order until its task is complete.
 When the creature drops to 0 hit points, it reverts to its original form, and any remaining damage carries over to that form.</t>
  </si>
  <si>
    <t>Tongues</t>
  </si>
  <si>
    <t>(a small clay model of a ziggurat)</t>
  </si>
  <si>
    <t>This spell grants the creature you touch the ability to understand any spoken language it hears. Moreover, when the target speaks, any creature that knows at least one language and can hear the target understands what it says.</t>
  </si>
  <si>
    <t>Bard,Cleric,Sorcerer,Warlock,Wizard</t>
  </si>
  <si>
    <t>Archivist,Eldritch Knight,Arcane Trickster,Divine Soul,Favored Soul,Favored Soul v3</t>
  </si>
  <si>
    <t>Sending</t>
  </si>
  <si>
    <t>unlimited</t>
  </si>
  <si>
    <t>(a short piece of fine copper wire)</t>
  </si>
  <si>
    <t>You send a short message of twenty-five words or less to a creature with which you are familiar. The creature hears the message in its mind, recognizes you as the sender if it knows you, and can answer in a like manner immediately. The spell enables creatures with Intelligence scores of at least 1 to understand the meaning of your message.
 You can send the message across any distance and even to other planes of existence, but if the target is on a different plane than you, there is a {@chance 5|5 percent} chance that the message doesn't arrive.</t>
  </si>
  <si>
    <t>Great Old One,Seeker,Aberrant Mind,Unity,Peace,Aberrant Mind,Eldritch Knight,Arcane Trickster,Divine Soul,Favored Soul,Favored Soul v3</t>
  </si>
  <si>
    <t>Fabricate</t>
  </si>
  <si>
    <t>You convert raw materials into products of the same material. For example, you can fabricate a wooden bridge from a clump of trees, a rope from a patch of hemp, and clothes from flax or wool.
 Choose raw materials that you can see within range. You can fabricate a Large or smaller object (contained within a 10-foot cube, or eight connected 5-foot cubes), given a sufficient quantity of raw material. If you are working with metal, stone, or another mineral substance, however, the fabricated object can be no larger than Medium (contained within a single 5-foot cube). The quality of objects made by the spell is commensurate with the quality of the raw materials.
 Creatures or magic items can't be created or transmuted by this spell. You also can't use it to create items that ordinarily require a high degree of craftsmanship, such as jewelry, weapons, glass, or armor, unless you have proficiency with the type of artisan's tools used to craft such objects.</t>
  </si>
  <si>
    <t>Forge,Forge,Eldritch Knight,Arcane Trickster</t>
  </si>
  <si>
    <t>Gravity Sinkhole</t>
  </si>
  <si>
    <t>(a black marble)</t>
  </si>
  <si>
    <t>A 20-foot-radius sphere of crushing force forms at a point you can see within range and tugs at the creatures there. Each creature in the sphere must make a Constitution saving throw. On a failed save, the creature takes {@damage 5d10} force damage and is pulled in a straight line toward the center of the sphere, ending in an unoccupied space as close to the center as possible (even if that space is in the air). On a successful save, the creature takes half as much damage and isn't pulled.</t>
  </si>
  <si>
    <t>Mordenkainen's Private Sanctum</t>
  </si>
  <si>
    <t>(a thin sheet of lead, a piece of opaque glass, a wad of cotton or cloth, and powdered chrysolite)</t>
  </si>
  <si>
    <t>You make an area within range magically secure. The area is a cube that can be as small as 5 feet to as large as 100 feet on each side. The spell lasts for the duration or until you use an action to dismiss it.
 When you cast the spell, you decide what sort of security the spell provides, choosing any or all of the following properties:
 Sound can't pass through the barrier at the edge of the warded area.
 The barrier of the warded area appears dark and foggy, preventing vision (including {@sense darkvision}) through it.
 Sensors created by divination spells can't appear inside the protected area or pass through the barrier at its perimeter.
 Creatures in the area can't be targeted by divination spells.
 Nothing can teleport into or out of the warded area.
 Planar travel is blocked within the warded area.Casting this spell on the same spot every day for a year makes this effect permanent.</t>
  </si>
  <si>
    <t>You tap into the nightmares of a creature you can see within range and create an illusory manifestation of its deepest fears, visible only to that creature. The target must make a Wisdom saving throw. On a failed save, the target becomes {@condition frightened} for the duration. At the end of each of the target's turns before the spell ends, the target must succeed on a Wisdom saving throw or take {@damage 4d10} psychic damage. On a successful save, the spell ends.</t>
  </si>
  <si>
    <t>Hexblade,Hexblade,Archivist,Noble Genie,Genie,Eldritch Knight,Arcane Trickster</t>
  </si>
  <si>
    <t>Sickening Radiance</t>
  </si>
  <si>
    <t>Dim, greenish light spreads within a 30-foot-radius sphere centered on a point you choose within range. The light spreads around corners, and it lasts until the spell ends.
 When a creature moves into the spell's area for the first time on a turn or starts its turn there, that creature must succeed on a Constitution saving throw or take {@damage 4d10} radiant damage, and it suffers one level of {@condition exhaustion} and emits a dim, greenish light in a 5-foot radius. This light makes it impossible for the creature to benefit from being {@condition invisible}. The light and any levels of {@condition exhaustion} caused by this spell go away when the spell ends.</t>
  </si>
  <si>
    <t>(a small piece of phosphorus)</t>
  </si>
  <si>
    <t>You create a wall of fire on a solid surface within range. You can make the wall up to 60 feet long, 20 feet high, and 1 foot thick, or a ringed wall up to 20 feet in diameter, 20 feet high, and 1 foot thick. The wall is opaque and lasts for the duration.
 When the wall appears, each creature within its area must make a Dexterity saving throw. On a failed save, a creature takes {@damage 5d8} fire damage, or half as much damage on a successful save.
 One side of the wall, selected by you when you cast this spell, deals {@damage 5d8} fire damage to each creature that ends its turn within 10 feet of that side or inside the wall. A creature takes the same damage when it enters the wall for the first time on a turn or ends its turn there. The other side of the wall deals no damage.</t>
  </si>
  <si>
    <t>Light,Fiend,Forge,Celestial,Celestial,Forge,Artillerist,Artillerist,Four Elements,Eldritch Knight,Arcane Trickster</t>
  </si>
  <si>
    <t>Boros Legionnaire,Rakdos Cultist</t>
  </si>
  <si>
    <t>Storm Sphere</t>
  </si>
  <si>
    <t>A 20-foot-radius sphere of whirling air springs into existence, centered on a point you choose within range. The sphere remains for the spell's duration. Each creature in the sphere when it appears or that ends its turn there must succeed on a Strength saving throw or take {@damage 2d6} bludgeoning damage. The sphere's space is difficult terrain.
 Until the spell ends, you can use a bonus action on each of your turns to cause a bolt of lightning to leap from the center of the sphere toward one creature you choose within 60 feet of the center. Make a ranged spell attack. You have advantage on the attack roll if the target is in the sphere. On a hit, the target takes {@damage 4d6} lightning damage.
 Creatures within 30 feet of the sphere have disadvantage on Wisdom ({@skill Perception}) checks made to listen.</t>
  </si>
  <si>
    <t>Vitriolic Sphere</t>
  </si>
  <si>
    <t>(a drop of giant slug bile)</t>
  </si>
  <si>
    <t>You point at a location within range, and a glowing 1-foot-diameter ball of emerald acid streaks there and explodes in a 20-foot-radius sphere. Each creature in that area must make a Dexterity saving throw. On a failed save, a creature takes {@damage 10d4} acid damage and another {@damage 5d4} acid damage at the end of its next turn. On a successful save, a creature takes half the initial damage and no damage at the end of its next turn.</t>
  </si>
  <si>
    <t>Arcane Eye</t>
  </si>
  <si>
    <t>(a bit of bat fur)</t>
  </si>
  <si>
    <t>You create an invisible, magical eye within range that hovers in the air for the duration.
 You mentally receive visual information from the eye, which has normal vision and {@sense darkvision} out to 30 feet. The eye can look in every direction.
 As an action, you can move the eye up to 30 feet in any direction. There is no limit to how far away from you the eye can move, but it can't enter another plane of existence. A solid barrier blocks the eye's movement, but the eye can pass through an opening as small as 1 inch in diameter.</t>
  </si>
  <si>
    <t>Arcana,Knowledge,Knowledge,Seeker,Clockwork Soul,Swarmkeeper,Eldritch Knight,Arcane Trickster</t>
  </si>
  <si>
    <t>Gnome (Mark of Scribing),Half-Elf (Mark of Detection)</t>
  </si>
  <si>
    <t>Aura of Life</t>
  </si>
  <si>
    <t>Life-preserving energy radiates from you in an aura with a 30-foot radius. Until the spell ends, the aura moves with you, centered on you. Each nonhostile creature in the aura (including you) has resistance to necrotic damage, and its hit point maximum can't be reduced. In addition, a nonhostile, living creature regains 1 hit point when it starts its turn in the aura with 0 hit points.</t>
  </si>
  <si>
    <t>Undying,Solidarity,Twilight,Wildfire,Undead,Twilight,Wildfire</t>
  </si>
  <si>
    <t>Cleric,Cleric</t>
  </si>
  <si>
    <t>Halfling (Mark of Healing),Human (Mark of Handling)</t>
  </si>
  <si>
    <t>Aura of Purity</t>
  </si>
  <si>
    <t>Purifying energy radiates from you in an aura with a 30-foot radius. Until the spell ends, the aura moves with you, centered on you. Each nonhostile creature in the aura (including you) can't become diseased, has resistance to poison damage, and has advantage on saving throws against effects that cause any of the following conditions: {@condition blinded}, {@condition charmed}, {@condition deafened}, {@condition frightened}, {@condition paralyzed}, {@condition poisoned}, and {@condition stunned}.</t>
  </si>
  <si>
    <t>Battle Smith,Battle Smith,Unity,Love,Watchers,Peace,Watchers</t>
  </si>
  <si>
    <t>Halfling (Mark of Healing),Halfling (Mark of Hospitality)</t>
  </si>
  <si>
    <t>Necromantic energy washes over a creature of your choice that you can see within range, draining moisture and vitality from it. The target must make a Constitution saving throw. The target takes {@damage 8d8} necrotic damage on a failed save, or half as much damage on a successful one. This spell has no effect on undead or constructs.
 If you target a plant creature or a magical plant, it makes the saving throw with disadvantage, and the spell deals maximum damage to it.
 If you target a nonmagical plant that isn't a creature, such as a tree or shrub, it doesn't make a saving throw, it simply withers and dies.</t>
  </si>
  <si>
    <t>Death,Grave,Grave,Land,Oathbreaker,Conquest,Alchemist,Spores,Spores,Alchemist,Land,Eldritch Knight,Arcane Trickster</t>
  </si>
  <si>
    <t>Charm Monster</t>
  </si>
  <si>
    <t>You attempt to charm a creature you can see within range. It must make a Wisdom saving throw, and it does so with advantage if you or your companions are fighting it. If it fails the saving throw, it is {@condition charmed} by you until the spell ends or until you or your companions do anything harmful to it. The {@condition charmed} creature is friendly to you. When the spell ends, the creature knows it was {@condition charmed} by you.</t>
  </si>
  <si>
    <t>Beauty,Eldritch Knight,Arcane Trickster</t>
  </si>
  <si>
    <t>Compulsion</t>
  </si>
  <si>
    <t>Creatures of your choice that you can see within range and that can hear you must make a Wisdom saving throw. A target automatically succeeds on this saving throw if it can't be {@condition charmed}. On a failed save, a target is affected by this spell. Until the spell ends, you can use a bonus action on each of your turns to designate a direction that is horizontal to you. Each affected target must use as much of its movement as possible to move in that direction on its next turn. It can take its action before it moves. After moving in this way, it can make another Wisdom saving throw to try to end the effect.
 A target isn't compelled to move into an obviously deadly hazard, such as a fire or pit, but it will provoke opportunity attacks to move in the designated direction.</t>
  </si>
  <si>
    <t>Order,Order,Aberrant Mind,Glory,Heroism</t>
  </si>
  <si>
    <t>Find Greater Steed</t>
  </si>
  <si>
    <t>You summon a spirit that assumes the form of a loyal, majestic mount. Appearing in an unoccupied space within range, the spirit takes on a form you choose: a {@creature griffon}, a {@creature pegasus}, a {@creature peryton}, a {@creature dire wolf}, a {@creature rhinoceros}, or a {@creature saber-toothed tiger}. The creature has the statistics provided in the Monster Manual for the chosen form, though it is a celestial, a fey, or a fiend (your choice) instead of its normal creature type. Additionally, if it has an Intelligence score of 5 or lower, its Intelligence becomes 6, and it gains the ability to understand one language of your choice that you speak.
 You control the mount in combat. While the mount is within 1 mile of you, you can communicate with it telepathically. While mounted on it, you can make any spell you cast that targets only you also target the mount.
 The mount disappears temporarily when it drops to 0 hit points or when you dismiss it as an action. Casting this spell again re-summons the bonded mount, with all its hit points restored and any conditions removed.
 You can't have more than one mount bonded by this spell or {@spell find steed} at the same time. As an action, you can release a mount from its bond, causing it to disappear permanently.
 Whenever the mount disappears, it leaves behind any objects it was wearing or carrying.</t>
  </si>
  <si>
    <t>You transform up to ten centipedes, three spiders, five wasps, or one scorpion within range into giant versions of their natural forms for the duration. A centipede becomes a {@creature giant centipede}, a spider becomes a {@creature giant spider}, a wasp becomes a {@creature giant wasp}, and a scorpion becomes a {@creature giant scorpion}.
 Each creature obeys your verbal commands, and in combat, they act on your turn each round. The DM has the statistics for these creatures and resolves their actions and movement.
 A creature remains in its giant size for the duration, until it drops to 0 hit points, or until you use an action to dismiss the effect on it.
 The DM might allow you to choose different targets. For example, if you transform a bee, its giant version might have the same statistics as a {@creature giant wasp}.</t>
  </si>
  <si>
    <t>Primeval Guardian,Primeval Guardian,Swarmkeeper,Swarmkeeper</t>
  </si>
  <si>
    <t>Grasping Vine</t>
  </si>
  <si>
    <t>You conjure a vine that sprouts from the ground in an unoccupied space of your choice that you can see within range. When you cast this spell, you can direct the vine to lash out at a creature within 30 feet of it that you can see. That creature must succeed on a Dexterity saving throw or be pulled 20 feet directly toward the vine.
 Until the spell ends, you can direct the vine to lash out at the same creature or another one as a bonus action on each of your turns.</t>
  </si>
  <si>
    <t>Guardian of Faith</t>
  </si>
  <si>
    <t>A Large spectral guardian appears and hovers for the duration in an unoccupied space of your choice that you can see within range. The guardian occupies that space and is indistinct except for a gleaming sword and shield emblazoned with the symbol of your deity.
 Any creature hostile to you that moves to a space within 10 feet of the guardian for the first time on a turn must succeed on a Dexterity saving throw. The creature takes 20 radiant damage on a failed save, or half as much damage on a successful one. The guardian vanishes when it has dealt a total of 60 damage.</t>
  </si>
  <si>
    <t>Life,Light,Crown,Devotion,Protection,Solidarity,Celestial,Celestial,Unity,Divine Soul,Favored Soul,Favored Soul v3</t>
  </si>
  <si>
    <t>Mordenkainen's Faithful Hound</t>
  </si>
  <si>
    <t>(a tiny silver whistle, a piece of bone, and a thread)</t>
  </si>
  <si>
    <t>You conjure a phantom watchdog in an unoccupied space that you can see within range, where it remains for the duration, until you dismiss it as an action, or until you move more than 100 feet away from it.
 The hound is {@condition invisible} to all creatures except you and can't be harmed. When a Small or larger creature comes within 30 feet of it without first speaking the password that you specify when you cast this spell, the hound starts barking loudly. The hound sees {@condition invisible} creatures and can see into the Ethereal Plane. It ignores illusions.
 At the start of each of your turns, the hound attempts to bite one creature within 5 feet of it that is hostile to you. The hound's attack bonus is equal to your spellcasting ability modifier + your proficiency bonus. On a hit, it deals {@damage 4d8} piercing damage.</t>
  </si>
  <si>
    <t>Otiluke's Resilient Sphere</t>
  </si>
  <si>
    <t>(a hemispherical piece of clear crystal and a matching hemispherical piece of gum arabic)</t>
  </si>
  <si>
    <t>A sphere of shimmering force encloses a creature or object of Large size or smaller within range. An unwilling creature must make a Dexterity saving throw. On a failed save, the creature is enclosed for the duration.
 NothingÃ¢â‚¬â€_x009d_not physical objects, energy, or other spell effectsÃ¢â‚¬â€_x009d_can pass through the barrier, in or out, though a creature in the sphere can breathe there. The sphere is immune to all damage, and a creature or object inside can't be damaged by attacks or effects originating from outside, nor can a creature inside the sphere damage anything outside it.
 The sphere is weightless and just large enough to contain the creature or object inside. An enclosed creature can use its action to push against the sphere's walls and thus roll the sphere at up to half the creature's speed. Similarly, the globe can be picked up and moved by other creatures.
 A {@spell disintegrate} spell targeting the globe destroys it without harming anything inside it.</t>
  </si>
  <si>
    <t>Protection,Redemption,Redemption,Clockwork Soul,Eldritch Knight,Arcane Trickster</t>
  </si>
  <si>
    <t>Control Water</t>
  </si>
  <si>
    <t>(a drop of water and a pinch of dust)</t>
  </si>
  <si>
    <t>Until the spell ends, you control any freestanding water inside an area you choose that is a cube up to 100 feet on a side. You can choose from any of the following effects when you cast this spell. As an action on your turn, you can repeat the same effect or choose a different one.
 FloodYou cause the water level of all standing water in the area to rise by as much as 20 feet. If the area includes a shore, the flooding water spills over onto dry land.
 If you choose an area in a large body of water, you instead create a 20-foot tall wave that travels from one side of the area to the other and then crashes down. Any Huge or smaller vehicles in the wave's path are carried with it to the other side. Any Huge or smaller vehicles struck by the wave have a {@chance 25|25 percent} chance of capsizing.
 The water level remains elevated until the spell ends or you choose a different effect. If this effect produced a wave, the wave repeats on the start of your next turn while the flood effect lasts.
 Part WaterYou cause water in the area to move apart and create a trench. The trench extends across the spell's area, and the separated water forms a wall to either side. The trench remains until the spell ends or you choose a different effect. The water then slowly fills in the trench over the course of the next round until the normal water level is restored.
 Redirect FlowYou cause flowing water in the area to move in a direction you choose, even if the water has to flow over obstacles, up walls, or in other unlikely directions. The water in the area moves as you direct it, but once it moves beyond the spell's area, it resumes its flow based on the terrain conditions. The water continues to move in the direction you chose until the spell ends or you choose a different effect.
 WhirlpoolThis effect requires a body of water at least 50 feet square and 25 feet deep. You cause a whirlpool to form in the center of the area. The whirlpool forms a vortex that is 5 feet wide at the base, up to 50 feet wide at the top, and 25 feet tall. Any creature or object in the water and within 25 feet of the vortex is pulled 10 feet toward it. A creature can swim away from the vortex by making a Strength ({@skill Athletics}) check against your spell save DC.
 When a creature enters the vortex for the first time on a turn or starts its turn there, it must make a Strength saving throw. On a failed save, the creature takes {@damage 2d8} bludgeoning damage and is caught in the vortex until the spell ends. On a successful save, the creature takes half damage, and isn't caught in the vortex. A creature caught in the vortex can use its action to try to swim away from the vortex as described above, but has disadvantage on the Strength ({@skill Athletics}) check to do so.
 The first time each turn that an object enters the vortex, the object takes {@damage 2d8} bludgeoning damage; this damage occurs each round it remains in the vortex.</t>
  </si>
  <si>
    <t>Cleric,Druid,Wizard</t>
  </si>
  <si>
    <t>Tempest,Land,Lurker in the Deep,Genie,Land,Fathomless,Eldritch Knight,Arcane Trickster,Divine Soul,Favored Soul,Favored Soul v3</t>
  </si>
  <si>
    <t>Hallucinatory Terrain</t>
  </si>
  <si>
    <t>(a stone, a twig, and a bit of green plant)</t>
  </si>
  <si>
    <t>You make natural terrain in a 150-foot cube in range look, sound, and smell like some other sort of natural terrain. Thus, open fields or a road can be made to resemble a swamp, hill, crevasse, or some other difficult or impassable terrain. A pond can be made to seem like a grassy meadow, a precipice like a gentle slope, or a rock-strewn gully like a wide and smooth road. Manufactured structures, equipment, and creatures within the area aren't changed in appearance.
 The tactile characteristics of the terrain are unchanged, so creatures entering the area are likely to see through the illusion. If the difference isn't obvious by touch, a creature carefully examining the illusion can attempt an Intelligence ({@skill Investigation}) check against your spell save DC to disbelieve it. A creature who discerns the illusion for what it is, sees it as a vague image superimposed on the terrain.</t>
  </si>
  <si>
    <t>Bard,Druid,Warlock,Wizard</t>
  </si>
  <si>
    <t>A hail of rock-hard ice pounds to the ground in a 20-foot-radius, 40-foot-high cylinder centered on a point within range. Each creature in the cylinder must make a Dexterity saving throw. A creature takes {@damage 2d8} bludgeoning damage and {@damage 4d6} cold damage on a failed save, or half as much damage on a successful one.
 Hailstones turn the storm's area of effect into difficult terrain until the end of your next turn.</t>
  </si>
  <si>
    <t>Tempest,Land,Ancients,Raven Queen,Artillerist,Artillerist,Land,Storm,Eldritch Knight,Arcane Trickster</t>
  </si>
  <si>
    <t>Dimension Door</t>
  </si>
  <si>
    <t>500 feet</t>
  </si>
  <si>
    <t>You teleport yourself from your current location to any other spot within range. You arrive at exactly the spot desired. It can be a place you can see, one you can visualize, or one you can describe by stating distance and direction, such as "200 feet straight downward" or "upward to the northwest at a 45-degree angle, 300 feet."
 You can bring along objects as long as their weight doesn't exceed what you can carry. You can also bring one willing creature of your size or smaller who is carrying gear up to its carrying capacity. The creature must be within 5 feet of you when you cast this spell.
 If you would arrive in a place already occupied by an object or a creature, you and any creature traveling with you each take {@damage 4d6} force damage, and the spell fails to teleport you.</t>
  </si>
  <si>
    <t>Trickery,Vengeance,Ambition,Fey Wanderer,Lolth,Eldritch Knight,Arcane Trickster</t>
  </si>
  <si>
    <t>(an item distasteful to the target)</t>
  </si>
  <si>
    <t>You attempt to send one creature that you can see within range to another plane of existence. The target must succeed on a Charisma saving throw or be banished.
 If the target is native to the plane of existence you're on, you banish the target to a harmless demiplane. While there, the target is {@condition incapacitated}. The target remains there until the spell ends, at which point the target reappears in the space it left or in the nearest unoccupied space if that space is occupied.
 If the target is native to a different plane of existence than the one you're on, the target is banished with a faint popping noise, returning to its home plane. If the spell ends before 1 minute has passed, the target reappears in the space it left or in the nearest unoccupied space if that space is occupied. Otherwise, the target doesn't return.</t>
  </si>
  <si>
    <t>Cleric,Paladin,Sorcerer,Warlock,Wizard</t>
  </si>
  <si>
    <t>Crown,Vengeance,Horizon Walker,Monster Slayer,Fey Wanderer,Watchers,Eldritch Knight,Arcane Trickster,Divine Soul,Favored Soul,Favored Soul v3</t>
  </si>
  <si>
    <t>Conjure Woodland Beings</t>
  </si>
  <si>
    <t>(one holly berry per creature summoned)</t>
  </si>
  <si>
    <t>You summon fey creatures that appear in unoccupied spaces that you can see within range. Choose one of the following options for what appears:
 One {@filter fey creature of challenge rating 2 or lower|bestiary|challenge rating=[&amp;0;&amp;2]|type=fey|miscellaneous=!swarm}
 Two {@filter fey creatures of challenge rating 1 or lower|bestiary|challenge rating=[&amp;0;&amp;1]|type=fey|miscellaneous=!swarm}
 Four {@filter fey creatures of challenge rating 1/2 or lower|bestiary|challenge rating=[&amp;0;&amp;1/2]|type=fey|miscellaneous=!swarm}
 Eight {@filter fey creatures of challenge rating 1/4 or lower|bestiary|challenge rating=[&amp;0;&amp;1/4]|type=fey|miscellaneous=!swarm}A summoned creature disappears when it drops to 0 hit points or when the spell ends.
 The summoned creatures are friendly to you and your companions. Roll initiative for the summoned creatures as a group, which have their own turns. They obey any verbal commands that you issue to them (no action required by you). If you don't issue any commands to them, they defend themselves from hostile creatures, but otherwise take no actions.
 The DM has the creatures' statistics.</t>
  </si>
  <si>
    <t>Dominate Beast</t>
  </si>
  <si>
    <t>You attempt to beguile a beast that you can see within range. It must succeed on a Wisdom saving throw or be {@condition charmed} by you for the duration. If you or creatures that are friendly to you are fighting it, it has advantage on the saving throw.
 While the beast is {@condition charmed}, you have a telepathic link with it as long as the two of you are on the same plane of existence. You can use this telepathic link to issue commands to the creature while you are conscious (no action required), which it does its best to obey. You can specify a simple and general course of action, such as "Attack that creature," "Run over there," or "Fetch that object." If the creature completes the order and doesn't receive further direction from you, it defends and preserves itself to the best of its ability.
 You can use your action to take total and precise control of the target. Until the end of your next turn, the creature takes only the actions you choose, and doesn't do anything that you don't allow it to do. During this time, you can also cause the creature to use a reaction, but this requires you to use your own reaction as well.
 Each time the target takes damage, it makes a new Wisdom saving throw against the spell. If the saving throw succeeds, the spell ends.</t>
  </si>
  <si>
    <t>Druid,Sorcerer</t>
  </si>
  <si>
    <t>Nature,Archfey,Great Old One,Conquest,Conquest,Conquest,Strength</t>
  </si>
  <si>
    <t>Polymorph</t>
  </si>
  <si>
    <t>(a caterpillar cocoon)</t>
  </si>
  <si>
    <t>This spell transforms a creature that you can see within range into a new form. An unwilling creature must make a Wisdom saving throw to avoid the effect. The spell has no effect on a shapechanger or a creature with 0 hit points.
 The transformation lasts for the duration, or until the target drops to 0 hit points or dies. The new form can be {@filter any beast|bestiary|type=beast|miscellaneous=!swarm} whose challenge rating is equal to or less than the target's (or the target's level, if it doesn't have a challenge rating). The target's game statistics, including mental ability scores, are replaced by the statistics of the chosen beast. It retains its alignment and personality.
 The target assumes the hit points of its new form. When it reverts to its normal form, the creature returns to the number of hit points it had before it transformed. If it reverts as a result of dropping to 0 hit points, any excess damage carries over to its normal form. As long as the excess damage doesn't reduce the creature's normal form to 0 hit points, it isn't knocked unconscious.
 The creature is limited in the actions it can perform by the nature of its new form, and it can't speak, cast spells, or take any other action that requires hands or speech.
 The target's gear melds into the new form. The creature can't activate, use, wield, or otherwise benefit from any of its equipment.</t>
  </si>
  <si>
    <t>Trickery,Noble Genie,Eldritch Knight,Arcane Trickster</t>
  </si>
  <si>
    <t>Summon Greater Demon</t>
  </si>
  <si>
    <t>You utter foul words, summoning one demon from the chaos of the Abyss. You choose the demon's type, which must be {@filter one of challenge rating 5 or lower|bestiary|challenge rating=[&amp;0;&amp;5]|tag=demon|miscellaneous=!swarm}, such as a {@creature shadow demon} or a {@creature barlgura}. The demon appears in an unoccupied space you can see within range, and the demon disappears when it drops to 0 hit points or when the spell ends.
 Roll initiative for the demon, which has its own turns. When you summon it and on each of your turns thereafter, you can issue a verbal command to it (requiring no action on your part), telling it what it must do on its next turn. If you issue no command, it spends its turn attacking any creature within reach that has attacked it.
 At the end of each of the demon's turns, it makes a Charisma saving throw. The demon has disadvantage on this saving throw if you say its true name. On a failed save, the demon continues to obey you. On a successful save, your control of the demon ends for the rest of the duration, and the demon spends its turns pursuing and attacking the nearest non-demons to the best of its ability. If you stop concentrating on the spell before it reaches its full duration, an uncontrolled demon doesn't disappear for {@dice 1d6} rounds if it still has hit points.
 As part of casting the spell, you can form a circle on the ground with the blood used as a material component. The circle is large enough to encompass your space. While the spell lasts, the summoned demon can't cross the circle or harm it, and it can't target anyone within it. Using the material component in this manner consumes it when the spell ends.</t>
  </si>
  <si>
    <t>(three nut shells)</t>
  </si>
  <si>
    <t>This spell assaults and twists creatures' minds, spawning delusions and provoking uncontrolled action. Each creature in a 10-foot-radius sphere centered on a point you choose within range must succeed on a Wisdom saving throw when you cast this spell or be affected by it.
 An affected target can't take reactions and must roll a {@dice d10} at the start of each of its turns to determine its behavior for that turn.
 At the end of each of its turns, an affected target can make a Wisdom saving throw. If it succeeds, this effect ends for that target.</t>
  </si>
  <si>
    <t>Knowledge,Oathbreaker,Treachery,Spores,Love,Eldritch Knight,Arcane Trickster</t>
  </si>
  <si>
    <t>Conjure Minor Elementals</t>
  </si>
  <si>
    <t>You summon elementals that appear in unoccupied spaces that you can see within range. You choose one the following options for what appears:
 One {@filter elemental of challenge rating 2 or lower|bestiary|challenge rating=[&amp;0;&amp;2]|type=elemental|miscellaneous=!swarm}
 Two {@filter elementals of challenge rating 1 or lower|bestiary|challenge rating=[&amp;0;&amp;1]|type=elemental|miscellaneous=!swarm}
 Four {@filter elementals of challenge rating 1/2 or lower|bestiary|challenge rating=[&amp;0;&amp;1/2]|type=elemental|miscellaneous=!swarm}
 Eight {@filter elementals of challenge rating 1/4 or lower|bestiary|challenge rating=[&amp;0;&amp;1/4]|type=elemental|miscellaneous=!swarm}.An elemental summoned by this spell disappears when it drops to 0 hit points or when the spell ends.
 The summoned creatures are friendly to you and your companions. Roll initiative for the summoned creatures as a group, which has its own turns. They obey any verbal commands that you issue to them (no action required by you). If you don't issue any commands to them, they defend themselves from hostile creatures, but otherwise take no actions.
 The DM has the creatures' statistics.</t>
  </si>
  <si>
    <t>Storm,Eldritch Knight,Arcane Trickster</t>
  </si>
  <si>
    <t>Izzet Engineer,Selesnya Initiate</t>
  </si>
  <si>
    <t>Elemental Bane</t>
  </si>
  <si>
    <t>Choose one creature you can see within range, and choose one of the following damage types: acid, cold, fire, lightning, or thunder. The target must succeed on a Constitution saving throw or be affected by the spell for its duration. The first time each turn the affected target takes damage of the chosen type, the target takes an extra {@damage 2d6} damage of that type. Moreover, the target loses any resistance to that damage type until the spell ends.</t>
  </si>
  <si>
    <t>Druid,Warlock,Wizard,Artificer,Artificer</t>
  </si>
  <si>
    <t>(a piece of tentacle from a giant octopus or a giant squid)</t>
  </si>
  <si>
    <t>Squirming, ebony tentacles fill a 20-foot square on ground that you can see within range. For the duration, these tentacles turn the ground in the area into difficult terrain.
 When a creature enters the affected area for the first time on a turn or starts its turn there, the creature must succeed on a Dexterity saving throw or take {@damage 3d6} bludgeoning damage and be {@condition restrained} by the tentacles until the spell ends. A creature that starts its turn in the area and is already {@condition restrained} by the tentacles takes {@damage 3d6} bludgeoning damage.
 A creature {@condition restrained} by the tentacles can use its action to make a Strength or Dexterity check (its choice) against your spell save DC. On a success, it frees itself.</t>
  </si>
  <si>
    <t>Great Old One,Aberrant Mind,Lurker in the Deep,Aberrant Mind,Fathomless,Eldritch Knight,Arcane Trickster</t>
  </si>
  <si>
    <t>Summon Aberration</t>
  </si>
  <si>
    <t>({'text': 'a pickled tentacle and an eyeball in a platinum-inlaid vial worth at least 400 gp', 'cost': 40000})</t>
  </si>
  <si>
    <t>You call forth an aberrant spirit. It manifests in an unoccupied space that you can see within range. This corporeal form uses the {@creature Aberrant Spirit|TCE} stat block. When you cast the spell, choose Beholderkin, Slaad, or Star Spawn. The creature resembles an aberration of that kind, which determines certain traits in its stat block. The creature disappears when it drops to 0 hit points or when the spell ends.
 The creature is an ally to you and your companions. In combat, the creature shares your initiative count, but it takes its turn immediately after yours. It obeys your verbal commands (no action required by you). If you don't issue any, it takes the {@action Dodge} action and uses its move to avoid danger.</t>
  </si>
  <si>
    <t>Summon Construct</t>
  </si>
  <si>
    <t>({'text': 'an ornate stone and metal lockbox worth at least 400 gp', 'cost': 40000})</t>
  </si>
  <si>
    <t>You call forth the spirit of a construct. It manifests in an unoccupied space that you can see within range. This corporeal form uses the {@creature Construct Spirit|TCE} stat block. When you cast the spell, choose a material: Clay, Metal, or Stone. The creature resembles a golem or a modron (your choice) made of the chosen material, which determines certain traits in its stat block. The creature disappears when it drops to 0 hit points or when the spell ends.
 The creature is an ally to you and your companions. In combat, the creature shares your initiative count, but it takes its turn immediately after yours. It obeys your verbal commands (no action required by you). If you don't issue any, it takes the {@action Dodge} action and uses its move to avoid danger.</t>
  </si>
  <si>
    <t>Clockwork Soul</t>
  </si>
  <si>
    <t>Summon Elemental</t>
  </si>
  <si>
    <t>({'text': 'air, a pebble, ash, and water inside a gold-inlaid vial worth at least 400 gp', 'cost': 40000})</t>
  </si>
  <si>
    <t>You call forth an elemental spirit. It manifests in an unoccupied space that you can see within range. This corporeal form uses the {@creature Elemental Spirit|TCE} stat block. When you cast the spell, choose an element: Air, Earth, Fire, or Water. The creature resembles a bipedal form wreathed in the chosen element, which determines certain traits in its stat block. The creature disappears when it drops to 0 hit points or when the spell ends.
 The creature is an ally to you and your companions. In combat, the creature shares your initiative count, but it takes its turn immediately after yours. It obeys your verbal commands (no action required by you). If you don't issue any, it takes the {@action Dodge} action and uses its move to avoid danger.</t>
  </si>
  <si>
    <t>Fathomless</t>
  </si>
  <si>
    <t>Druid,Ranger,Wizard</t>
  </si>
  <si>
    <t>Watery Sphere</t>
  </si>
  <si>
    <t>(a droplet of water)</t>
  </si>
  <si>
    <t>You conjure up a sphere of water with a 5-foot radius at a point you can see within range. The sphere can hover but no more than 10 feet off the ground. The sphere remains for the spell's duration.
 Any creature in the sphere's space must make a Strength saving throw. On a successful save, a creature is ejected from that space to the nearest unoccupied space of the creature's choice outside the sphere. A Huge or larger creature succeeds on the saving throw automatically, and a Large or smaller creature can choose to fail it. On a failed save, a creature is {@condition restrained} by the sphere and is engulfed by the water. At the end of each of its turns, a {@condition restrained} target can repeat the saving throw, ending the effect on itself on a success.
 The sphere can restrain as many as four Medium or smaller creatures or one Large creature. If the sphere restrains a creature that causes it to exceed this capacity, a random creature that was already {@condition restrained} by the sphere falls out of it and lands {@condition prone} in a space within 5 feet of it.
 As an action, you can move the sphere up to 30 feet in a straight line. If it moves over a pit, a cliff, or other drop-off, it safely descends until it is hovering 10 feet above the ground. Any creature {@condition restrained} by the sphere moves with it. You can ram the sphere into creatures, forcing them to make the saving throw.
 When the spell ends, the sphere falls to the ground and extinguishes all normal flames within 30 feet of it. Any creature {@condition restrained} by the sphere is knocked {@condition prone} in the space where it falls. The water then vanishes.</t>
  </si>
  <si>
    <t>({'text': 'incense and a sacrificial offering appropriate to your religion, together worth at least 25 gp, which the spell consumes', 'cost': 2500, 'consume': True})</t>
  </si>
  <si>
    <t>Your magic and an offering put you in contact with a god or a god's servants. You ask a single question concerning a specific goal, event, or activity to occur within 7 days. The DM offers a truthful reply. The reply might be a short phrase, a cryptic rhyme, or an omen.
 The spell doesn't take into account any possible circumstances that might change the outcome, such as the casting of additional spells or the loss or gain of a companion.
 If you cast the spell two or more times before finishing your next long rest, there is a cumulative {@chance 25|25 percent} chance for each casting after the first that you get a random reading. The DM makes this roll in secret.</t>
  </si>
  <si>
    <t>Half-Elf (Mark of Detection),Half-Orc (Mark of Finding),Human (Mark of Finding)</t>
  </si>
  <si>
    <t>Azorius Functionary,Izzet Engineer</t>
  </si>
  <si>
    <t>(a bit of phosphorus or a firefly)</t>
  </si>
  <si>
    <t>Thin and wispy flames wreathe your body for the duration, shedding bright light in a 10-foot radius and dim light for an additional 10 feet. You can end the spell early by using an action to dismiss it.
 The flames provide you with a warm shield or a chill shield, as you choose. The warm shield grants you resistance to cold damage, and the chill shield grants you resistance to fire damage.
 In addition, whenever a creature within 5 feet of you hits you with a melee attack, the shield erupts with flame. The attacker takes {@damage 2d8} fire damage from a warm shield, or {@damage 2d8} cold damage from a cold shield.</t>
  </si>
  <si>
    <t>Fiend,Undying Light,Zeal,Wildfire,Battle Smith,Armorer,Genie,Armorer,Eldritch Knight,Arcane Trickster</t>
  </si>
  <si>
    <t>Druid,Sorcerer,Druid,Sorcerer</t>
  </si>
  <si>
    <t>Guardian of Nature</t>
  </si>
  <si>
    <t>A nature spirit answers your call and transforms you into a powerful guardian. The transformation lasts until the spell ends. You choose one of the following forms to assume: Primal Beast or Great Tree.
 Primal BeastBestial fur covers your body, your facial features become feral, and you gain the following benefits:
 Your walking speed increases by 10 feet.
 You gain {@sense darkvision} with a range of 120 feet.
 You make Strength-based attack rolls with advantage.
 Your melee weapon attacks deal an extra {@damage 1d6} force damage on a hit.Great TreeYour skin appears barky, leaves sprout from your hair, and you gain the following benefits:
 You gain 10 temporary hit points.
 You make Constitution saving throws with advantage.
 You make Dexterity- and Wisdom-based attack rolls with advantage.
 While you are on the ground, the ground within 15 feet of you is difficult terrain for your enemies.</t>
  </si>
  <si>
    <t>Locate Creature</t>
  </si>
  <si>
    <t>Describe or name a creature that is familiar to you. You sense the direction to the creature's location, as long as that creature is within 1,000 feet of you. If the creature is moving, you know the direction of its movement.
 The spell can locate a specific creature known to you, or the nearest creature of a specific kind (such as a human or a {@creature unicorn}), so long as you have seen such a creature up closeÃ¢â‚¬â€_x009d_within 30 feetÃ¢â‚¬â€_x009d_at least once. If the creature you described or named is in a different form, such as being under the effects of a {@spell polymorph} spell, this spell doesn't locate the creature.
 This spell can't locate a creature if running water at least 10 feet wide blocks a direct path between you and the creature.</t>
  </si>
  <si>
    <t>Land,City,Raven Queen,Seeker,Order,Order,Archivist,Land,Divine Soul,Favored Soul,Favored Soul v3</t>
  </si>
  <si>
    <t>Shadow of Moil</t>
  </si>
  <si>
    <t>({'text': 'an undead eyeball encased in a gem worth at least 150 gp', 'cost': 15000})</t>
  </si>
  <si>
    <t>Flame-like shadows wreathe your body until the spell ends, causing you to become heavily obscured to others. The shadows turn dim light within 10 feet of you into darkness, and bright light in the same area to dim light.
 Until the spell ends, you have resistance to radiant damage. In addition, whenever a creature within 10 feet of you hits you with an attack, the shadows lash out at that creature, dealing it {@damage 2d8} necrotic damage.</t>
  </si>
  <si>
    <t>Staggering Smite</t>
  </si>
  <si>
    <t>The next time you hit a creature with a melee weapon attack during this spell's duration, your weapon pierces both body and mind, and the attack deals an extra {@damage 4d6} psychic damage to the target. The target must make a Wisdom saving throw. On a failed save, it has disadvantage on attack rolls and ability checks, and can't take reactions, until the end of its next turn.</t>
  </si>
  <si>
    <t>Hexblade,Hexblade,Stone,Battle Smith</t>
  </si>
  <si>
    <t>Death Ward</t>
  </si>
  <si>
    <t>You touch a creature and grant it a measure of protection from death.
 The first time the target would drop to 0 hit points as a result of taking damage, the target instead drops to 1 hit point, and the spell ends.
 If the spell is still in effect when the target is subjected to an effect that would kill it instantaneously without dealing damage, that effect is instead negated against the target, and the spell ends.</t>
  </si>
  <si>
    <t>Death,Life,Undying,Grave,Ambition,Grave,Alchemist,Alchemist,Undead,Divine Soul,Favored Soul,Favored Soul v3</t>
  </si>
  <si>
    <t>Boros Legionnaire,Orzhov Representative</t>
  </si>
  <si>
    <t>Freedom of Movement</t>
  </si>
  <si>
    <t>(a leather strap, bound around the arm or a similar appendage)</t>
  </si>
  <si>
    <t>You touch a willing creature. For the duration, the target's movement is unaffected by difficult terrain, and spells and other magical effects can neither reduce the target's speed nor cause the target to be {@condition paralyzed} or {@condition restrained}.
 The target can also spend 5 feet of movement to automatically escape from nonmagical restraints, such as manacles or a creature that has it {@condition grappled}. Finally, being underwater imposes no penalties on the target's movement or attacks.</t>
  </si>
  <si>
    <t>Bard,Cleric,Druid,Ranger,Artificer,Artificer,Artificer</t>
  </si>
  <si>
    <t>War,Land,Land,Land,Land,Land,Devotion,Zeal,Glory,Land,Heroism,Clockwork Soul,Divine Soul,Favored Soul,Favored Soul v3</t>
  </si>
  <si>
    <t>You or a creature you touch becomes {@condition invisible} until the spell ends. Anything the target is wearing or carrying is {@condition invisible} as long as it is on the target's person.</t>
  </si>
  <si>
    <t>Land,Archfey,Treachery,Deep Stalker,Gloom Stalker,Deep Stalker Conclave,Twilight,Armorer,Genie,Undead,Land,Undead,Eldritch Knight,Arcane Trickster</t>
  </si>
  <si>
    <t>Leomund's Secret Chest</t>
  </si>
  <si>
    <t>({'text': 'an exquisite chest, 3 feet by 2 feet by 2 feet, constructed from rare materials worth at least 5,000 gp, and a Tiny replica made from the same materials worth at least 50 gp', 'cost': 500000})</t>
  </si>
  <si>
    <t>You hide a chest, and all its contents, on the Ethereal Plane. You must touch the chest and the miniature replica that serves as a material component for the spell. The chest can contain up to 12 cubic feet of nonliving material (3 feet by 2 feet by 2 feet).
 While the chest remains on the Ethereal Plane, you can use an action and touch the replica to recall the chest. It appears in an unoccupied space on the ground within 5 feet of you. You can send the chest back to the Ethereal Plane by using an action and touching both the chest and the replica.
 After 60 days, there is a cumulative {@chance 5|5 percent} chance per day that the spell's effect ends. This effect ends if you cast this spell again, if the smaller replica chest is destroyed, or if you choose to end the spell as an action. If the spell ends and the larger chest is on the Ethereal Plane, it is irretrievably lost.</t>
  </si>
  <si>
    <t>Stone Shape</t>
  </si>
  <si>
    <t>(soft clay, which must be worked into roughly the desired shape of the stone object)</t>
  </si>
  <si>
    <t>You touch a stone object of Medium size or smaller or a section of stone no more than 5 feet in any dimension and form it into any shape that suits your purpose. So, for example, you could shape a large rock into a weapon, idol, or coffer, or make a small passage through a wall, as long as the wall is less than 5 feet thick. You could also shape a stone door or its frame to seal the door shut. The object you create can have up to two hinges and a latch, but finer mechanical detail isn't possible.</t>
  </si>
  <si>
    <t>Cleric,Druid,Wizard,Artificer,Artificer,Artificer</t>
  </si>
  <si>
    <t>Land,Land,Genie,Land,Genie,Genie,Divine Soul,Favored Soul,Favored Soul v3</t>
  </si>
  <si>
    <t>({'text': 'diamond dust worth 100 gp, which the spell consumes', 'cost': 10000, 'consume': True})</t>
  </si>
  <si>
    <t>This spell turns the flesh of a willing creature you touch as hard as stone. Until the spell ends, the target has resistance to nonmagical bludgeoning, piercing, and slashing damage.</t>
  </si>
  <si>
    <t>War,Land,Ancients,Conquest,Conquest,Redemption,Redemption,Strength,Four Elements,Land,Eldritch Knight,Arcane Trickster</t>
  </si>
  <si>
    <t>Antilife Shell</t>
  </si>
  <si>
    <t>A shimmering barrier extends out from you in a 10-foot radius and moves with you, remaining centered on you and hedging out creatures other than undead and constructs. The barrier lasts for the duration.
 The barrier prevents an affected creature from passing or reaching through. An affected creature can cast spells or make attacks with ranged or reach weapons through the barrier.
 If you move so that an affected creature is forced to pass through the barrier, the spell ends.</t>
  </si>
  <si>
    <t>Death,Protection,Grave,Grave,Undead,Undead</t>
  </si>
  <si>
    <t>({'text': 'rare chalks and inks infused with precious gems worth 50 gp, which the spell consumes', 'cost': 5000, 'consume': True})</t>
  </si>
  <si>
    <t>As you cast the spell, you draw a 10-foot-diameter circle on the ground inscribed with sigils that link your location to a permanent teleportation circle of your choice whose sigil sequence you know and that is on the same plane of existence as you. A shimmering portal opens within the circle you drew and remains open until the end of your next turn. Any creature that enters the portal instantly appears within 5 feet of the destination circle or in the nearest unoccupied space if that space is occupied.
 Many major temples, guilds, and other important places have permanent teleportation circles inscribed somewhere within their confines. Each such circle includes a unique sigil sequenceÃ¢â‚¬â€_x009d_a string of magical runes arranged in a particular pattern. When you first gain the ability to cast this spell, you learn the sigil sequences for two destinations on the Material Plane, determined by the DM. You can learn additional sigil sequences during your adventures. You can commit a new sigil sequence to memory after studying it for 1 minute.
 You can create a permanent teleportation circle by casting this spell in the same location every day for one year. You need not use the circle to teleport when you cast the spell in this way.</t>
  </si>
  <si>
    <t>Arcana,Horizon Walker,Horizon Walker,Horizon Walker,Horizon Walker,Eldritch Knight,Arcane Trickster</t>
  </si>
  <si>
    <t>Warlock,Warlock</t>
  </si>
  <si>
    <t>Animate Objects</t>
  </si>
  <si>
    <t>Objects come to life at your command. Choose up to ten nonmagical objects within range that are not being worn or carried. Medium targets count as two objects, Large targets count as four objects, Huge targets count as eight objects. You can't animate any object larger than Huge. Each target animates and becomes a creature under your control until the spell ends or until reduced to 0 hit points.
 As a bonus action, you can mentally command any creature you made with this spell if the creature is within 500 feet of you (if you control multiple creatures, you can command any or all of them at the same time, issuing the same command to each one). You decide what action the creature will take and where it will move during its next turn, or you can issue a general command, such as to guard a particular chamber or corridor. If you issue no commands, the creature only defends itself against hostile creatures. Once given an order, the creature continues to follow it until its task is complete.
 An animated object is a construct with AC, hit points, attacks, Strength, and Dexterity determined by its size. Its Constitution is 10 and its Intelligence and Wisdom are 3, and its Charisma is 1. Its speed is 30 feet; if the object lacks legs or other appendages it can use for locomotion, it instead has a flying speed of 30 feet and can hover. If the object is securely attached to a surface or a larger object, such as a chain bolted to a wall, its speed is 0. It has blindsight with a radius of 30 feet and is blind beyond that distance. When the animated object drops to 0 hit points, it reverts to its original object form, and any remaining damage carries over to its original object form.
 If you command an object to attack, it can make a single melee attack against a creature within 5 feet of it. It makes a slam attack with an attack bonus and bludgeoning damage determined by its size. The DM might rule that a specific object inflicts slashing or piercing damage based on its form.</t>
  </si>
  <si>
    <t>Forge,Forge,Clockwork Soul,Eldritch Knight,Arcane Trickster</t>
  </si>
  <si>
    <t>Bigby's Hand</t>
  </si>
  <si>
    <t>(an eggshell and a snakeskin glove)</t>
  </si>
  <si>
    <t>You create a Large hand of shimmering, translucent force in an unoccupied space that you can see within range. The hand lasts for the spell's duration, and it moves at your command, mimicking the movements of your own hand.
 The hand is an object that has AC 20 and hit points equal to your hit point maximum. If it drops to 0 hit points, the spell ends. It has a Strength of 26 ({@d20 8}) and a Dexterity of 10 ({@d20 0}). The hand doesn't fill its space.
 When you cast the spell and as a bonus action on your subsequent turns, you can move the hand up to 60 feet and then cause one of the following effects with it.
 Clenched FistThe hand strikes one creature or object within 5 feet of it. Make a melee spell attack for the hand using your game statistics. On a hit, the target takes {@damage 4d8} force damage.
 Forceful HandThe hand attempts to push a creature within 5 feet of it in a direction you choose. Make a check with the hand's Strength contested by the Strength ({@skill Athletics}) check of the target. If the target is Medium or smaller, you have advantage on the check. If you succeed, the hand pushes the target up to 5 feet plus a number of feet equal to five times your spellcasting ability modifier. The hand moves with the target to remain within 5 feet of it.
 Grasping HandThe hand attempts to grapple a Huge or smaller creature within 5 feet of it. You use the hand's Strength score to resolve the grapple. If the target is Medium or smaller, you have advantage on the check. While the hand is grappling the target, you can use a bonus action to have the hand crush it. When you do so, the target takes bludgeoning damage equal to {@damage 2d6} + your spellcasting ability modifier.
 Interposing HandThe hand interposes itself between you and a creature you choose until you give the hand a different command. The hand moves to stay between you and the target, providing you with half cover against the target. The target can't move through the hand's space if its Strength score is less than or equal to the hand's Strength score. If its Strength score is higher than the hand's Strength score, the target can move toward you through the hand's space, but that space is difficult terrain for the target.</t>
  </si>
  <si>
    <t>Noble Genie,Fathomless,Eldritch Knight,Arcane Trickster</t>
  </si>
  <si>
    <t>You create a 20-foot-radius sphere of poisonous, yellow-green fog centered on a point you choose within range. The fog spreads around corners. It lasts for the duration or until strong wind disperses the fog, ending the spell. Its area is heavily obscured.
 When a creature enters the spell's area for the first time on a turn or starts its turn there, that creature must make a Constitution saving throw. The creature takes {@damage 5d8} poison damage on a failed save, or half as much damage on a successful one. Creatures are affected even if they hold their breath or don't need to breathe.
 The fog moves 10 feet away from you at the start of each of your turns, rolling along the surface of the ground. The vapors, being heavier than air, sink to the lowest level of the land, even pouring down openings.</t>
  </si>
  <si>
    <t>Death,Land,Conquest,Conquest,Alchemist,Spores,Spores,Alchemist,Undead,Land,Undead,Eldritch Knight,Arcane Trickster</t>
  </si>
  <si>
    <t>Maelstrom</t>
  </si>
  <si>
    <t>(paper or leaf in the shape of a funnel)</t>
  </si>
  <si>
    <t>A swirling mass of 5-foot-deep water appears in a 30-foot radius centered on a point you can see within range. The point must be on the ground or in a body of water. Until the spell ends, that area is difficult terrain, and any creature that starts its turn there must succeed on a Strength saving throw or take {@damage 6d6} bludgeoning damage and be pulled 10 feet toward the center.</t>
  </si>
  <si>
    <t>Synaptic Static</t>
  </si>
  <si>
    <t>You choose a point within range and cause psychic energy to explode there. Each creature in a 20-foot-radius sphere centered on that point must make an Intelligence saving throw. A creature with an Intelligence score of 2 or lower can't be affected by this spell. A target takes {@damage 8d6} psychic damage on a failed save, or half as much damage on a successful one.
 After a failed save, a target has muddled thoughts for 1 minute. During that time, it rolls a {@dice d6} and subtracts the number rolled from all its attack rolls and ability checks, as well as its Constitution saving throws to maintain concentration. The target can make an Intelligence saving throw at the end of each of its turns, ending the effect on itself on a success.</t>
  </si>
  <si>
    <t>Temporal Shunt</t>
  </si>
  <si>
    <t>You target the triggering creature, which must succeed on a Wisdom saving throw or vanish, being thrown to another point in time and causing the attack to miss or the spell to be wasted. At the start of its next turn, the target reappears where it was or in the closest unoccupied space. The target doesn't remember you casting the spell or being affected by it.</t>
  </si>
  <si>
    <t>Transmute Rock</t>
  </si>
  <si>
    <t>(clay and water)</t>
  </si>
  <si>
    <t>You choose an area of stone or mud that you can see that fits within a 40-foot cube and is within range, and choose one of the following effects.
 Transmute Rock to MudNonmagical rock of any sort in the area becomes an equal volume of thick, flowing mud that remains for the spell's duration.
 The ground in the spell's area becomes muddy enough that creatures can sink into it. Each foot that a creature moves through the mud costs 4 feet of movement, and any creature on the ground when you cast the spell must make a Strength saving throw. A creature must also make the saving throw when it moves into the area for the first time on a turn or ends its turn there. On a failed save, a creature sinks into the mud and is {@condition restrained}, though it can use an action to end the {@condition restrained} condition on itself by pulling itself free of the mud.
 If you cast the spell on a ceiling, the mud falls. Any creature under the mud when it falls must make a Dexterity saving throw. A creature takes {@damage 4d8} bludgeoning damage on a failed save, or half as much damage on a successful one.
 Transmute Mud to RockNonmagical mud or quicksand in the area no more than 10 feet deep transforms into soft stone for the spell's duration. Any creature in the mud when it transforms must make a Dexterity saving throw. On a successful save, a creature is shunted safely to the surface in an unoccupied space. On a failed save, a creature becomes {@condition restrained} by the rock. A {@condition restrained} creature, or another creature within reach, can use an action to try to break the rock by succeeding on a DC 20 Strength check or by dealing damage to it. The rock has AC 15 and 25 hit points, and it is immune to poison and psychic damage.</t>
  </si>
  <si>
    <t>Druid,Wizard,Artificer,Artificer</t>
  </si>
  <si>
    <t>(a pinch of powder made by crushing a clear gemstone)</t>
  </si>
  <si>
    <t>An invisible wall of force springs into existence at a point you choose within range. The wall appears in any orientation you choose, as a horizontal or vertical barrier or at an angle. It can be free floating or resting on a solid surface. You can form it into a hemispherical dome or a sphere with a radius of up to 10 feet, or you can shape a flat surface made up of ten 10-foot-by-10-foot panels. Each panel must be contiguous with another panel. In any form, the wall is 1/4 inch thick. It lasts for the duration. If the wall cuts through a creature's space when it appears, the creature is pushed to one side of the wall (your choice which side).
 Nothing can physically pass through the wall. It is immune to all damage and can't be dispelled by {@spell dispel magic}. A {@spell disintegrate} spell destroys the wall instantly, however. The wall also extends into the Ethereal Plane, blocking ethereal travel through the wall.</t>
  </si>
  <si>
    <t>Protection,Redemption,Redemption,Artillerist,Artillerist,Clockwork Soul,Armorer,Armorer,Clockwork Soul,Eldritch Knight,Arcane Trickster</t>
  </si>
  <si>
    <t>Wall of Light</t>
  </si>
  <si>
    <t>(a hand mirror)</t>
  </si>
  <si>
    <t>A shimmering wall of bright light appears at a point you choose within range. The wall appears in any orientation you choose: horizontally, vertically, or diagonally. It can be free floating, or it can rest on a solid surface. The wall can be up to 60 feet long, 10 feet high, and 5 feet thick. The wall blocks line of sight, but creatures and objects can pass through it. It emits bright light out to 120 feet and dim light for an additional 120 feet.
 When the wall appears, each creature in its area must make a Constitution saving throw. On a failed save, a creature takes {@damage 4d8} radiant damage, and it is {@condition blinded} for 1 minute. On a successful save, it takes half as much damage and isn't {@condition blinded}. A {@condition blinded} creature can make a Constitution saving throw at the end of each of its turns, ending the effect on itself on a success.
 A creature that ends its turn in the wall's area takes {@damage 4d8} radiant damage.
 Until the spell ends, you can use an action to launch a beam of radiance from the wall at one creature you can see within 60 feet of it. Make a ranged spell attack. On a hit, the target takes {@damage 4d8} radiant damage. Whether you hit or miss, reduce the length of the wall by 10 feet. If the wall's length drops to 0 feet, the spell ends.</t>
  </si>
  <si>
    <t>(a small block of granite)</t>
  </si>
  <si>
    <t>A nonmagical wall of solid stone springs into existence at a point you choose within range. The wall is 6 inches thick and is composed of ten 10-foot-by-10-foot panels. Each panel must be contiguous with at least one other panel. Alternatively, you can create 10-foot-by-20-foot panels that are only 3 inches thick.
 If the wall cuts through a creature's space when it appears, the creature is pushed to one side of the wall (your choice). If a creature would be surrounded on all sides by the wall (or the wall and another solid surface), that creature can make a Dexterity saving throw. On a success, it can use its reaction to move up to its speed so that it is no longer enclosed by the wall.
 The wall can have any shape you desire, though it can't occupy the same space as a creature or object. The wall doesn't need to be vertical or rest on any firm foundation. It must, however, merge with and be solidly supported by existing stone. Thus, you can use this spell to bridge a chasm or create a ramp.
 If you create a span greater than 20 feet in length, you must halve the size of each panel to create supports. You can crudely shape the wall to create crenellations, battlements, and so on.
 The wall is an object made of stone that can be damaged and thus breached. Each panel has AC 15 and 30 hit points per inch of thickness. Reducing a panel to 0 hit points destroys it and might cause connected panels to collapse at the DM's discretion.
 If you maintain your concentration on this spell for its whole duration, the wall becomes permanent and can't be dispelled. Otherwise, the wall disappears when the spell ends.</t>
  </si>
  <si>
    <t>Druid,Sorcerer,Wizard,Artificer,Artificer</t>
  </si>
  <si>
    <t>Land,Land,Genie,Land,Genie,Genie,Four Elements,Eldritch Knight,Arcane Trickster</t>
  </si>
  <si>
    <t>Wrath of Nature</t>
  </si>
  <si>
    <t>You call out to the spirits of nature to rouse them against your enemies. Choose a point you can see within range. The spirits cause trees, rocks, and grasses in a 60-foot cube centered on that point to become animated until the spell ends.
 Grasses and UndergrowthAny area of ground in the cube that is covered by grass or undergrowth is difficult terrain for your enemies.
 TreesAt the start of each of your turns, each of your enemies within 10 feet of any tree in the cube must succeed on a Dexterity saving throw or take {@damage 4d6} slashing damage from whipping branches.
 Roots and VinesAt the end of each of your turns, one creature of your choice that is on the ground in the cube must succeed on a Strength saving throw or become {@condition restrained} until the spell ends. A {@condition restrained} creature can use an action to make a Strength ({@skill Athletics}) check against your spell save DC, ending the effect on itself on a success.
 RocksAs a bonus action on your turn, you can cause a loose rock in the cube to launch at a creature you can see in the cube. Make a ranged spell attack against the target. On a hit, the target takes {@damage 3d8} nonmagical bludgeoning damage, and it must succeed on a Strength saving throw or fall {@condition prone}.</t>
  </si>
  <si>
    <t>Conjure Volley</t>
  </si>
  <si>
    <t>(one piece of ammunition or one thrown weapon)</t>
  </si>
  <si>
    <t>You fire a piece of nonmagical ammunition from a ranged weapon or throw a nonmagical weapon into the air and choose a point within range. Hundreds of duplicates of the ammunition or weapon fall in a volley from above and then disappear. Each creature in a 40-foot-radius, 20-foot-high cylinder centered on that point must make a Dexterity saving throw. A creature takes {@damage 8d8} damage on a failed save, or half as much damage on a successful one. The damage type is the same as that of the ammunition or weapon.</t>
  </si>
  <si>
    <t>Circle of Power</t>
  </si>
  <si>
    <t>Divine energy radiates from you, distorting and diffusing magical energy within 30 feet of you. Until the spell ends, the sphere moves with you, centered on you. For the duration, each friendly creature in the area (including you) has advantage on saving throws against spells and other magical effects. Additionally, when an affected creature succeeds on a saving throw made against a spell or magical effect that allows it to make a saving throw to take only half damage, it instead takes no damage if it succeeds on the saving throw.</t>
  </si>
  <si>
    <t>Crown,Solidarity,Twilight,Twilight</t>
  </si>
  <si>
    <t>Creation</t>
  </si>
  <si>
    <t>(a tiny piece of matter of the same type of the item you plan to create)</t>
  </si>
  <si>
    <t>special</t>
  </si>
  <si>
    <t>You pull wisps of shadow material from the Shadowfell to create a nonliving object of vegetable matter within range: soft goods, rope, wood, or something similar. You can also use this spell to create mineral objects such as stone, crystal, or metal. The object created must be no larger than a 5-foot cube, and the object must be of a form and material that you have seen before.
 The duration depends on the object's material. If the object is composed of multiple materials, use the shortest duration.
 Using any material created by this spell as another spell's material component causes that spell to fail.</t>
  </si>
  <si>
    <t>Forge,Forge,Noble Genie,Genie,Eldritch Knight,Arcane Trickster</t>
  </si>
  <si>
    <t>You strike the ground, creating a burst of divine energy that ripples outward from you. Each creature you choose within 30 feet of you must succeed on a Constitution saving throw or take {@damage 5d6} thunder damage, as well as {@damage 5d6} radiant or necrotic damage (your choice), and be knocked {@condition prone}. A creature that succeeds on its saving throw takes half as much damage and isn't knocked {@condition prone}.</t>
  </si>
  <si>
    <t>Tempest,Hexblade,Strength,Zeal,Destruction</t>
  </si>
  <si>
    <t>Modify Memory</t>
  </si>
  <si>
    <t>You attempt to reshape another creature's memories. One creature that you can see must make a Wisdom saving throw. If you are fighting the creature, it has advantage on the saving throw. On a failed save, the target becomes {@condition charmed} by you for the duration. The {@condition charmed} target is {@condition incapacitated} and unaware of its surroundings, though it can still hear you. If it takes any damage or is targeted by another spell, this spell ends, and none of the target's memories are modified.
 While this charm lasts, you can affect the target's memory of an event that it experienced within the last 24 hours and that lasted no more than 10 minutes. You can permanently eliminate all memory of the event, allow the target to recall the event with perfect clarity and exacting detail, change its memory of the details of the event, or create a memory of some other event.
 You must speak to the target to describe how its memories are affected, and it must be able to understand your language for the modified memories to take root. Its mind fills in any gaps in the details of your description. If the spell ends before you have finished describing the modified memories, the creature's memory isn't altered. Otherwise, the modified memories take hold when the spell ends.
 A modified memory doesn't necessarily affect how a creature behaves, particularly if the memory contradicts the creature's natural inclinations, alignment, or beliefs. An illogical modified memory, such as implanting a memory of how much the creature enjoyed dousing itself in acid, is dismissed, perhaps as a bad dream. The DM might deem a modified memory too nonsensical to affect a creature in a significant manner.
 A {@spell remove curse} or {@spell greater restoration} spell cast on the target restores the creature's true memory.</t>
  </si>
  <si>
    <t>Trickery,Ambition,Archivist,Aberrant Mind,Eldritch Knight,Arcane Trickster</t>
  </si>
  <si>
    <t>Passwall</t>
  </si>
  <si>
    <t>(a pinch of sesame seeds)</t>
  </si>
  <si>
    <t>A passage appears at a point of your choice that you can see on a wooden, plaster, or stone surface (such as a wall, a ceiling, or a floor) within range, and lasts for the duration. You choose the opening's dimensions: up to 5 feet wide, 8 feet tall, and 20 feet deep. The passage creates no instability in a structure surrounding it.
 When the opening disappears, any creatures or objects still in the passage created by the spell are safely ejected to an unoccupied space nearest to the surface on which you cast the spell.</t>
  </si>
  <si>
    <t>Land,Seeker,Treachery,Armorer,Eldritch Knight,Arcane Trickster</t>
  </si>
  <si>
    <t>Rary's Telepathic Bond</t>
  </si>
  <si>
    <t>(pieces of eggshell from two different kinds of creatures)</t>
  </si>
  <si>
    <t>You forge a telepathic link among up to eight willing creatures of your choice within range, psychically linking each creature to all the others for the duration. Creatures with Intelligence scores of 2 or less aren't affected by this spell.
 Until the spell ends, the targets can communicate telepathically through the bond whether or not they have a common language. The communication is possible over any distance, though it can't extend to other planes of existence.</t>
  </si>
  <si>
    <t>Aberrant Mind,Unity,Peace,Aberrant Mind,Eldritch Knight,Arcane Trickster</t>
  </si>
  <si>
    <t>This spell allows you to change the appearance of any number of creatures that you can see within range. You give each target you choose a new, illusory appearance. An unwilling target can make a Charisma saving throw, and if it succeeds, it is unaffected by this spell.
 The spell disguises physical appearance as well as clothing, armor, weapons, and equipment. You can make each creature seem 1 foot shorter or taller and appear thin, fat, or in between. You can't change a target's body type, so you must choose a form that has the same basic arrangement of limbs. Otherwise, the extent of the illusion is up to you. The spell lasts for the duration, unless you use your action to dismiss it sooner.
 The changes wrought by this spell fail to hold up to physical inspection. For example, if you use this spell to add a hat to a creature's outfit, objects pass through the hat, and anyone who touches it would feel nothing or would feel the creature's head and hair. If you use this spell to appear thinner than you are, the hand of someone who reaches out to touch you would bump into you while it was seemingly still in midair.
 A creature can use its action to inspect a target and make an Intelligence ({@skill Investigation}) check against your spell save DC. If it succeeds, it becomes aware that the target is disguised.</t>
  </si>
  <si>
    <t>Archfey,Deep Stalker,Gloom Stalker,Deep Stalker Conclave,Gloom Stalker,Genie,Eldritch Knight,Arcane Trickster</t>
  </si>
  <si>
    <t>Steel Wind Strike</t>
  </si>
  <si>
    <t>(a melee weapon worth at least 1 sp)</t>
  </si>
  <si>
    <t>You flourish the weapon used in the casting and then vanish to strike like the wind. Choose up to five creatures you can see within range. Make a melee spell attack against each target. On a hit, a target takes {@damage 6d10} force damage.
 You can then teleport to an unoccupied space you can see within 5 feet of one of the targets you hit or missed.</t>
  </si>
  <si>
    <t>Ranger,Wizard</t>
  </si>
  <si>
    <t>Control Winds</t>
  </si>
  <si>
    <t>You take control of the air in a 100-foot cube that you can see within range. Choose one of the following effects when you cast the spell. The effect lasts for the spell's duration, unless you use your action on a later turn to switch to a different effect. You can also use your action to temporarily halt the effect or to restart one you've halted.
 GustsA wind picks up within the cube, continually blowing in a horizontal direction you designate. You choose the intensity of the wind: calm, moderate, or strong. If the wind is moderate or strong, ranged weapon attacks that pass through it or that are made against targets within the cube have disadvantage on their attack rolls. If the wind is strong, any creature moving against the wind must spend 1 extra foot of movement for each foot moved.
 DowndraftYou cause a sustained blast of strong wind to blow downward from the top of the cube. Ranged weapon attacks that pass through the cube or that are made against targets within it have disadvantage on their attack rolls. A creature must make a Strength saving throw if it flies into the cube for the first time on a turn or starts its turn there flying. On a failed save, the creature is knocked {@condition prone}.
 UpdraftYou cause a sustained updraft within the cube, rising upward from the cube's bottom side. Creatures that end a fall within the cube take only half damage from the fall. When a creature in the cube makes a vertical jump, the creature can jump up to 10 feet higher than normal.</t>
  </si>
  <si>
    <t>(a few grains of sugar, some kernels of grain, and a smear of fat)</t>
  </si>
  <si>
    <t>Swarming, biting locusts fill a 20-foot-radius sphere centered on a point you choose within range. The sphere spreads around corners. The sphere remains for the duration, and its area is lightly obscured. The sphere's area is difficult terrain.
 When the area appears, each creature in it must make a Constitution saving throw. A creature takes {@damage 4d10} piercing damage on a failed save, or half as much damage on a successful one. A creature must also make this saving throw when it enters the spell's area for the first time on a turn or ends its turn there.</t>
  </si>
  <si>
    <t>Cleric,Druid,Sorcerer</t>
  </si>
  <si>
    <t>Nature,Tempest,Land,Land,Land,Land,Land,Conquest,Strength,Primeval Guardian,Primeval Guardian,Swarmkeeper,Divine Soul,Favored Soul,Favored Soul v3</t>
  </si>
  <si>
    <t>(a small crystal or glass cone)</t>
  </si>
  <si>
    <t>A blast of cold air erupts from your hands. Each creature in a 60-foot cone must make a Constitution saving throw. A creature takes {@damage 8d8} cold damage on a failed save, or half as much damage on a successful one.
 A creature killed by this spell becomes a frozen statue until it thaws.</t>
  </si>
  <si>
    <t>Land,Raven Queen,Hexblade,Hexblade,Artillerist,Lurker in the Deep,Artillerist,Genie,Land,Fathomless,Genie,Genie,Four Elements,Eldritch Knight,Arcane Trickster</t>
  </si>
  <si>
    <t>Danse Macabre</t>
  </si>
  <si>
    <t>Threads of dark power leap from your fingers to pierce up to five Small or Medium corpses you can see within range. Each corpse immediately stands up and becomes undead. You decide whether it is a {@creature zombie} or a {@creature skeleton} (the statistics for {@creature zombie||zombies} and {@creature skeleton||skeletons} are in the Monster Manual), and it gains a bonus to its attack and damage rolls equal to your spellcasting ability modifier.
 You can use a bonus action to mentally command the creatures you make with this spell, issuing the same command to all of them. To receive the command, a creature must be within 60 feet of you. You decide what action the creatures will take and where they will move during their next turn, or you can issue a general command, such as to guard a chamber or passageway against your foes. If you issue no commands, the creatures do nothing except defend themselves against hostile creatures. Once given an order, the creatures continue to follow it until their task is complete.
 The creatures are under your control until the spell ends, after which they become inanimate once more.</t>
  </si>
  <si>
    <t>Dawn</t>
  </si>
  <si>
    <t>({'text': 'a sunburst pendant worth at least 100 gp', 'cost': 10000})</t>
  </si>
  <si>
    <t>The light of dawn shines down on a location you specify within range. Until the spell ends, a 30-foot-radius, 40-foot-high cylinder of bright light glimmers there. This light is sunlight.
 When the cylinder appears, each creature in it must make a Constitution saving throw, taking {@damage 4d10} radiant damage on a failed save, or half as much damage on a successful one. A creature must also make this saving throw whenever it ends its turn in the cylinder.
 If you're within 60 feet of the cylinder, you can move it up to 60 feet as a bonus action on your turn.</t>
  </si>
  <si>
    <t>Druid,Paladin</t>
  </si>
  <si>
    <t>Dominate Person</t>
  </si>
  <si>
    <t>You attempt to beguile a humanoid that you can see within range. It must succeed on a Wisdom saving throw or be {@condition charmed} by you for the duration. If you or creatures that are friendly to you are fighting it, it has advantage on the saving throw.
 While the target is {@condition charmed}, you have a telepathic link with it as long as the two of you are on the same plane of existence. You can use this telepathic link to issue commands to the creature while you are conscious (no action required), which it does its best to obey. You can specify a simple and general course of action, such as "Attack that creature," "Run over there," or "Fetch that object." If the creature completes the order and doesn't receive further direction from you, it defends and preserves itself to the best of its ability.
 You can use your action to take total and precise control of the target. Until the end of your next turn, the creature takes only the actions you choose, and doesn't do anything that you don't allow it to do. During this time you can also cause the creature to use a reaction, but this requires you to use your own reaction as well.
 Each time the target takes damage, it makes a new Wisdom saving throw against the spell. If the saving throw succeeds, the spell ends.</t>
  </si>
  <si>
    <t>Trickery,Oathbreaker,Archfey,Great Old One,Conquest,Conquest,Conquest,Treachery,Ambition,Order,Order,Psionics,Eldritch Knight,Arcane Trickster</t>
  </si>
  <si>
    <t>Azorius Functionary,Rakdos Cultist</t>
  </si>
  <si>
    <t>Enervation</t>
  </si>
  <si>
    <t>A tendril of inky darkness reaches out from you, touching a creature you can see within range to drain life from it. The target must make a Dexterity saving throw. On a successful save, the target takes {@damage 2d8} necrotic damage, and the spell ends. On a failed save, the target takes {@damage 4d8} necrotic damage, and until the spell ends, you can use your action on each of your turns to automatically deal {@damage 4d8} necrotic damage to the target. The spell ends if you use your action to do anything else, if the target is ever outside the spell's range, or if the target has total cover from you.
 Whenever the spell deals damage to a target, you regain hit points equal to half the amount of necrotic damage the target takes.</t>
  </si>
  <si>
    <t>Darkness,Eldritch Knight,Arcane Trickster</t>
  </si>
  <si>
    <t>(pinch of sulfur)</t>
  </si>
  <si>
    <t>A vertical column of divine fire roars down from the heavens in a location you specify. Each creature in a 10-foot-radius, 40-foot-high cylinder centered on a point within range must make a Dexterity saving throw. A creature takes {@damage 4d6} fire damage and {@damage 4d6} radiant damage on a failed save, or half as much damage on a successful one.</t>
  </si>
  <si>
    <t>Light,War,Devotion,Fiend,Celestial,Undying Light,Celestial,Zeal,Wildfire,Genie,Glory,Divine Soul,Favored Soul,Favored Soul v3</t>
  </si>
  <si>
    <t>Geas</t>
  </si>
  <si>
    <t>30 day</t>
  </si>
  <si>
    <t>You place a magical command on a creature that you can see within range, forcing it to carry out some service or refrain from some action or course of activity as you decide. If the creature can understand you, it must succeed on a Wisdom saving throw or become {@condition charmed} by you for the duration. While the creature is {@condition charmed} by you, it takes {@damage 5d10} psychic damage each time it acts in a manner directly counter to your instructions, but no more than once each day. A creature that can't understand you is unaffected by the spell.
 You can issue any command you choose, short of an activity that would result in certain death. Should you issue a suicidal command, the spell ends.
 You can end the spell early by using an action to dismiss it. A {@spell remove curse}, {@spell greater restoration}, or {@spell wish} spell also ends it.</t>
  </si>
  <si>
    <t>Bard,Cleric,Druid,Paladin,Wizard</t>
  </si>
  <si>
    <t>Crown,Eldritch Knight,Arcane Trickster,Divine Soul,Favored Soul,Favored Soul v3</t>
  </si>
  <si>
    <t>A wave of healing energy washes out from a point of your choice within range. Choose up to six creatures in a 30-foot-radius sphere centered on that point. Each target regains hit points equal to {@dice 3d8} + your spellcasting ability modifier. This spell has no effect on undead or constructs.</t>
  </si>
  <si>
    <t>Life,Solidarity,Battle Smith,Battle Smith,Wildfire,Divine Soul,Favored Soul,Favored Soul v3</t>
  </si>
  <si>
    <t>Negative Energy Flood</t>
  </si>
  <si>
    <t>(a broken bone and a square of black silk)</t>
  </si>
  <si>
    <t>You send ribbons of negative energy at one creature you can see within range. Unless the target is undead, it must make a Constitution saving throw, taking {@damage 5d12} necrotic damage on a failed save, or half as much damage on a successful one. A target killed by this damage rises up as a {@creature zombie} at the start of your next turn. The zombie pursues whatever creature it can see that is closest to it. Statistics for the {@creature zombie} are in the Monster Manual.
 If you target an undead with this spell, the target doesn't make a saving throw. Instead, roll {@dice 5d12}. The target gains half the total as temporary hit points.</t>
  </si>
  <si>
    <t>Planar Binding</t>
  </si>
  <si>
    <t>({'text': 'a jewel worth at least 1,000 gp, which the spell consumes', 'cost': 100000, 'consume': True})</t>
  </si>
  <si>
    <t>With this spell, you attempt to bind a {@filter celestial|bestiary|type=celestial|miscellaneous=!swarm}, an {@filter elemental|bestiary|type=elemental|miscellaneous=!swarm}, a {@filter fey|bestiary|type=fey|miscellaneous=!swarm}, or a {@filter fiend|bestiary|type=fiend|miscellaneous=!swarm} to your service. The creature must be within range for the entire casting of the spell. (Typically, the creature is first summoned into the center of an inverted {@spell magic circle} in order to keep it trapped while this spell is cast.) At the completion of the casting, the target must make a Charisma saving throw. On a failed save, it is bound to serve you for the duration. If the creature was summoned or created by another spell, that spell's duration is extended to match the duration of this spell.
 A bound creature must follow your instructions to the best of its ability. You might command the creature to accompany you on an adventure, to guard a location, or to deliver a message. The creature obeys the letter of your instructions, but if the creature is hostile to you, it strives to twist your words to achieve its own objectives. If the creature carries out your instructions completely before the spell ends, it travels to you to report this fact if you are on the same plane of existence. If you are on a different plane of existence, it returns to the place where you bound it and remains there until the spell ends.</t>
  </si>
  <si>
    <t>Arcana,Monster Slayer,Monster Slayer,Eldritch Knight,Arcane Trickster,Divine Soul,Favored Soul,Favored Soul v3</t>
  </si>
  <si>
    <t>Telekinesis</t>
  </si>
  <si>
    <t>You gain the ability to move or manipulate creatures or objects by thought. When you cast the spell, and as your action each round for the duration, you can exert your will on one creature or object that you can see within range, causing the appropriate effect below. You can affect the same target round after round, or choose a new one at any time. If you switch targets, the prior target is no longer affected by the spell.
 CreatureYou can try to move a Huge or smaller creature. Make an ability check with your spellcasting ability contested by the creature's Strength check. If you win the contest, you move the creature up to 30 feet in any direction, including upward but not beyond the range of this spell. Until the end of your next turn, the creature is {@condition restrained} in your telekinetic grip. A creature lifted upward is suspended in mid-air.
 On subsequent rounds, you can use your action to attempt to maintain your telekinetic grip on the creature by repeating the contest.
 ObjectYou can try to move an object that weighs up to 1,000 pounds. If the object isn't being worn or carried, you automatically move it up to 30 feet in any direction, but not beyond the range of this spell.
 If the object is worn or carried by a creature, you must make an ability check with your spellcasting ability contested by that creature's Strength check. If you succeed, you pull the object away from that creature and can move it up to 30 feet in any direction but not beyond the range of this spell.
 You can exert fine control on objects with your telekinetic grip, such as manipulating a simple tool, opening a door or a container, stowing or retrieving an item from an open container, or pouring the contents from a vial.</t>
  </si>
  <si>
    <t>Great Old One,Psionics,Aberrant Mind,Eldritch Knight,Arcane Trickster</t>
  </si>
  <si>
    <t>Conjure Elemental</t>
  </si>
  <si>
    <t>(burning incense for air, soft clay for earth, sulfur and phosphorus for fire, or water and sand for water)</t>
  </si>
  <si>
    <t>You call forth an elemental servant. Choose an area of air, earth, fire, or water that fills a 10-foot cube within range. An {@filter elemental of challenge rating 5 or lower|bestiary|challenge rating=[&amp;0;&amp;5]|type=elemental|miscellaneous=!swarm} appropriate to the area you chose appears in an unoccupied space within 10 feet of it. For example, a {@creature fire elemental} emerges from a bonfire, and an {@creature earth elemental} rises up from the ground. The elemental disappears when it drops to 0 hit points or when the spell ends.
 The elemental is friendly to you and your companions for the duration. Roll initiative for the elemental, which has its own turns. It obeys any verbal commands that you issue to it (no action required by you). If you don't issue any commands to the elemental, it defends itself from hostile creatures but otherwise takes no actions.
 If your concentration is broken, the elemental doesn't disappear. Instead, you lose control of the elemental, it becomes hostile toward you and your companions, and it might attack. An uncontrolled elemental can't be dismissed by you, and it disappears 1 hour after you summoned it.
 The DM has the elemental's statistics.</t>
  </si>
  <si>
    <t>Land,Land,Storm,Eldritch Knight,Arcane Trickster</t>
  </si>
  <si>
    <t>Choose a creature that you can see within range. The target must succeed on a Wisdom saving throw or be {@condition paralyzed} for the duration. This spell has no effect on undead. At the end of each of its turns, the target can make another Wisdom saving throw. On a success, the spell ends on the target.</t>
  </si>
  <si>
    <t>War,Vengeance,Redemption,Redemption,Love,Watchers,Watchers,Monster Slayer,Monster Slayer,Eldritch Knight,Arcane Trickster</t>
  </si>
  <si>
    <t>Immolation</t>
  </si>
  <si>
    <t>Flames wreathe one creature you can see within range. The target must make a Dexterity saving throw. It takes {@damage 8d6} fire damage on a failed save, or half as much damage on a successful one. On a failed save, the target also burns for the spell's duration. The burning target sheds bright light in a 30-foot radius and dim light for an additional 30 feet. At the end of each of its turns, the target repeats the saving throw. It takes {@damage 4d6} fire damage on a failed save, and the spell ends on a successful one. These magical flames can't be extinguished by nonmagical means.
 If damage from this spell kills a target, the target is turned to ash.</t>
  </si>
  <si>
    <t>Infernal Calling</t>
  </si>
  <si>
    <t>({'text': 'a ruby worth at least 999 gp', 'cost': 99900})</t>
  </si>
  <si>
    <t>Uttering a dark incantation, you summon a devil from the Nine Hells. You choose the devil's type, which must be one of {@filter challenge rating 6 or lower|bestiary|challenge rating=[&amp;0;&amp;6]|tag=devil|miscellaneous=!swarm}, such as a {@creature barbed devil} or a {@creature bearded devil}. The devil appears in an unoccupied space that you can see within range. The devil disappears when it drops to 0 hit points or when the spell ends.
 The devil is unfriendly toward you and your companions. Roll initiative for the devil, which has its own turns. It is under the Dungeon Master's control and acts according to its nature on each of its turns, which might result in its attacking you if it thinks it can prevail, or trying to tempt you to undertake an evil act in exchange for limited service. The DM has the creature's statistics.
 On each of your turns, you can try to issue a verbal command to the devil (no action required by you). It obeys the command if the likely outcome is in accordance with its desires, especially if the result would draw you toward evil. Otherwise, you must make a Charisma ({@skill Deception}, {@skill Intimidation}, or {@skill Persuasion}) check contested by its Wisdom ({@skill Insight}) check. You make the check with advantage if you say the devil's true name. If your check fails, the devil becomes immune to your verbal commands for the duration of the spell, though it can still carry out your commands if it chooses. If your check succeeds, the devil carries out your commandÃ¢â‚¬â€_x009d_such as "attack my enemies," "explore the room ahead," or "bear this message to the queen"Ã¢â‚¬â€_x009d_until it completes the activity, at which point it returns to you to report having done so.
 If your concentration ends before the spell reaches its full duration, the devil doesn't disappear if it has become immune to your verbal commands. Instead, it acts in whatever manner it chooses for {@dice 3d6} minutes, and then it disappears.
 If you possess an individual devil's talisman, you can summon that devil if it is of the appropriate challenge rating plus 1, and it obeys all your commands, with no Charisma checks required.</t>
  </si>
  <si>
    <t>Summon Celestial</t>
  </si>
  <si>
    <t>({'text': 'a golden reliquary worth at least 500 gp', 'cost': 50000})</t>
  </si>
  <si>
    <t>You call forth a celestial spirit. It manifests in an angelic form in an unoccupied space that you can see within range. This corporeal form uses the {@creature Celestial Spirit|TCE} stat block. When you cast the spell, choose Avenger or Defender. Your choice determines the creature's attack in its stat block. The creature disappears when it drops to 0 hit points or when the spell ends.
 The creature is an ally to you and your companions. In combat, the creature shares your initiative count, but it takes its turn immediately after yours. It obeys your verbal commands (no action required by you). If you don't issue any, it takes the {@action Dodge} action and uses its move to avoid danger.</t>
  </si>
  <si>
    <t>Banishing Smite</t>
  </si>
  <si>
    <t>The next time you hit a creature with a weapon attack before this spell ends, your weapon crackles with force, and the attack deals an extra {@damage 5d10} force damage to the target. Additionally, if this attack reduces the target to 50 hit points or fewer, you banish it. If the target is native to a different plane of existence than the one you're on, the target disappears, returning to its home plane. If the target is native to the plane you're on, the creature vanishes into a harmless demiplane. While there, the target is {@condition incapacitated}. It remains there until the spell ends, at which point the target reappears in the space it left or in the nearest unoccupied space if that space is occupied.</t>
  </si>
  <si>
    <t>Hexblade,Battle Smith,Battle Smith</t>
  </si>
  <si>
    <t>Commune</t>
  </si>
  <si>
    <t>(incense and a vial of holy or unholy water)</t>
  </si>
  <si>
    <t>You contact your deity or a divine proxy and ask up to three questions that can be answered with a yes or no. You must ask your questions before the spell ends. You receive a correct answer for each question.
 Divine beings aren't necessarily omniscient, so you might receive "unclear" as an answer if a question pertains to information that lies beyond the deity's knowledge. In a case where a one-word answer could be misleading or contrary to the deity's interests, the DM might offer a short phrase as an answer instead.
 If you cast the spell two or more times before finishing your next long rest, there is a cumulative {@chance 25|25 percent} chance for each casting after the first that you get no answer. The DM makes this roll in secret.</t>
  </si>
  <si>
    <t>Devotion,Raven Queen,Order,Order,Glory,Heroism,Divine Soul,Favored Soul,Favored Soul v3</t>
  </si>
  <si>
    <t>Commune with Nature</t>
  </si>
  <si>
    <t>You briefly become one with nature and gain knowledge of the surrounding territory. In the outdoors, the spell gives you knowledge of the land within 3 miles of you. In caves and other natural underground settings, the radius is limited to 300 feet. The spell doesn't function where nature has been replaced by construction, such as in dungeons and towns.
 You instantly gain knowledge of up to three facts of your choice about any of the following subjects as they relate to the area:
 terrain and bodies of water
 prevalent plants, minerals, animals, or peoples
 powerful celestials, fey, fiends, elementals, or undead
 influence from other planes of existence
 buildingsFor example, you could determine the location of powerful undead in the area, the location of major sources of safe drinking water, and the location of any nearby towns.</t>
  </si>
  <si>
    <t>Land,Land,Ancients,Lurker in the Deep,Totem Warrior,Land</t>
  </si>
  <si>
    <t>Contact Other Plane</t>
  </si>
  <si>
    <t>You mentally contact a demigod, the spirit of a long-dead sage, or some other mysterious entity from another plane. Contacting this extraplanar intelligence can strain or even break your mind. When you cast this spell, make a DC 15 Intelligence saving throw. On a failure, you take {@damage 6d6} psychic damage and are insane until you finish a long rest. While insane, you can't take actions, can't understand what other creatures say, can't read, and speak only in gibberish. A {@spell greater restoration} spell cast on you ends this effect.
 On a successful save, you can ask the entity up to five questions. You must ask your questions before the spell ends. The DM answers each question with one word, such as "yes," "no," "maybe," "never," "irrelevant," or "unclear" (if the entity doesn't know the answer to the question). If a one-word answer would be misleading, the DM might instead offer a short phrase as an answer.</t>
  </si>
  <si>
    <t>Dispel Evil and Good</t>
  </si>
  <si>
    <t>(holy water or powdered silver and iron)</t>
  </si>
  <si>
    <t>Shimmering energy surrounds and protects you from fey, undead, and creatures originating from beyond the Material Plane. For the duration, celestials, elementals, fey, fiends, and undead have disadvantage on attack rolls against you.
 You can end the spell early by using either of the following special functions.
 Break EnchantmentAs your action, you touch a creature you can reach that is {@condition charmed}, {@condition frightened}, or possessed by a celestial, an elemental, a fey, a fiend, or an undead. The creature you touch is no longer {@condition charmed}, {@condition frightened}, or possessed by such creatures.
 DismissalAs your action, make a melee spell attack against a celestial, an elemental, a fey, a fiend, or an undead you can reach. On a hit, you attempt to drive the creature back to its home plane. The creature must succeed on a Charisma saving throw or be sent back to its home plane (if it isn't there already). If they aren't on their home plane, undead are sent to the Shadowfell, and fey are sent to the Feywild.</t>
  </si>
  <si>
    <t>Far Step</t>
  </si>
  <si>
    <t>You teleport up to 60 feet to an unoccupied space you can see. On each of your turns before the spell ends, you can use a bonus action to teleport in this way again.</t>
  </si>
  <si>
    <t>Legend Lore</t>
  </si>
  <si>
    <t>({'text': 'incense worth at least 250 gp, which the spell consumes, and four ivory strips worth at least 50 gp each', 'cost': 25000, 'consume': True})</t>
  </si>
  <si>
    <t>Name or describe a person, place, or object. The spell brings to your mind a brief summary of the significant lore about the thing you named. The lore might consist of current tales, forgotten stories, or even secret lore that has never been widely known. If the thing you named isn't of legendary importance, you gain no information. The more information you already have about the thing, the more precise and detailed the information you receive is.
 The information you learn is accurate but might be couched in figurative language. For example, if you have a mysterious magic axe on hand, the spell might yield this information: "Woe to the evildoer whose hand touches the axe, for even the haft slices the hand of the evil ones. Only a true Child of Stone, lover and beloved of Moradin, may awaken the true powers of the axe, and only with the sacred word Rudnogg on the lips."</t>
  </si>
  <si>
    <t>Knowledge,Knowledge,Undying,Seeker,Archivist,Undead,Divine Soul,Favored Soul,Favored Soul v3</t>
  </si>
  <si>
    <t>Mislead</t>
  </si>
  <si>
    <t>You become {@condition invisible} at the same time that an illusory double of you appears where you are standing. The double lasts for the duration, but the invisibility ends if you attack or cast a spell.
 You can use your action to move your illusory double up to twice your speed and make it gesture, speak, and behave in whatever way you choose.
 You can see through its eyes and hear through its ears as if you were located where it is. On each of your turns as a bonus action, you can switch from using its senses to using your own, or back again. While you are using its senses, you are {@condition blinded} and {@condition deafened} in regard to your own surroundings.</t>
  </si>
  <si>
    <t>Fey Wanderer,Fey Wanderer,Twilight,Eldritch Knight,Arcane Trickster</t>
  </si>
  <si>
    <t>Scrying</t>
  </si>
  <si>
    <t>({'text': 'a focus worth at least 1,000 gp, such as a crystal ball, a silver mirror, or a font filled with holy water', 'cost': 100000})</t>
  </si>
  <si>
    <t>You can see and hear a particular creature you choose that is on the same plane of existence as you. The target must make a Wisdom saving throw, which is modified by how well you know the target and the sort of physical connection you have to it. If a target knows you're casting this spell, it can fail the saving throw voluntarily if it wants to be observed.
 On a successful save, the target isn't affected, and you can't use this spell against it again for 24 hours.
 On a failed save, the spell creates an invisible sensor within 10 feet of the target. You can see and hear through the sensor as if you were there. The sensor moves with the target, remaining within 10 feet of it for the duration. A creature that can see {@condition invisible} objects sees the sensor as a luminous orb about the size of your fist.
 Instead of targeting a creature, you can choose a location you have seen before as the target of this spell. When you do, the sensor appears at that location and doesn't move.</t>
  </si>
  <si>
    <t>Bard,Cleric,Druid,Warlock,Wizard</t>
  </si>
  <si>
    <t>Knowledge,Knowledge,Light,Land,Land,Vengeance,Psionics,Land,Watchers,Eldritch Knight,Arcane Trickster,Divine Soul,Favored Soul,Favored Soul v3</t>
  </si>
  <si>
    <t>Tree Stride</t>
  </si>
  <si>
    <t>You gain the ability to enter a tree and move from inside it to inside another tree of the same kind within 500 feet. Both trees must be living and at least the same size as you. You must use 5 feet of movement to enter a tree. You instantly know the location of all other trees of the same kind within 500 feet and, as part of the move used to enter the tree, can either pass into one of those trees or step out of the tree you're in. You appear in a spot of your choice within 5 feet of the destination tree, using another 5 feet of movement. If you have no movement left, you appear within 5 feet of the tree you entered.
 You can use this transportation ability once per round for the duration. You must end each turn outside a tree.</t>
  </si>
  <si>
    <t>Nature,Land,Ancients</t>
  </si>
  <si>
    <t>Dream</t>
  </si>
  <si>
    <t>(a handful of sand, a dab of ink, and a writing quill plucked from a sleeping bird)</t>
  </si>
  <si>
    <t>This spell shapes a creature's dreams. Choose a creature known to you as the target of this spell. The target must be on the same plane of existence as you. Creatures that don't sleep, such as elves, can't be contacted by this spell. You, or a willing creature you touch, enters a trance state, acting as a messenger. While in the trance, the messenger is aware of his or her surroundings, but can't take actions or move.
 If the target is asleep, the messenger appears in the target's dreams and can converse with the target as long as it remains asleep, through the duration of the spell. The messenger can also shape the environment of the dream, creating landscapes, objects, and other images. The messenger can emerge from the trance at any time, ending the effect of the spell early. The target recalls the dream perfectly upon waking. If the target is awake when you cast the spell, the messenger knows it, and can either end the trance (and the spell) or wait for the target to fall asleep, at which point the messenger appears in the target's dreams.
 You can make the messenger appear monstrous and terrifying to the target. If you do, the messenger can deliver a message of no more than ten words and then the target must make a Wisdom saving throw. On a failed save, echoes of the phantasmal monstrosity spawn a nightmare that lasts the duration of the target's sleep and prevents the target from gaining any benefit from that rest. In addition, when the target wakes up, it takes {@damage 3d6} psychic damage.
 If you have a body part, lock of hair, clipping from a nail, or similar portion of the target's body, the target makes its saving throw with disadvantage.</t>
  </si>
  <si>
    <t>Land,Twilight,Eldritch Knight,Arcane Trickster</t>
  </si>
  <si>
    <t>Awaken</t>
  </si>
  <si>
    <t>({'text': 'an agate worth at least 1,000 gp, which the spell consumes', 'cost': 100000, 'consume': True})</t>
  </si>
  <si>
    <t>After spending the casting time tracing magical pathways within a precious gemstone, you touch a Huge or smaller beast or plant. The target must have either no Intelligence score or an Intelligence of 3 or less. The target gains an Intelligence of 10. The target also gains the ability to speak one language you know. If the target is a plant, it gains the ability to move its limbs, roots, vines, creepers, and so forth, and it gains senses similar to a human's. Your DM chooses statistics appropriate for the awakened plant, such as the statistics for the {@creature awakened shrub} or the {@creature awakened tree}.
 The awakened beast or plant is {@condition charmed} by you for 30 days or until you or your companions do anything harmful to it. When the {@condition charmed} condition ends, the awakened creature chooses whether to remain friendly to you, based on how you treated it while it was {@condition charmed}.</t>
  </si>
  <si>
    <t>Bard,Druid</t>
  </si>
  <si>
    <t>Contagion</t>
  </si>
  <si>
    <t>7 day</t>
  </si>
  <si>
    <t>Your touch inflicts disease. Make a melee spell attack against a creature within your reach. On a hit, the target is {@condition poisoned}.
 At the end of each of the {@condition poisoned} target's turns, the target must make a Constitution saving throw. If the target succeeds on three of these saves, it is no longer {@condition poisoned}, and the spell ends. If the target fails three of these saves, the target is no longer {@condition poisoned}, but choose one of the diseases below. The target is subjected to the chosen disease for the spell's duration.
 Since this spell induces a natural disease in its target, any effect that removes a disease or otherwise ameliorates a disease's effects apply to it.
 Blinding SicknessPain grips the creature's mind, and its eyes turn milky white. The creature has disadvantage on Wisdom checks and Wisdom saving throws and is {@condition blinded}.
 Filth FeverA raging fever sweeps through the creature's body. The creature has disadvantage on Strength checks, Strength saving throws, and attack rolls that use Strength.
 Flesh RotThe creature's flesh decays. The creature has disadvantage on Charisma checks and vulnerability to all damage.
 MindfireThe creature's mind becomes feverish. The creature has disadvantage on Intelligence checks and Intelligence saving throws, and the creature behaves as if under the effects of the {@spell confusion} spell during combat.
 SeizureThe creature is overcome with shaking. The creature has disadvantage on Dexterity checks, Dexterity saving throws, and attack rolls that use Dexterity.
 Slimy DoomThe creature begins to bleed uncontrollably. The creature has disadvantage on Constitution checks and Constitution saving throws. In addition, whenever the creature takes damage, it is {@condition stunned} until the end of its next turn.</t>
  </si>
  <si>
    <t>Oathbreaker,Undying,Spores,Spores,Undead,Divine Soul,Favored Soul,Favored Soul v3</t>
  </si>
  <si>
    <t>Greater Restoration</t>
  </si>
  <si>
    <t>({'text': 'diamond dust worth at least 100 gp, which the spell consumes', 'cost': 10000, 'consume': True})</t>
  </si>
  <si>
    <t>You imbue a creature you touch with positive energy to undo a debilitating effect. You can reduce the target's {@condition exhaustion} level by one, or end one of the following effects on the target:
 One effect that {@condition charmed} or {@condition petrified} the target
 One curse, including the target's attunement to a cursed magic item
 Any reduction to one of the target's ability scores
 One effect reducing the target's hit point maximum</t>
  </si>
  <si>
    <t>Bard,Cleric,Druid,Artificer,Artificer</t>
  </si>
  <si>
    <t>Celestial,Celestial,Unity,Love,Peace,Clockwork Soul,Divine Soul,Favored Soul,Favored Soul v3</t>
  </si>
  <si>
    <t>Hallow</t>
  </si>
  <si>
    <t>({'text': 'herbs, oils, and incense worth at least 1,000 gp, which the spell consumes', 'cost': 100000, 'consume': True})</t>
  </si>
  <si>
    <t>You touch a point and infuse an area around it with holy (or unholy) power. The area can have a radius up to 60 feet, and the spell fails if the radius includes an area already under the effect a hallow spell. The affected area is subject to the following effects.
 First, celestials, elementals, fey, fiends, and undead can't enter the area, nor can such creatures charm, frighten, or possess creatures within it. Any creature {@condition charmed}, {@condition frightened}, or possessed by such a creature is no longer {@condition charmed}, {@condition frightened}, or possessed upon entering the area. You can exclude one or more of those types of creatures from this effect.
 Second, you can bind an extra effect to the area. Choose the effect from the following list, or choose an effect offered by the DM. Some of these effects apply to creatures in the area; you can designate whether the effect applies to all creatures, creatures that follow a specific deity or leader, or creatures of a specific sort, such as orcs or trolls. When a creature that would be affected enters the spell's area for the first time on a turn or starts its turn there, it can make a Charisma saving throw. On a success, the creature ignores the extra effect until it leaves the area.
 CourageAffected creatures can't be {@condition frightened} while in the area.
 DarknessDarkness fills the area. Normal light, as well as magical light created by spells of a lower level than the slot you used to cast this spell, can't illuminate the area.
 DaylightBright light fills the area. Magical darkness created by spells of a lower level than the slot you used to cast this spell can't extinguish the light.
 Energy ProtectionAffected creatures in the area have resistance to one damage type of your choice, except for bludgeoning, piercing, or slashing.
 Energy VulnerabilityAffected creatures in the area have vulnerability to one damage type of your choice, except for bludgeoning, piercing, or slashing.
 Everlasting RestDead bodies interred in the area can't be turned into undead.
 Extradimensional InterferenceAffected creatures can't move or travel using teleportation or by extradimensional or interplanar means.
 FearAffected creatures are {@condition frightened} while in the area.
 SilenceNo sound can emanate from within the area, and no sound can reach into it.
 TonguesAffected creatures can communicate with any other creature in the area, even if they don't share a common language.</t>
  </si>
  <si>
    <t>Fiend,Watchers,Divine Soul,Favored Soul,Favored Soul v3</t>
  </si>
  <si>
    <t>Holy Weapon</t>
  </si>
  <si>
    <t>You imbue a weapon you touch with holy power. Until the spell ends, the weapon emits bright light in a 30-foot radius and dim light for an additional 30 feet. In addition, weapon attacks made with it deal an extra {@damage 2d8} radiant damage on a hit. If the weapon isn't already a magic weapon, it becomes one for the duration.
 As a bonus action on your turn, you can dismiss this spell and cause the weapon to emit a burst of radiance. Each creature of your choice that you can see within 30 feet of the weapon must make a Constitution saving throw. On a failed save, a creature takes {@damage 4d8} radiant damage, and it is {@condition blinded} for 1 minute. On a successful save, a creature takes half as much damage and isn't {@condition blinded}. At the end of each of its turns, a {@condition blinded} creature can make a Constitution saving throw, ending the effect on itself on a success.</t>
  </si>
  <si>
    <t>Raise Dead</t>
  </si>
  <si>
    <t>({'text': 'a diamond worth at least 500 gp, which the spell consumes', 'cost': 50000, 'consume': True})</t>
  </si>
  <si>
    <t>You return a dead creature you touch to life, provided that it has been dead no longer than 10 days. If the creature's soul is both willing and at liberty to rejoin the body, the creature returns to life with 1 hit point.
 This spell also neutralizes any poisons and cures nonmagical diseases that affected the creature at the time it died. This spell doesn't, however, remove magical diseases, curses, or similar effects; if these aren't first removed prior to casting the spell, they take effect when the creature returns to life. The spell can't return an undead creature to life.
 This spell closes all mortal wounds, but it doesn't restore missing body parts. If the creature is lacking body parts or organs integral for its survivalÃ¢â‚¬â€_x009d_its head, for instanceÃ¢â‚¬â€_x009d_the spell automatically fails.
 Coming back from the dead is an ordeal. The target takes a Ã¢Ë†â€™4 penalty to all attack rolls, saving throws, and ability checks. Every time the target finishes a long rest, the penalty is reduced by 1 until it disappears.</t>
  </si>
  <si>
    <t>Life,Grave,Grave,Alchemist,Wildfire,Alchemist,Divine Soul,Favored Soul,Favored Soul v3</t>
  </si>
  <si>
    <t>Reincarnate</t>
  </si>
  <si>
    <t>({'text': 'rare oils and unguents worth at least 1,000 gp, which the spell consumes', 'cost': 100000, 'consume': True})</t>
  </si>
  <si>
    <t>You touch a dead humanoid or a piece of a dead humanoid. Provided that the creature has been dead no longer than 10 days, the spell forms a new adult body for it and then calls the soul to enter that body. If the target's soul isn't free or willing to do so, the spell fails.
 The magic fashions a new body for the creature to inhabit, which likely causes the creature's race to change. The DM rolls a {@dice d100} and consults the following table to determine what form the creature takes when restored to life, or the DM chooses a form.
 The reincarnated creature recalls its former life and experiences. It retains the capabilities it had in its original form, except it exchanges its original race for the new one and changes its racial traits accordingly.</t>
  </si>
  <si>
    <t>Skill Empowerment</t>
  </si>
  <si>
    <t>Your magic deepens a creature's understanding of its own talent. You touch one willing creature and give it expertise in one skill of your choice; until the spell ends, the creature doubles its proficiency bonus for ability checks it makes that use the chosen skill.
 You must choose a skill in which the target is proficient and that isn't already benefiting from an effect, such as Expertise, that doubles its proficiency bonus.</t>
  </si>
  <si>
    <t>Swift Quiver</t>
  </si>
  <si>
    <t>(a quiver containing at least one piece of ammunition)</t>
  </si>
  <si>
    <t>You transmute your quiver so it produces an endless supply of nonmagical ammunition, which seems to leap into your hand when you reach for it.
 On each of your turns until the spell ends, you can use a bonus action to make two attacks with a weapon that uses ammunition from the quiver. Each time you make such a ranged attack, your quiver magically replaces the piece of ammunition you used with a similar piece of nonmagical ammunition. Any pieces of ammunition created by this spell disintegrate when the spell ends. If the quiver leaves your possession, the spell ends.</t>
  </si>
  <si>
    <t>Create Undead</t>
  </si>
  <si>
    <t>({'text': 'one clay pot filled with grave dirt, one clay pot filled with brackish water, and one 150 gp black onyx stone for each corpse', 'cost': 15000})</t>
  </si>
  <si>
    <t>You can cast this spell only at night. Choose up to three corpses of Medium or Small humanoids within range. Each corpse becomes a {@creature ghoul} under your control. (The DM has game statistics for these creatures.)
 As a bonus action on each of your turns, you can mentally command any creature you animated with this spell if the creature is within 120 feet of you (if you control multiple creatures, you can command any or all of them at the same time, issuing the same command to each one). You decide what action the creature will take and where it will move during its next turn, or you can issue a general command, such as to guard a particular chamber or corridor. If you issue no commands, the creature only defends itself against hostile creatures. Once given an order, the creature continues to follow it until its task is complete.
 The creature is under your control for 24 hours, after which it stops obeying any command you have given it. To maintain control of the creature for another 24 hours, you must cast this spell on the creature before the current 24-hour period ends. This use of the spell reasserts your control over up to three creatures you have animated with this spell, rather than animating new ones.</t>
  </si>
  <si>
    <t>Globe of Invulnerability</t>
  </si>
  <si>
    <t>(a glass or crystal bead that shatters when the spell ends)</t>
  </si>
  <si>
    <t>An immobile, faintly shimmering barrier springs into existence in a 10-foot radius around you and remains for the duration.
 Any spell of 5th level or lower cast from outside the barrier can't affect creatures or objects within it, even if the spell is cast using a higher level spell slot. Such a spell can target creatures and objects within the barrier, but the spell has no effect on them. Similarly, the area within the barrier is excluded from the areas affected by such spells.</t>
  </si>
  <si>
    <t>Transport via Plants</t>
  </si>
  <si>
    <t>This spell creates a magical link between a Large or larger inanimate plant within range and another plant, at any distance, on the same plane of existence. You must have seen or touched the destination plant at least once before. For the duration, any creature can step into the target plant and exit from the destination plant by using 5 feet of movement.</t>
  </si>
  <si>
    <t>Gravity Fissure</t>
  </si>
  <si>
    <t>(a fistful of iron filings)</t>
  </si>
  <si>
    <t>You manifest a ravine of gravitational energy in a line originating from you that is 100 feet long and 5 feet wide. Each creature in that line must make a Constitution saving throw, taking {@damage 8d8} force damage on a failed save, or half as much damage on a successful one.
 Each creature within 10 feet of the line but not in it must succeed on a Constitution saving throw or take {@damage 8d8} force damage and be pulled toward the line until the creature is in its area.</t>
  </si>
  <si>
    <t>Bones of the Earth</t>
  </si>
  <si>
    <t>You cause up to six pillars of stone to burst from places on the ground that you can see within range. Each pillar is a cylinder that has a diameter of 5 feet and a height of up to 30 feet. The ground where a pillar appears must be wide enough for its diameter, and you can target the ground under a creature if that creature is Medium or smaller. Each pillar has AC 5 and 30 hit points. When reduced to 0 hit points, a pillar crumbles into rubble, which creates an area of difficult terrain with a 10-foot radius that lasts until the rubble is cleared. Each 5-foot-diameter portion of the area requires at least 1 minute to clear by hand.
 If a pillar is created under a creature, that creature must succeed on a Dexterity saving throw or be lifted by the pillar. A creature can choose to fail the save.
 If a pillar is prevented from reaching its full height because of a ceiling or other obstacle, a creature on the pillar takes {@damage 6d6} bludgeoning damage and is {@condition restrained}, pinched between the pillar and the obstacle. The {@condition restrained} creature can use an action to make a Strength or Dexterity check (the creature's choice) against the spell's save DC. On a success, the creature is no longer {@condition restrained} and must either move off the pillar or fall off it.</t>
  </si>
  <si>
    <t>Move Earth</t>
  </si>
  <si>
    <t>(an iron blade and a small bag containing a mixture of soilsÃ¢â‚¬â€_x009d_clay, loam, and sand)</t>
  </si>
  <si>
    <t>2 hour</t>
  </si>
  <si>
    <t>Choose an area of terrain no larger than 40 feet on a side within range. You can reshape dirt, sand, or clay in the area in any manner you choose for the duration. You can raise or lower the area's elevation, create or fill in a trench, erect or flatten a wall, or form a pillar. The extent of any such changes can't exceed half the area's largest dimension. So, if you affect a 40-foot square, you can create a pillar up to 20 feet high, raise or lower the square's elevation by up to 20 feet, dig a trench up to 20 feet deep, and so on. It takes 10 minutes for these changes to complete.
 At the end of every 10 minutes you spend concentrating on the spell, you can choose a new area of terrain to affect.
 Because the terrain's transformation occurs slowly, creatures in the area can't usually be trapped or injured by the ground's movement.
 This spell can't manipulate natural stone or stone construction. Rocks and structures shift to accommodate the new terrain. If the way you shape the terrain would make a structure unstable, it might collapse.
 Similarly, this spell doesn't directly affect plant growth. The moved earth carries any plants along with it.</t>
  </si>
  <si>
    <t>Programmed Illusion</t>
  </si>
  <si>
    <t>({'text': 'a bit of fleece and jade dust worth at least 25 gp', 'cost': 2500})</t>
  </si>
  <si>
    <t>You create an illusion of an object, a creature, or some other visible phenomenon within range that activates when a specific condition occurs. The illusion is imperceptible until then. It must be no larger than a 30-foot cube, and you decide when you cast the spell how the illusion behaves and what sounds it makes. This scripted performance can last up to 5 minutes.
 When the condition you specify occurs, the illusion springs into existence and performs in the manner you described. Once the illusion finishes performing, it disappears and remains dormant for 10 minutes. After this time, the illusion can be activated again.
 The triggering condition can be as general or as detailed as you like, though it must be based on visual or audible conditions that occur within 30 feet of the area. For example, you could create an illusion of yourself to appear and warn off others who attempt to open a trapped door, or you could set the illusion to trigger only when a creature says the correct word or phrase.
 Physical interaction with the image reveals it to be an illusion, because things can pass through it. A creature that uses its action to examine the image can determine that it is an illusion with a successful Intelligence ({@skill Investigation}) check against your spell save DC. If a creature discerns the illusion for what it is, the creature can see through the image, and any noise it makes sounds hollow to the creature.</t>
  </si>
  <si>
    <t>Wall of Ice</t>
  </si>
  <si>
    <t>(a small piece of quartz)</t>
  </si>
  <si>
    <t>You create a wall of ice on a solid surface within range. You can form it into a hemispherical dome or a sphere with a radius of up to 10 feet, or you can shape a flat surface made up of ten 10-foot-square panels. Each panel must be contiguous with another panel. In any form, the wall is 1 foot thick and lasts for the duration.
 If the wall cuts through a creature's space when it appears, the creature within its area is pushed to one side of the wall and must make a Dexterity saving throw. On a failed save, the creature takes {@damage 10d6} cold damage, or half as much damage on a successful save.
 The wall is an object that can be damaged and thus breached. It has AC 12 and 30 hit points per 10-foot section, and it is vulnerable to fire damage. Reducing a 10-foot section of wall to 0 hit points destroys it and leaves behind a sheet of frigid air in the space the wall occupied. A creature moving through the sheet of frigid air for the first time on a turn must make a Constitution saving throw. That creature takes {@damage 5d6} cold damage on a failed save, or half as much damage on a successful one.</t>
  </si>
  <si>
    <t>Wall of Thorns</t>
  </si>
  <si>
    <t>(a handful of thorns)</t>
  </si>
  <si>
    <t>You create a wall of tough, pliable, tangled brush bristling with needle-sharp thorns. The wall appears within range on a solid surface and lasts for the duration. You choose to make the wall up to 60 feet long, 10 feet high, and 5 feet thick or a circle that has a 20-foot diameter and is up to 20 feet high and 5 feet thick. The wall blocks line of sight.
 When the wall appears, each creature within its area must make a Dexterity saving throw. On a failed save, a creature takes {@damage 7d8} piercing damage, or half as much damage on a successful save.
 A creature can move through the wall, albeit slowly and painfully. For every 1 foot a creature moves through the wall, it must spend 4 feet of movement. Furthermore, the first time a creature enters the wall on a turn or ends its turn there, the creature must make a Dexterity saving throw. It takes {@damage 7d8} slashing damage on a failed save, or half as much damage on a successful one.</t>
  </si>
  <si>
    <t>Chain Lightning</t>
  </si>
  <si>
    <t>(a bit of fur; a piece of amber, glass, or a crystal rod; and three silver pins)</t>
  </si>
  <si>
    <t>You create a bolt of lightning that arcs toward a target of your choice that you can see within range. Three bolts then leap from that target to as many as three other targets, each of which must be within 30 feet of the first target. A target can be a creature or an object and can be targeted by only one of the bolts.
 A target must make a Dexterity saving throw. The target takes {@damage 10d8} lightning damage on a failed save, or half as much damage on a successful one.</t>
  </si>
  <si>
    <t>Circle of Death</t>
  </si>
  <si>
    <t>({'text': 'the powder of a crushed black pearl worth at least 500 gp', 'cost': 50000})</t>
  </si>
  <si>
    <t>A sphere of negative energy ripples out in a 60-foot-radius sphere from a point within range. Each creature in that area must make a Constitution saving throw. A target takes {@damage 8d6} necrotic damage on a failed save, or half as much damage on a successful one.</t>
  </si>
  <si>
    <t>Heroes' Feast</t>
  </si>
  <si>
    <t>({'text': 'a gem-encrusted bowl worth at least 1,000 gp, which the spell consumes', 'cost': 100000, 'consume': True})</t>
  </si>
  <si>
    <t>You bring forth a great feast, including magnificent food and drink. The feast takes 1 hour to consume and disappears at the end of that time, and the beneficial effects don't set in until this hour is over. Up to twelve creatures can partake of the feast.
 A creature that partakes of the feast gains several benefits. The creature is cured of all diseases and poison, becomes immune to poison and being {@condition frightened}, and makes all Wisdom saving throws with advantage. Its hit point maximum also increases by {@dice 2d10}, and it gains the same number of hit points. These benefits last for 24 hours.</t>
  </si>
  <si>
    <t>Otto's Irresistible Dance</t>
  </si>
  <si>
    <t>Choose one creature that you can see within range. The target begins a comic dance in place: shuffling, tapping its feet, and capering for the duration. Creatures that can't be {@condition charmed} are immune to this spell.
 A dancing creature must use all its movement to dance without leaving its space and has disadvantage on Dexterity saving throws and attack rolls. While the target is affected by this spell, other creatures have advantage on attack rolls against it. As an action, a dancing creature makes a Wisdom saving throw to regain control of itself. On a successful save, the spell ends.</t>
  </si>
  <si>
    <t>Scatter</t>
  </si>
  <si>
    <t>The air quivers around up to five creatures of your choice that you can see within range. An unwilling creature must succeed on a Wisdom saving throw to resist this spell. You teleport each affected target to an unoccupied space that you can see within 120 feet of you. That space must be on the ground or on a floor.</t>
  </si>
  <si>
    <t>Wind Walk</t>
  </si>
  <si>
    <t>(fire and holy water)</t>
  </si>
  <si>
    <t>You and up to ten willing creatures you can see within range assume a gaseous form for the duration, appearing as wisps of cloud. While in this cloud form, a creature has a flying speed of 300 feet and has resistance to damage from nonmagical weapons. The only actions a creature can take in this form are the {@action Dash} action or to revert to its normal form. Reverting takes 1 minute, during which time a creature is {@condition incapacitated} and can't move. Until the spell ends, a creature can revert to cloud form, which also requires the 1-minute transformation.
 If a creature is in cloud form and flying when the effect ends, the creature descends 60 feet per round for 1 minute until it lands, which it does safely. If it can't land after 1 minute, the creature falls the remaining distance.</t>
  </si>
  <si>
    <t>Otiluke's Freezing Sphere</t>
  </si>
  <si>
    <t>(a small crystal sphere)</t>
  </si>
  <si>
    <t>A frigid globe of cold energy streaks from your fingertips to a point of your choice within range, where it explodes in a 60-foot-radius sphere. Each creature within the area must make a Constitution saving throw. On a failed save, a creature takes {@damage 10d6} cold damage. On a successful save, it takes half as much damage.
 If the globe strikes a body of water or a liquid that is principally water (not including water-based creatures), it freezes the liquid to a depth of 6 inches over an area 30 feet square. This ice lasts for 1 minute. Creatures that were swimming on the surface of frozen water are trapped in the ice. A trapped creature can use an action to make a Strength check against your spell save DC to break free.
 You can refrain from firing the globe after completing the spell, if you wish. A small globe about the size of a sling stone, cool to the touch, appears in your hand. At any time, you or a creature you give the globe to can throw the globe (to a range of 40 feet) or hurl it with a sling (to the sling's normal range). It shatters on impact, with the same effect as the normal casting of the spell. You can also set the globe down without shattering it. After 1 minute, if the globe hasn't already shattered, it explodes.</t>
  </si>
  <si>
    <t>Word of Recall</t>
  </si>
  <si>
    <t>You and up to five willing creatures within 5 feet of you instantly teleport to a previously designated sanctuary. You and any creatures that teleport with you appear in the nearest unoccupied space to the spot you designated when you prepared your sanctuary (see below). If you cast this spell without first preparing a sanctuary, the spell has no effect.
 You must designate a sanctuary by casting this spell within a location, such as a temple, dedicated to or strongly linked to your deity. If you attempt to cast the spell in this manner in an area that isn't dedicated to your deity, the spell has no effect.</t>
  </si>
  <si>
    <t>Arcane Gate</t>
  </si>
  <si>
    <t>You create linked teleportation portals that remain open for the duration. Choose two points on the ground that you can see, one point within 10 feet of you and one point within 500 feet of you. A circular portal, 10 feet in diameter, opens over each point. If the portal would open in the space occupied by a creature, the spell fails, and the casting is lost.
 The portals are two-dimensional glowing rings filled with mist, hovering inches from the ground and perpendicular to it at the points you choose. A ring is visible only from one side (your choice), which is the side that functions as a portal.
 Any creature or object entering the portal exits from the other portal as if the two were adjacent to each other; passing through a portal from the nonportal side has no effect. The mist that fills each portal is opaque and blocks vision through it. On your turn, you can rotate the rings as a bonus action so that the active side faces in a different direction.</t>
  </si>
  <si>
    <t>Disintegrate</t>
  </si>
  <si>
    <t>(a lodestone and a pinch of dust)</t>
  </si>
  <si>
    <t>A thin green ray springs from your pointing finger to a target that you can see within range. The target can be a creature, an object, or a creation of magical force, such as the wall created by {@spell wall of force}.
 A creature targeted by this spell must make a Dexterity saving throw. On a failed save, the target takes {@damage 10d6 + 40} force damage. The target is disintegrated if this damage leaves it with 0 hit points.
 A disintegrated creature and everything it is wearing and carrying, except magic items, are reduced to a pile of fine gray dust. The creature can be restored to life only by means of a {@spell true resurrection} or a {@spell wish} spell.
 This spell automatically disintegrates a Large or smaller nonmagical object or a creation of magical force. If the target is a Huge or larger object or creation of force, this spell disintegrates a 10-foot-cube portion of it. A magic item is unaffected by this spell.</t>
  </si>
  <si>
    <t>Flesh to Stone</t>
  </si>
  <si>
    <t>(a pinch of lime, water, and earth)</t>
  </si>
  <si>
    <t>You attempt to turn one creature that you can see within range into stone. If the target's body is made of flesh, the creature must make a Constitution saving throw. On a failed save, it is {@condition restrained} as its flesh begins to harden. On a successful save, the creature isn't affected.
 A creature {@condition restrained} by this spell must make another Constitution saving throw at the end of each of its turns. If it successfully saves against this spell three times, the spell ends. If it fails its saves three times, it is turned to stone and subjected to the {@condition petrified} condition for the duration. The successes and failures don't need to be consecutive; keep track of both until the target collects three of a kind.
 If the creature is physically broken while {@condition petrified}, it suffers from similar deformities if it reverts to its original state.
 If you maintain your concentration on this spell for the entire possible duration, the creature is turned to stone until the effect is removed.</t>
  </si>
  <si>
    <t>Harm</t>
  </si>
  <si>
    <t>You unleash a virulent disease on a creature that you can see within range. The target must make a Constitution saving throw. On a failed save, it takes {@damage 14d6} necrotic damage, or half as much damage on a successful save. The damage can't reduce the target's hit points below 1. If the target fails the saving throw, its hit point maximum is reduced for 1 hour by an amount equal to the necrotic damage it took. Any effect that removes a disease allows a creature's hit point maximum to return to normal before that time passes.</t>
  </si>
  <si>
    <t>Choose a creature that you can see within range. A surge of positive energy washes through the creature, causing it to regain 70 hit points. This spell also ends {@condition blinded||blindness}, {@condition deafened||deafness}, and any diseases affecting the target. This spell has no effect on constructs or undead.</t>
  </si>
  <si>
    <t>Mass Suggestion</t>
  </si>
  <si>
    <t>You suggest a course of activity (limited to a sentence or two) and magically influence up to twelve creatures of your choice that you can see within range and that can hear and understand you. Creatures that can't be {@condition charmed} are immune to this effect. The suggestion must be worded in such a manner as to make the course of action sound reasonable. Asking the creature to stab itself, throw itself onto a spear, immolate itself, or do some other obviously harmful act automatically negates the effect of the spell.
 Each target must make a Wisdom saving throw. On a failed save, it pursues the course of action you described to the best of its ability. The suggested course of action can continue for the entire duration. If the suggested activity can be completed in a shorter time, the spell ends when the subject finishes what it was asked to do.
 You can also specify conditions that will trigger a special activity during the duration. For example, you might suggest that a group of soldiers give all their money to the first beggar they meet. If the condition isn't met before the spell ends, the activity isn't performed.
 If you or any of your companions damage a creature affected by this spell, the spell ends for that creature.</t>
  </si>
  <si>
    <t>Mental Prison</t>
  </si>
  <si>
    <t>You attempt to bind a creature within an illusory cell that only it perceives. One creature you can see within range must make an Intelligence saving throw. The target succeeds automatically if it is immune to being {@condition charmed}. On a successful save, the target takes {@damage 5d10} psychic damage, and the spell ends. On a failed save, the target takes {@damage 5d10} psychic damage, and you make the area immediately around the target's space appear dangerous to it in some way. You might cause the target to perceive itself as being surrounded by fire, floating razors, or hideous maws filled with dripping teeth. Whatever form the illusion takes, the target can't see or hear anything beyond it and is {@condition restrained} for the spell's duration. If the target is moved out of the illusion, makes a melee attack through it, or reaches any part of its body through it, the target takes {@damage 10d10} psychic damage, and the spell ends.</t>
  </si>
  <si>
    <t>Planar Ally</t>
  </si>
  <si>
    <t>You beseech an otherworldly entity for aid. The being must be known to you: a god, a primordial, a demon prince, or some other being of cosmic power. That entity sends a {@filter celestial|bestiary|type=celestial|miscellaneous=!swarm}, an {@filter elemental|bestiary|type=elemental|miscellaneous=!swarm}, or a {@filter fiend|bestiary|type=fiend|miscellaneous=!swarm} loyal to it to aid you, making the creature appear in an unoccupied space within range. If you know a specific creature's name, you can speak that name when you cast this spell to request that creature, though you might get a different creature anyway (DM's choice).
 When the creature appears, it is under no compulsion to behave in any particular way. You can ask the creature to perform a service in exchange for payment, but it isn't obliged to do so. The requested task could range from simple (fly us across the chasm, or help us fight a battle) to complex (spy on our enemies, or protect us during our foray into the dungeon). You must be able to communicate with the creature to bargain for its services.
 Payment can take a variety of forms. A celestial might require a sizable donation of gold or magic items to an allied temple, while a fiend might demand a living sacrifice or a gift of treasure. Some creatures might exchange their service for a quest undertaken by you.
 As a rule of thumb, a task that can be measured in minutes requires a payment worth 100 gp per minute. A task measured in hours requires 1,000 gp per hour. And a task measured in days (up to 10 days) requires 10,000 gp per day. The DM can adjust these payments based on the circumstances under which you cast the spell. If the task is aligned with the creature's ethos, the payment might be halved or even waived. Nonhazardous tasks typically require only half the suggested payment, while especially dangerous tasks might require a greater gift. Creatures rarely accept tasks that seem suicidal.
 After the creature completes the task, or when the agreed-upon duration of service expires, the creature returns to its home plane after reporting back to you, if appropriate to the task and if possible. If you are unable to agree on a price for the creature's service, the creature immediately returns to its home plane.
 A creature enlisted to join your group counts as a member of it, receiving a full share of experience points awarded.</t>
  </si>
  <si>
    <t>Soul Cage</t>
  </si>
  <si>
    <t>({'text': 'a tiny silver cage worth 100 gp', 'cost': 10000})</t>
  </si>
  <si>
    <t>This spell snatches the soul of a humanoid as it dies and traps it inside the tiny cage you use for the material component. A stolen soul remains inside the cage until the spell ends or until you destroy the cage, which ends the spell. While you have a soul inside the cage, you can exploit it in any of the ways described below. You can use a trapped soul up to six times. Once you exploit a soul for the sixth time, it is released, and the spell ends. While a soul is trapped, the dead humanoid it came from can't be revived.
 Steal LifeYou can use a bonus action to drain vigor from the soul and regain {@dice 2d8} hit points.
 Query SoulYou ask the soul a question (no action required) and receive a brief telepathic answer, which you can understand regardless of the language used. The soul knows only what it knew in life, but it must answer you truthfully and to the best of its ability. The answer is no more than a sentence or two and might be cryptic.
 Borrow ExperienceYou can use a bonus action to bolster yourself with the soul's life experience, making your next attack roll, ability check, or saving throw with advantage. If you don't use this benefit before the start of your next turn, it is lost.
 Eyes of the DeadYou can use an action to name a place the humanoid saw in life, which creates an invisible sensor somewhere in that place if it is on the plane of existence you're currently on. The sensor remains for as long as you concentrate, up to 10 minutes (as if you were concentrating on a spell). You receive visual and auditory information from the sensor as if you were in its space using your senses.
 A creature that can see the sensor (such as one using {@spell see invisibility} or {@sense truesight}) sees a translucent image of the tormented humanoid whose soul you caged.</t>
  </si>
  <si>
    <t>Sunbeam</t>
  </si>
  <si>
    <t>(a magnifying glass)</t>
  </si>
  <si>
    <t>A beam of brilliant light flashes out from your hand in a 5-foot-wide, 60-foot-long line. Each creature in the line must make a Constitution saving throw. On a failed save, a creature takes {@damage 6d8} radiant damage and is {@condition blinded} until your next turn. On a successful save, it takes half as much damage and isn't {@condition blinded} by this spell. Undead and oozes have disadvantage on this saving throw.
 You can create a new line of radiance as your action on any turn until the spell ends.
 For the duration, a mote of brilliant radiance shines in your hand. It sheds bright light in a 30-foot radius and dim light for an additional 30 feet. This light is sunlight.</t>
  </si>
  <si>
    <t>Blade Barrier</t>
  </si>
  <si>
    <t>You create a vertical wall of whirling, razor-sharp blades made of magical energy. The wall appears within range and lasts for the duration. You can make a straight wall up to 100 feet long, 20 feet high, and 5 feet thick, or a ringed wall up to 60 feet in diameter, 20 feet high, and 5 feet thick. The wall provides three-quarters cover to creatures behind it, and its space is difficult terrain.
 When a creature enters the wall's area for the first time on a turn or starts its turn there, the creature must make a Dexterity saving throw. On a failed save, the creature takes {@damage 6d10} slashing damage. On a successful save, the creature takes half as much damage.</t>
  </si>
  <si>
    <t>Conjure Fey</t>
  </si>
  <si>
    <t>You summon a {@filter fey creature of challenge rating 6 or lower|bestiary|challenge rating=[&amp;0;&amp;6]|type=fey|miscellaneous=!swarm}, or a fey spirit that takes the form of a {@filter beast of challenge rating 6 or lower|bestiary|challenge rating=[&amp;0;&amp;6]|type=beast|miscellaneous=!swarm}. It appears in an unoccupied space that you can see within range. The fey creature disappears when it drops to 0 hit points or when the spell ends.
 The fey creature is friendly to you and your companions for the duration. Roll initiative for the creature, which has its own turns. It obeys any verbal commands that you issue to it (no action required by you), as long as they don't violate its alignment. If you don't issue any commands to the fey creature, it defends itself from hostile creatures but otherwise takes no actions.
 If your concentration is broken, the fey creature doesn't disappear. Instead, you lose control of the fey creature, it becomes hostile toward you and your companions, and it might attack. An uncontrolled fey creature can't be dismissed by you, and it disappears 1 hour after you summoned it.
 The DM has the fey creature's statistics.</t>
  </si>
  <si>
    <t>Druid,Warlock</t>
  </si>
  <si>
    <t>Summon Fiend</t>
  </si>
  <si>
    <t>({'text': 'humanoid blood inside a ruby vial worth at least 600 gp', 'cost': 60000})</t>
  </si>
  <si>
    <t>You call forth a fiendish spirit. It manifests in an unoccupied space that you can see within range. This corporeal form uses the {@creature Fiendish Spirit|TCE} stat block. When you cast the spell, choose Demon, Devil, or Yugoloth. The creature resembles a fiend of the chosen type, which determines certain traits in its stat block. The creature disappears when it drops to 0 hit points or when the spell ends.
 The creature is an ally to you and your companions. In combat, the creature shares your initiative count, but it takes its turn immediately after yours. It obeys your verbal commands (no action required by you). If you don't issue any, it takes the {@action Dodge} action and uses its move to avoid danger.</t>
  </si>
  <si>
    <t>Contingency</t>
  </si>
  <si>
    <t>({'text': 'a statuette of yourself carved from ivory and decorated with gems worth at least 1,500 gp', 'cost': 150000})</t>
  </si>
  <si>
    <t>Choose a spell of 5th level or lower that you can cast, that has a casting time of 1 action, and that can target you. You cast that spellÃ¢â‚¬â€_x009d_called the contingent spellÃ¢â‚¬â€_x009d_as part of casting contingency, expending spell slots for both, but the contingent spell doesn't come into effect. Instead, it takes effect when a certain circumstance occurs. You describe that circumstance when you cast the two spells. For example, a contingency cast with {@spell water breathing} might stipulate that {@spell water breathing} comes into effect when you are engulfed in water or a similar liquid.
 The contingent spell takes effect immediately after the circumstance is met for the first time, whether or not you want it to, and then contingency ends.
 The contingent spell takes effect only on you, even if it can normally target others. You can use only one contingency spell at a time. If you cast this spell again, the effect of another contingency spell on you ends. Also, contingency ends on you if its material component is ever not on your person.</t>
  </si>
  <si>
    <t>Eyebite</t>
  </si>
  <si>
    <t>For the spell's duration, your eyes become an inky void imbued with dread power. One creature of your choice within 60 feet of you that you can see must succeed on a Wisdom saving throw or be affected by one of the following effects of your choice for the duration. On each of your turns until the spell ends, you can use your action to target another creature but can't target a creature again if it has succeeded on a saving throw against this casting of eyebite.
 AsleepThe target falls {@condition unconscious}. It wakes up if it takes any damage or if another creature uses its action to shake the sleeper awake.
 PanickedThe target is {@condition frightened} of you. On each of its turns, the {@condition frightened} creature must take the {@action Dash} action and move away from you by the safest and shortest available route, unless there is nowhere to move. If the target moves to a place at least 60 feet away from you where it can no longer see you, this effect ends.
 SickenedThe target has disadvantage on attack rolls and ability checks. At the end of each of its turns, it can make another Wisdom saving throw. If it succeeds, the effect ends.</t>
  </si>
  <si>
    <t>Find the Path</t>
  </si>
  <si>
    <t>({'text': 'a set of divinatory toolsÃ¢â‚¬â€_x009d_such as bones, ivory sticks, cards, teeth, or carved runesÃ¢â‚¬â€_x009d_worth 100 gp and an object from the location you wish to find', 'cost': 10000})</t>
  </si>
  <si>
    <t>1 day</t>
  </si>
  <si>
    <t>This spell allows you to find the shortest, most direct physical route to a specific fixed location that you are familiar with on the same plane of existence. If you name a destination on another plane of existence, a destination that moves (such as a mobile fortress), or a destination that isn't specific (such as "a green dragon's lair"), the spell fails.
 For the duration, as long as you are on the same plane of existence as the destination, you know how far it is and in what direction it lies. While you are traveling there, whenever you are presented with a choice of paths along the way, you automatically determine which path is the shortest and most direct route (but not necessarily the safest route) to the destination.</t>
  </si>
  <si>
    <t>Investiture of Flame</t>
  </si>
  <si>
    <t>Flames race across your body, shedding bright light in a 30-foot radius and dim light for an additional 30 feet for the spell's duration. The flames don't harm you. Until the spell ends, you gain the following benefits:
 You are immune to fire damage and have resistance to cold damage.
 Any creature that moves within 5 feet of you for the first time on a turn or ends its turn there takes {@damage 1d10} fire damage.
 You can use your action to create a line of fire 15 feet long and 5 feet wide extending from you in a direction you choose. Each creature in the line must make a Dexterity saving throw. A creature takes {@damage 4d8} fire damage on a failed save, or half as much damage on a successful one.</t>
  </si>
  <si>
    <t>Investiture of Ice</t>
  </si>
  <si>
    <t>Until the spell ends, ice rimes your body, and you gain the following benefits:
 You are immune to cold damage and have resistance to fire damage.
 You can move across difficult terrain created by ice or snow without spending extra movement.
 The ground in a 10-foot radius around you is icy and is difficult terrain for creatures other than you. The radius moves with you.
 You can use your action to create a 15-foot cone of freezing wind extending from your outstretched hand in a direction you choose. Each creature in the cone must make a Constitution saving throw. A creature takes {@damage 4d6} cold damage on a failed save, or half as much damage on a successful one. A creature that fails its save against this effect has its speed halved until the start of your next turn.</t>
  </si>
  <si>
    <t>Investiture of Stone</t>
  </si>
  <si>
    <t>Until the spell ends, bits of rock spread across your body, and you gain the following benefits:
 You have resistance to bludgeoning, piercing, and slashing damage from nonmagical attacks.
 You can use your action to create a small earthquake on the ground in a 15-foot radius centered on you. Other creatures on that ground must succeed on a Dexterity saving throw or be knocked {@condition prone}.
 You can move across difficult terrain made of earth or stone without spending extra movement. You can move through solid earth or stone as if it was air and without destabilizing it, but you can't end your movement there. If you do so, you are ejected to the nearest unoccupied space, this spell ends, and you are {@condition stunned} until the end of your next turn.</t>
  </si>
  <si>
    <t>Investiture of Wind</t>
  </si>
  <si>
    <t>Until the spell ends, wind whirls around you, and you gain the following benefits:
 Ranged weapon attacks made against you have disadvantage on the attack roll.
 You gain a flying speed of 60 feet. If you are still flying when the spell ends, you fall, unless you can somehow prevent it.
 You can use your action to create a 15-foot cube of swirling wind centered on a point you can see within 60 feet of you. Each creature in that area must make a Constitution saving throw. A creature takes {@damage 2d10} bludgeoning damage on a failed save, or half as much damage on a successful one. If a Large or smaller creature fails the save, that creature is also pushed up to 10 feet away from the center of the cube.</t>
  </si>
  <si>
    <t>Magic Jar</t>
  </si>
  <si>
    <t>({'text': 'a gem, crystal, reliquary, or some other ornamental container worth at least 500 gp', 'cost': 50000})</t>
  </si>
  <si>
    <t>Your body falls into a catatonic state as your soul leaves it and enters the container you used for the spell's material component. While your soul inhabits the container, you are aware of your surroundings as if you were in the container's space. You can't move or use reactions. The only action you can take is to project your soul up to 100 feet out of the container, either returning to your living body (and ending the spell) or attempting to possess a humanoids body.
 You can attempt to possess any humanoid within 100 feet of you that you can see (creatures warded by a {@spell protection from evil and good} or {@spell magic circle} spell can't be possessed). The target must make a Charisma saving throw. On a failure, your soul moves into the target's body, and the target's soul becomes trapped in the container. On a success, the target resists your efforts to possess it, and you can't attempt to possess it again for 24 hours.
 Once you possess a creature's body, you control it. Your game statistics are replaced by the statistics of the creature, though you retain your alignment and your Intelligence, Wisdom, and Charisma scores. You retain the benefit of your own class features. If the target has any class levels, you can't use any of its class features.
 Meanwhile, the possessed creature's soul can perceive from the container using its own senses, but it can't move or take actions at all.
 While possessing a body, you can use your action to return from the host body to the container if it is within 100 feet of you, returning the host creature's soul to its body. If the host body dies while you're in it, the creature dies, and you must make a Charisma saving throw against your own spellcasting DC. On a success, you return to the container if it is within 100 feet of you. Otherwise, you die.
 If the container is destroyed or the spell ends, your soul immediately returns to your body. If your body is more than 100 feet away from you or if your body is dead when you attempt to return to it, you die. If another creature's soul is in the container when it is destroyed, the creature's soul returns to its body if the body is alive and within 100 feet. Otherwise, that creature dies.
 When the spell ends, the container is destroyed.</t>
  </si>
  <si>
    <t>Primordial Ward</t>
  </si>
  <si>
    <t>You have resistance to acid, cold, fire, lightning, and thunder damage for the spell's duration.
 When you take damage of one of those types, you can use your reaction to gain immunity to that type of damage, including against the triggering damage. If you do so, the resistances end, and you have the immunity until the end of your next turn, at which time the spell ends.</t>
  </si>
  <si>
    <t>Tasha's Otherworldly Guise</t>
  </si>
  <si>
    <t>({'text': 'an object engraved with a symbol of the Outer Planes, worth at least 500 gp', 'cost': 50000})</t>
  </si>
  <si>
    <t>Uttering an incantation, you draw on the magic of the Lower Planes or Upper Planes (your choice) to transform yourself. You gain the following benefits until the spell ends:
 You are immune to fire and poison damage (Lower Planes) or radiant and necrotic damage (Upper Planes).
 You are immune to the {@condition poisoned} condition (Lower Planes) or the {@condition charmed} condition (Upper Planes).
 Spectral wings appear on your back, giving you a flying speed of 40 feet.
 You have a +2 bonus to AC.
 All your weapon attacks are magical, and when you make a weapon attack, you can use your spellcasting ability modifier, instead of Strength or Dexterity, for the attack and damage rolls.
 You can attack twice, instead of once, when you take the {@action Attack} action on your turn. You ignore this benefit if you already have a feature, like Extra Attack, that lets you attack more than once when you take the Attack action on your turn.</t>
  </si>
  <si>
    <t>Tenser's Transformation</t>
  </si>
  <si>
    <t>(a few hairs from a bull)</t>
  </si>
  <si>
    <t>You endow yourself with endurance and martial prowess fueled by magic. Until the spell ends, you can't cast spells, and you gain the following benefits:
 You gain 50 temporary hit points. If any of these remain when the spell ends, they are lost.
 You have advantage on attack rolls that you make with simple and martial weapons.
 When you hit a target with a weapon attack, that target takes an extra {@damage 2d12} force damage.
 You have proficiency with all armor, shields, simple weapons, and martial weapons.
 You have proficiency in Strength and Constitution saving throws.
 You can attack twice, instead of once, when you take the {@action Attack} action on your turn. You ignore this benefit if you already have a feature, like Extra Attack, that gives you extra attacks.Immediately after the spell ends, you must succeed on a DC 15 Constitution saving throw or suffer one level of {@condition exhaustion}.</t>
  </si>
  <si>
    <t>Create Homunculus</t>
  </si>
  <si>
    <t>({'text': 'clay, ash, and mandrake root, all of which the spell consumes, and a jewel-encrusted dagger worth at least 1,000 gp', 'cost': 100000, 'consume': True})</t>
  </si>
  <si>
    <t>While speaking an intricate incantation, you cut yourself with a jewel-encrusted dagger, taking {@damage 2d4} piercing damage that can't be reduced in any way. You then drip your blood on the spell's other components and touch them, transforming them into a special construct called a {@creature homunculus}.
 The statistics of the {@creature homunculus} are in the Monster Manual. It is your faithful companion, and it dies if you die. Whenever you finish a long rest, you can spend up to half your Hit Dice if the homunculus is on the same plane of existence as you. When you do so, roll each die and add your Constitution modifier to it. Your hit point maximum is reduced by the total, and the homunculus's hit point maximum and current hit points are both increased by it. This process can reduce you to no lower than 1 hit point, and the change to your and the homunculus's hit points ends when you finish your next long rest. The reduction to your hit point maximum can't be removed by any means before then, except by the homunculus's death.
 You can have only one homunculus at a time. If you cast this spell while your homunculus lives, the spell fails.</t>
  </si>
  <si>
    <t>Drawmij's Instant Summons</t>
  </si>
  <si>
    <t>({'text': 'a sapphire worth 1,000 gp', 'cost': 100000})</t>
  </si>
  <si>
    <t>You touch an object weighing 10 pounds or less whose longest dimension is 6 feet or less. The spell leaves an invisible mark on its surface and invisibly inscribes the name of the item on the sapphire you use as the material component. Each time you cast this spell, you must use a different sapphire.
 At any time thereafter, you can use your action to speak the item's name and crush the sapphire. The item instantly appears in your hand regardless of physical or planar distances, and the spell ends.
 If another creature is holding or carrying the item, crushing the sapphire doesn't transport the item to you, but instead you learn who the creature possessing the object is and roughly where that creature is located at that moment.
 {@spell Dispel magic} or a similar effect successfully applied to the sapphire ends this spell's effect.</t>
  </si>
  <si>
    <t>Druid Grove</t>
  </si>
  <si>
    <t>({'text': 'mistletoe, which the spell consumes, that was harvested with a golden sickle under the light of a full moon', 'consume': True})</t>
  </si>
  <si>
    <t>You invoke the spirits of nature to protect an area outdoors or underground. The area can be as small as a 30-foot cube or as large as a 90-foot cube. Buildings and other structures are excluded from the affected area. If you cast this spell in the same area every day for a year, the spell lasts until dispelled.
 The spell creates the following effects within the area. When you cast this spell, you can specify creatures as friends who are immune to the effects. You can also specify a password that, when spoken aloud, makes the speaker immune to these effects.
 The entire warded area radiates magic. A {@spell dispel magic} cast on the area, if successful, removes only one of the following effects, not the entire area. That spell's caster chooses which effect to end. Only when all its effects are gone is this spell dispelled.
 Solid FogYou can fill any number of 5-foot squares on the ground with thick fog, making them heavily obscured. The fog reaches 10 feet high. In addition, every foot of movement through the fog costs 2 extra feet. To a creature immune to this effect, the fog obscures nothing and looks like soft mist, with motes of green light floating in the air.
 Grasping UndergrowthYou can fill any number of 5-foot squares on the ground that aren't filled with fog with grasping weeds and vines, as if they were affected by an {@spell entangle} spell. To a creature immune to this effect, the weeds and vines feel soft and reshape themselves to serve as temporary seats or beds.
 Grove GuardiansYou can animate up to four trees in the area, causing them to uproot themselves from the ground. These trees have the same statistics as an {@creature awakened tree}, which appears in the Monster Manual, except they can't speak, and their bark is covered with druidic symbols. If any creature not immune to this effect enters the warded area, the grove guardians fight until they have driven off or slain the intruders. The grove guardians also obey your spoken commands (no action required by you) that you issue while in the area. If you don't give them commands and no intruders are present, the grove guardians do nothing. The grove guardians can't leave the warded area. When the spell ends, the magic animating them disappears, and the trees take root again if possible.
 Additional Spell EffectYou can place your choice of one of the following magical effects within the warded area:
 A constant {@spell gust of wind} in two locations of your choice
 {@spell Spike growth} in one location of your choice
 {@spell Wind wall} in two locations of your choiceTo a creature immune to this effect, the winds are a fragrant, gentle breeze, and the area of {@spell spike growth} is harmless.</t>
  </si>
  <si>
    <t>Forbiddance</t>
  </si>
  <si>
    <t>({'text': 'a sprinkling of holy water, rare incense, and powdered ruby worth at least 1,000 gp', 'cost': 100000})</t>
  </si>
  <si>
    <t>You create a ward against magical travel that protects up to 40,000 square feet of floor space to a height of 30 feet above the floor. For the duration, creatures can't teleport into the area or use portals, such as those created by the {@spell gate} spell, to enter the area. The spell proofs the area against planar travel, and therefore prevents creatures from accessing the area by way of the Astral Plane, Ethereal Plane, Feywild, Shadowfell, or the {@spell plane shift} spell.
 In addition, the spell damages types of creatures that you choose when you cast it. Choose one or more of the following: celestials, elementals, fey, fiends, and undead. When a chosen creature enters the spell's area for the first time on a turn or starts its turn there, the creature takes {@damage 5d10} radiant or necrotic damage (your choice when you cast this spell).
 When you cast this spell, you can designate a password. A creature that speaks the password as it enters the area takes no damage from the spell.
 The spell's area can't overlap with the area of another forbiddance spell. If you cast forbiddance every day for 30 days in the same location, the spell lasts until it is dispelled, and the material components are consumed on the last casting.</t>
  </si>
  <si>
    <t>Guards and Wards</t>
  </si>
  <si>
    <t>({'text': 'burning incense, a small measure of brimstone and oil, a knotted string, a small amount of umber hulk blood, and a small silver rod worth at least 10 gp', 'cost': 1000})</t>
  </si>
  <si>
    <t>You create a ward that protects up to 2,500 square feet of floor space (an area 50 feet square, or one hundred 5-foot squares or twenty-five 10-foot squares). The warded area can be up to 20 feet tall, and shaped as you desire. You can ward several stories of a stronghold by dividing the area among them, as long as you can walk into each contiguous area while you are casting the spell.
 When you cast this spell, you can specify individuals that are unaffected by any or all of the effects that you choose. You can also specify a password that, when spoken aloud, makes the speaker immune to these effects.
 Guards and wards creates the following effects within the warded area.
 CorridorsFog fills all the warded corridors, making them heavily obscured. In addition, at each intersection or branching passage offering a choice of direction, there is a {@chance 50|50 percent} chance that a creature other than you will believe it is going in the opposite direction from the one it chooses.
 DoorsAll doors in the warded area are magically locked, as if sealed by an {@spell arcane lock} spell. In addition, you can cover up to ten doors with an illusion (equivalent to the illusory object function of the {@spell minor illusion} spell) to make them appear as plain sections of wall.
 StairsWebs fill all stairs in the warded area from top to bottom, as the {@spell web} spell. These strands regrow in 10 minutes if they are burned or torn away while guards and wards lasts.
 Other Spell EffectYou can place your choice of one of the following magical effects within the warded area of the stronghold.
 Place {@spell dancing lights} in four corridors. You can designate a simple program that the lights repeat as long as guards and wards lasts.
 Place {@spell magic mouth} in two locations.
 Place {@spell stinking cloud} in two locations. The vapors appear in the places you designate; they return within 10 minutes if dispersed by wind while guards and wards lasts.
 Place a constant {@spell gust of wind} in one corridor or room.
 Place a {@spell suggestion} in one location. You select an area of up to 5 feet square, and any creature that enters or passes through the area receives the suggestion mentally.The whole warded area radiates magic. A {@spell dispel magic} cast on a specific effect, if successful, removes only that effect.
 You can create a permanently guarded and warded structure by casting this spell there every day for one year.</t>
  </si>
  <si>
    <t>True Seeing</t>
  </si>
  <si>
    <t>({'text': 'an ointment for the eyes that costs 25 gp; is made from mushroom powder, saffron, and fat; and is consumed by the spell', 'cost': 2500, 'consume': True})</t>
  </si>
  <si>
    <t>This spell gives the willing creature you touch the ability to see things as they actually are. For the duration, the creature has {@sense truesight}, notices secret doors hidden by magic, and can see into the Ethereal Plane, all out to a range of 120 feet.</t>
  </si>
  <si>
    <t>Teleport</t>
  </si>
  <si>
    <t>This spell instantly transports you and up to eight willing creatures of your choice that you can see within range, or a single object that you can see within range, to a destination you select. If you target an object, it must be able to fit entirely inside a 10-foot cube, and it can't be held or carried by an unwilling creature.
 The destination you choose must be known to you, and it must be on the same plane of existence as you. Your familiarity with the destination determines whether you arrive there successfully. The DM rolls {@dice d100} and consults the table.
 Familiarity"Permanent circle" means a permanent teleportation circle whose sigil sequence you know. "Associated object" means that you possess an object taken from the desired destination within the last six months, such as a book from a wizard's library, bed linen from a royal suite, or a chunk of marble from a lich's secret tomb.
 "Very familiar" is a place you have been very often, a place you have carefully studied, or a place you can see when you cast the spell. "Seen casually" is someplace you have seen more than once but with which you aren't very familiar. "Viewed once" is a place you have seen once, possibly using magic. "Description" is a place whose location and appearance you know through someone else's description, perhaps from a map.
 "False destination" is a place that doesn't exist. Perhaps you tried to scry an enemy's sanctum but instead viewed an illusion, or you are attempting to teleport to a familiar location that no longer exists.
 On TargetYou and your group (or the target object) appear where you want to.
 Off TargetYou and your group (or the target object) appear a random distance away from the destination in a random direction. Distance off target is {@dice 1d10 Ãƒâ€” 1d10} percent of the distance that was to be traveled. For example, if you tried to travel 120 miles, landed off target, and rolled a 5 and 3 on the two {@dice d10}s, then you would be off target by 15 percent, or 18 miles. The DM determines the direction off target randomly by rolling a {@dice d8} and designating 1 as north, 2 as northeast, 3 as east, and so on around the points of the compass. If you were teleporting to a coastal city and wound up 18 miles out at sea, you could be in trouble.
 Similar AreaYou and your group (or the target object) wind up in a different area that's visually or thematically similar to the target area. If you are heading for your home laboratory, for example, you might wind up in another wizard's laboratory or in an alchemical supply shop that has many of the same tools and implements as your laboratory. Generally, you appear in the closest similar place, but since the spell has no range limit, you could conceivably wind up anywhere on the plane.
 MishapThe spell's unpredictable magic results in a difficult journey. Each teleporting creature (or the target object) takes {@damage 3d10} force damage, and the DM rerolls on the table to see where you wind up (multiple mishaps can occur, dealing damage each time).</t>
  </si>
  <si>
    <t>Forcecage</t>
  </si>
  <si>
    <t>({'text': 'ruby dust worth 1,500 gp', 'cost': 150000})</t>
  </si>
  <si>
    <t>An immobile, invisible, cube-shaped prison composed of magical force springs into existence around an area you choose within range. The prison can be a cage or a solid box as you choose.
 A prison in the shape of a cage can be up to 20 feet on a side and is made from 1/2-inch diameter bars spaced 1/2 inch apart.
 A prison in the shape of a box can be up to 10 feet on a side, creating a solid barrier that prevents any matter from passing through it and blocking any spells cast into or out from the area.
 When you cast the spell, any creature that is completely inside the cage's area is trapped. Creatures only partially within the area, or those too large to fit inside the area, are pushed away from the center of the area until they are completely outside the area.
 A creature inside the cage can't leave it by nonmagical means. If the creature tries to use teleportation or interplanar travel to leave the cage, it must first make a Charisma saving throw. On a success, the creature can use that magic to exit the cage. On a failure, the creature can't exit the cage and wastes the use of the spell or effect. The cage also extends into the Ethereal Plane, blocking ethereal travel.
 This spell can't be dispelled by {@spell dispel magic}.</t>
  </si>
  <si>
    <t>Reverse Gravity</t>
  </si>
  <si>
    <t>(a lodestone and iron filings)</t>
  </si>
  <si>
    <t>This spell reverses gravity in a 50-foot-radius, 100-foot-high cylinder centered on a point within range. All creatures and objects that aren't somehow anchored to the ground in the area fall upward and reach the top of the area when you cast this spell. A creature can make a Dexterity saving throw to grab onto a fixed object it can reach, thus avoiding the fall.
 If some solid object (such as a ceiling) is encountered in this fall, falling objects and creatures strike it just as they would during a normal downward fall. If an object or creature reaches the top of the area without striking anything, it remains there, oscillating slightly, for the duration.
 At the end of the duration, affected objects and creatures fall back down.</t>
  </si>
  <si>
    <t>Temple of the Gods</t>
  </si>
  <si>
    <t>({'text': 'a holy symbol worth at least 5 gp', 'cost': 500})</t>
  </si>
  <si>
    <t>You cause a temple to shimmer into existence on ground you can see within range. The temple must fit within an unoccupied cube of space, up to 120 feet on each side. The temple remains until the spell ends. It is dedicated to whatever god, pantheon, or philosophy is represented by the holy symbol used in the casting.
 You make all decisions about the temple's appearance. The interior is enclosed by a floor, walls, and a roof, with one door granting access to the interior and as many windows as you wish. Only you and any creatures you designate when you cast the spell can open or close the door.
 The temple's interior is an open space with an idol or altar at one end. You decide whether the temple is illuminated and whether that illumination is bright light or dim light. The smell of burning incense fills the air within, and the temperature is mild.
 The temple opposes types of creatures you choose when you cast this spell. Choose one or more of the following: celestials, elementals, fey, fiends, or undead. If a creature of the chosen type attempts to enter the temple, that creature must make a Charisma saving throw. On a failed save, it can't enter the temple for 24 hours. Even if the creature can enter the temple, the magic there hinders it; whenever it makes an attack roll, an ability check, or a saving throw inside the temple, it must roll a {@dice d4} and subtract the number rolled from the {@dice d20} roll.
 In addition, the sensors created by divination spells can't appear inside the temple, and creatures within can't be targeted by divination spells.
 Finally, whenever any creature in the temple regains hit points from a spell of 1st level or higher, the creature regains additional hit points equal to your Wisdom modifier (minimum 1 hit point).
 The temple is made from opaque magical force that extends into the Ethereal Plane, thus blocking ethereal travel into the temple's interior. Nothing can physically pass through the temple's exterior. It can't be dispelled by {@spell dispel magic}, and {@spell antimagic field} has no effect on it. A {@spell disintegrate} spell destroys the temple instantly.
 Casting this spell on the same spot every day for a year makes this effect permanent.</t>
  </si>
  <si>
    <t>Delayed Blast Fireball</t>
  </si>
  <si>
    <t>A beam of yellow light flashes from your pointing finger, then condenses to linger at a chosen point within range as a glowing bead for the duration. When the spell ends, either because your concentration is broken or because you decide to end it, the bead blossoms with a low roar into an explosion of flame that spreads around corners. Each creature in a 20-foot-radius sphere centered on that point must make a Dexterity saving throw. A creature takes fire damage equal to the total accumulated damage on a failed save, or half as much damage on a successful one.
 The spell's base damage is {@damage 12d6}. If at the end of your turn the bead has not yet detonated, the damage increases by {@dice 1d6}.
 If the glowing bead is touched before the interval has expired, the creature touching it must make a Dexterity saving throw. On a failed save, the spell ends immediately, causing the bead to erupt in flame. On a successful save, the creature can throw the bead up to 40 feet. When it strikes a creature or a solid object, the spell ends, and the bead explodes.
 The fire damages objects in the area and ignites flammable objects that aren't being worn or carried.</t>
  </si>
  <si>
    <t>Fire Storm</t>
  </si>
  <si>
    <t>A storm made up of sheets of roaring flame appears in a location you choose within range. The area of the storm consists of up to ten 10-foot cubes, which you can arrange as you wish. Each cube must have at least one face adjacent to the face of another cube. Each creature in the area must make a Dexterity saving throw. It takes {@damage 7d10} fire damage on a failed save, or half as much damage on a successful one.
 The fire damages objects in the area and ignites flammable objects that aren't being worn or carried. If you choose, plant life in the area is unaffected by this spell.</t>
  </si>
  <si>
    <t>Dream of the Blue Veil</t>
  </si>
  <si>
    <t>20 feet</t>
  </si>
  <si>
    <t>(a magic item or a willing creature from the destination world)</t>
  </si>
  <si>
    <t>6 hour</t>
  </si>
  <si>
    <t>You and up to eight willing creatures within range fall {@condition unconscious} for the spell's duration and experience visions of another world on the Material Plane, such as Oerth, Toril, Krynn, or Eberron. If the spell reaches its full duration, the visions conclude with each of you encountering and pulling back a mysterious blue curtain. The spell then ends with you mentally and physically transported to the world that was in the visions.
 To cast this spell, you must have a magic item that originated on the world you wish to reach, and you must be aware of the world's existence, even if you don't know the world's name. Your destination in the other world is a safe location within 1 mile of where the magic item was created. Alternatively, you can cast the spell if one of the affected creatures was born on the other world, which causes your destination to be a safe location within 1 mile of where that creature was born.
 The spell ends early on a creature if that creature takes any damage, and the creature isn't transported. If you take any damage, the spell ends for you and all the other creatures, with none of you being transported.</t>
  </si>
  <si>
    <t>Divine Word</t>
  </si>
  <si>
    <t>You utter a divine word, imbued with the power that shaped the world at the dawn of creation. Choose any number of creatures you can see within range. Each creature that can hear you must make a Charisma saving throw. On a failed save, a creature suffers an effect based on its current hit points:
 50 hit points or fewer: {@condition deafened} for 1 minute
 40 hit points or fewer: {@condition deafened} and {@condition blinded} for 10 minutes
 30 hit points or fewer: {@condition blinded}, {@condition deafened}, and {@condition stunned} for 1 hour
 20 hit points or fewer: killed instantlyRegardless of its current hit points, a celestial, an elemental, a fey, or a fiend that fails its save is forced back to its plane of origin (if it isn't there already) and can't return to your current plane for 24 hours by any means short of a {@spell wish} spell.</t>
  </si>
  <si>
    <t>Mordenkainen's Magnificent Mansion</t>
  </si>
  <si>
    <t>({'text': 'a miniature portal carved from ivory, a small piece of polished marble, and a tiny silver spoon, each item worth at least 5 gp', 'cost': 500})</t>
  </si>
  <si>
    <t>You conjure an extradimensional dwelling in range that lasts for the duration. You choose where its one entrance is located. The entrance shimmers faintly and is 5 feet wide and 10 feet tall. You and any creature you designate when you cast the spell can enter the extradimensional dwelling as long as the portal remains open. You can open or close the portal if you are within 30 feet of it. While closed, the portal is invisible.
 Beyond the portal is a magnificent foyer with numerous chambers beyond. The atmosphere is clean, fresh, and warm.
 You can create any floor plan you like, but the space can't exceed 50 cubes, each cube being 10 feet on each side. The place is furnished and decorated as you choose. It contains sufficient food to serve a nine course banquet for up to 100 people. A staff of 100 near-transparent servants attends all who enter. You decide the visual appearance of these servants and their attire. They are completely obedient to your orders. Each servant can perform any task a normal human servant could perform, but they can't attack or take any action that would directly harm another creature. Thus the servants can fetch things, clean, mend, fold clothes, light fires, serve food, pour wine, and so on. The servants can go anywhere in the mansion but can't leave it. Furnishings and other objects created by this spell dissipate into smoke if removed from the mansion. When the spell ends, any creatures inside the extradimensional space are expelled into the open spaces nearest to the entrance.</t>
  </si>
  <si>
    <t>Whirlwind</t>
  </si>
  <si>
    <t>(a piece of straw)</t>
  </si>
  <si>
    <t>A whirlwind howls down to a point that you can see on the ground within range. The whirlwind is a 10-foot-radius, 30-foot-high cylinder centered on that point. Until the spell ends, you can use your action to move the whirlwind up to 30 feet in any direction along the ground. The whirlwind sucks up any Medium or smaller objects that aren't secured to anything and that aren't worn or carried by anyone.
 A creature must make a Dexterity saving throw the first time on a turn that it enters the whirlwind or that the whirlwind enters its space, including when the whirlwind first appears. A creature takes {@damage 10d6} bludgeoning damage on a failed save, or half as much damage on a successful one. In addition, a Large or smaller creature that fails the save must succeed on a Strength saving throw or become {@condition restrained} in the whirlwind until the spell ends. When a creature starts its turn {@condition restrained} by the whirlwind, the creature is pulled 5 feet higher inside it, unless the creature is at the top. A {@condition restrained} creature moves with the whirlwind and falls when the spell ends, unless the creature has some means to stay aloft.
 A {@condition restrained} creature can use an action to make a Strength or Dexterity check against your spell save DC. If successful, the creature is no longer {@condition restrained} by the whirlwind and is hurled {@dice 3d6 Ãƒâ€” 10} feet away from it in a random direction.</t>
  </si>
  <si>
    <t>Project Image</t>
  </si>
  <si>
    <t>500 miles</t>
  </si>
  <si>
    <t>({'text': 'a small replica of you made from materials worth at least 5 gp', 'cost': 500})</t>
  </si>
  <si>
    <t>You create an illusory copy of yourself that lasts for the duration. The copy can appear at any location within range that you have seen before, regardless of intervening obstacles. The illusion looks and sounds like you but is intangible. If the illusion takes any damage, it disappears, and the spell ends.
 You can use your action to move this illusion up to twice your speed, and make it gesture, speak, and behave in whatever way you choose. It mimics your mannerisms perfectly.
 You can see through its eyes and hear through its ears as if you were in its space. On your turn as a bonus action, you can switch from using its senses to using your own, or back again. While you are using its senses, you are {@condition blinded} and {@condition deafened} in regard to your own surroundings.
 Physical interaction with the image reveals it to be an illusion, because things can pass through it. A creature that uses its action to examine the image can determine that it is an illusion with a successful Intelligence ({@skill Investigation}) check against your spell save DC. If a creature discerns the illusion for what it is, the creature can see through the image, and any noise it makes sounds hollow to the creature.</t>
  </si>
  <si>
    <t>Finger of Death</t>
  </si>
  <si>
    <t>You send negative energy coursing through a creature that you can see within range, causing it searing pain. The target must make a Constitution saving throw. It takes {@damage 7d8 + 30} necrotic damage on a failed save, or half as much damage on a successful one.
 A humanoid killed by this spell rises at the start of your next turn as a {@creature zombie} that is permanently under your command, following your verbal orders to the best of its ability.</t>
  </si>
  <si>
    <t>Mordenkainen's Sword</t>
  </si>
  <si>
    <t>({'text': 'a miniature platinum sword with a grip and pommel of copper and zinc, worth 250 gp', 'cost': 25000})</t>
  </si>
  <si>
    <t>You create a sword-shaped plane of force that hovers within range. It lasts for the duration.
 When the sword appears, you make a melee spell attack against a target of your choice within 5 feet of the sword. On a hit, the target takes {@damage 3d10} force damage. Until the spell ends, you can use a bonus action on each of your turns to move the sword up to 20 feet to a spot you can see and repeat this attack against the same target or a different one.</t>
  </si>
  <si>
    <t>Power Word Pain</t>
  </si>
  <si>
    <t>You speak a word of power that causes waves of intense pain to assail one creature you can see within range. If the target has 100 hit points or fewer, it is subject to crippling pain. Otherwise, the spell has no effect on it. A target is also unaffected if it is immune to being {@condition charmed}.
 While the target is affected by crippling pain, any speed it has can be no higher than 10 feet. The target also has disadvantage on attack rolls, ability checks, and saving throws, other than Constitution saving throws. Finally, if the target tries to cast a spell, it must first succeed on a Constitution saving throw, or the casting fails and the spell is wasted.
 A target suffering this pain can make a Constitution saving throw at the end of each of its turns. On a successful save, the pain ends.</t>
  </si>
  <si>
    <t>Prismatic Spray</t>
  </si>
  <si>
    <t>Eight multicolored rays of light flash from your hand. Each ray is a different color and has a different power and purpose. Each creature in a 60-foot cone must make a Dexterity saving throw. For each target, roll a {@dice d8} to determine which color ray affects it.
 1-RedThe target takes {@damage 10d6} fire damage on a failed save, or half as much damage on a successful one.
 2-OrangeThe target takes {@damage 10d6} acid damage on a failed save, or half as much damage on a successful one.
 3-YellowThe target takes {@damage 10d6} lightning damage on a failed save, or half as much damage on a successful one.
 4-GreenThe target takes {@damage 10d6} poison damage on a failed save, or half as much damage on a successful one.
 5-BlueThe target takes {@damage 10d6} cold damage on a failed save, or half as much damage on a successful one.
 6-IndigoOn a failed save, the target is {@condition restrained}. It must then make a Constitution saving throw at the end of each of its turns. If it successfully saves three times, the spell ends. If it fails its save three times, it permanently turns to stone and is subjected to the {@condition petrified} condition. The successes and failures don't need to be consecutive, keep track of both until the target collects three of a kind.
 7-VioletOn a failed save, the target is {@condition blinded}. It must then make a Wisdom saving throw at the start of your next turn. A successful save ends the blindness. If it fails that save, the creature is transported to another plane of existence of the DM's choosing and is no longer {@condition blinded}. (Typically, a creature that is on a plane that isn't its home plane is banished home, while other creatures are usually cast into the Astral or Ethereal planes.)
 8-SpecialThe target is struck by two rays. Roll twice more, rerolling any 8.</t>
  </si>
  <si>
    <t>Tether Essence</t>
  </si>
  <si>
    <t>({'text': 'a spool of platinum cord worth at least 250 gp, which the spell consumes', 'cost': 25000, 'consume': True})</t>
  </si>
  <si>
    <t>Two creatures you can see within range must make a Constitution saving throw, with disadvantage if they are within 30 feet of each other. Either creature can willingly fail the save. If either save succeeds, the spell has no effect. If both saves fail, the creatures are magically linked for the duration, regardless of the distance between them. When damage is dealt to one of them, the same damage is dealt to the other one. If hit points are restored to one of them, the same number of hit points are restored to the other one. If either of the tethered creatures is reduced to 0 hit points, the spell ends on both. If the spell ends on one creature, it ends on both.</t>
  </si>
  <si>
    <t>Conjure Celestial</t>
  </si>
  <si>
    <t>You summon a {@filter celestial of challenge rating 4 or lower|bestiary|challenge rating=[&amp;0;&amp;4]|type=celestial|miscellaneous=!swarm}, which appears in an unoccupied space that you can see within range. The celestial disappears when it drops to 0 hit points or when the spell ends.
 The celestial is friendly to you and your companions for the duration. Roll initiative for the celestial, which has its own turns. It obeys any verbal commands that you issue to it (no action required by you), as long as they don't violate its alignment. If you don't issue any commands to the celestial, it defends itself from hostile creatures but otherwise takes no actions.
 The DM has {@creature couatl||the celestial}'s statistics.</t>
  </si>
  <si>
    <t>Crown of Stars</t>
  </si>
  <si>
    <t>Seven star-like motes of light appear and orbit your head until the spell ends. You can use a bonus action to send one of the motes streaking toward one creature or object within 120 feet of you. When you do so, make a ranged spell attack. On a hit, the target takes {@damage 4d12} radiant damage. Whether you hit or miss, the mote is expended. The spell ends early if you expend the last mote.
 If you have four or more motes remaining, they shed bright light in a 30-foot radius and dim light for an additional 30 feet. If you have one to three motes remaining, they shed dim light in a 30-foot radius.</t>
  </si>
  <si>
    <t>Etherealness</t>
  </si>
  <si>
    <t>up to 8 hour</t>
  </si>
  <si>
    <t>You step into the border regions of the Ethereal Plane, in the area where it overlaps with your current plane. You remain in the Border Ethereal for the duration or until you use your action to dismiss the spell. During this time, you can move in any direction. If you move up or down, every foot of movement costs an extra foot. You can see and hear the plane you originated from, but everything there looks gray, and you can't see anything more than 60 feet away.
 While on the Ethereal Plane, you can only affect and be affected by other creatures on that plane. Creatures that aren't on the Ethereal Plane can't perceive you and can't interact with you, unless a special ability or magic has given them the ability to do so.
 You ignore all objects and effects that aren't on the Ethereal Plane, allowing you to move through objects you perceive on the plane you originated from.
 When the spell ends, you immediately return to the plane you originated from in the spot you currently occupy. If you occupy the same spot as a solid object or creature when this happens, you are immediately shunted to the nearest unoccupied space that you can occupy and take force damage equal to twice the number of feet you are moved.
 This spell has no effect if you cast it while you are on the Ethereal Plane or a plane that doesn't border it, such as one of the Outer Planes.</t>
  </si>
  <si>
    <t>Twilight,Eldritch Knight,Arcane Trickster,Divine Soul,Favored Soul,Favored Soul v3,Arcana</t>
  </si>
  <si>
    <t>Mirage Arcane</t>
  </si>
  <si>
    <t>You make terrain in an area up to 1 mile square look, sound, smell, and even feel like some other sort of terrain. The terrain's general shape remains the same, however. Open fields or a road could be made to resemble a swamp, hill, crevasse, or some other difficult or impassable terrain. A pond can be made to seem like a grassy meadow, a precipice like a gentle slope, or a rock-strewn gully like a wide and smooth road.
 Similarly, you can alter the appearance of structures, or add them where none are present. The spell doesn't disguise, conceal, or add creatures.
 The illusion includes audible, visual, tactile, and olfactory elements, so it can turn clear ground into difficult terrain (or vice versa) or otherwise impede movement through the area. Any piece of the illusory terrain (such as a rock or stick) that is removed from the spell's area disappears immediately.
 Creatures with {@sense truesight} can see through the illusion to the terrain's true form; however, all other elements of the illusion remain, so while the creature is aware of the illusion's presence, the creature can still physically interact with the illusion.</t>
  </si>
  <si>
    <t>Bard,Druid,Wizard</t>
  </si>
  <si>
    <t>Create Magen</t>
  </si>
  <si>
    <t>({'text': 'a vial of quicksilver worth 500 gp and a life-sized human doll, both of which the spell consumes, and an intricate crystal rod worth at least 1,500 gp that is not consumed', 'cost': 50000, 'consume': True})</t>
  </si>
  <si>
    <t>While casting the spell, you place a vial of quicksilver in the chest of a life-sized human doll stuffed with ash or dust. You then stitch up the doll and drip your blood on it. At the end of the casting, you tap the doll with a crystal rod, transforming it into a {@filter magen|bestiary|search=magen|source=IDRotF} clothed in whatever the doll was wearing. The type of magen is chosen by you during the casting of the spell. See {@adventure appendix C|IDRotF|21} for different kinds of magen and their statistics.
 When the magen appears, your hit point maximum decreases by an amount equal to the magen's challenge rating (minimum reduction of 1). Only a {@spell wish} spell can undo this reduction to your hit point maximum.
 Any magen you create with this spell obeys your commands without question.</t>
  </si>
  <si>
    <t>Plane Shift</t>
  </si>
  <si>
    <t>({'text': 'a forked, metal rod worth at least 250 gp, attuned to a particular plane of existence', 'cost': 25000})</t>
  </si>
  <si>
    <t>You and up to eight willing creatures who link hands in a circle are transported to a different plane of existence. You can specify a target destination in general terms, such as the City of Brass on the Elemental Plane of Fire or the palace of Dispater on the second level of the Nine Hells, and you appear in or near that destination. If you are trying to reach the City of Brass, for example, you might arrive in its Street of Steel, before its Gate of Ashes, or looking at the city from across the Sea of Fire, at the DM's discretion.
 Alternatively, if you know the sigil sequence of a teleportation circle on another plane of existence, this spell can take you to that circle. If the teleportation circle is too small to hold all the creatures you transported, they appear in the closest unoccupied spaces next to the circle.
 You can use this spell to banish an unwilling creature to another plane. Choose a creature within your reach and make a melee spell attack against it. On a hit, the creature must make a Charisma saving throw. If the creature fails this save, it is transported to a random location on the plane of existence you specify. A creature so transported must find its own way back to your current plane of existence.</t>
  </si>
  <si>
    <t>Cleric,Druid,Sorcerer,Warlock,Wizard</t>
  </si>
  <si>
    <t>Regenerate</t>
  </si>
  <si>
    <t>(a prayer wheel and holy water)</t>
  </si>
  <si>
    <t>You touch a creature and stimulate its natural healing ability. The target regains {@dice 4d8 + 15} hit points. For the duration of the spell, the target regains 1 hit point at the start of each of its turns (10 hit points each minute).
 The target's severed body members (fingers, legs, tails, and so on), if any, are restored after 2 minutes. If you have the severed part and hold it to the stump, the spell instantaneously causes the limb to knit to the stump.</t>
  </si>
  <si>
    <t>Resurrection</t>
  </si>
  <si>
    <t>({'text': 'a diamond worth at least 1,000 gp, which the spell consumes', 'cost': 100000, 'consume': True})</t>
  </si>
  <si>
    <t>You touch a dead creature that has been dead for no more than a century, that didn't die of old age, and that isn't undead. If its soul is free and willing, the target returns to life with all its hit points.
 This spell neutralizes any poisons and cures normal diseases afflicting the creature when it died. It doesn't, however, remove magical diseases, curses, and the like; if such effects aren't removed prior to casting the spell, they afflict the target on its return to life.
 This spell closes all mortal wounds and restores any missing body parts.
 Coming back from the dead is an ordeal. The target takes a Ã¢Ë†â€™4 penalty to all attack rolls, saving throws, and ability checks. Every time the target finishes a long rest, the penalty is reduced by 1 until it disappears.
 Casting this spell to restore life to a creature that has been dead for one year or longer taxes you greatly. Until you finish a long rest, you can't cast spells again, and you have disadvantage on all attack rolls, ability checks, and saving throws.</t>
  </si>
  <si>
    <t>Sequester</t>
  </si>
  <si>
    <t>({'text': 'a powder composed of diamond, emerald, ruby, and sapphire dust worth at least 5,000 gp, which the spell consumes', 'cost': 500000, 'consume': True})</t>
  </si>
  <si>
    <t>By means of this spell, a willing creature or an object can be hidden away, safe from detection for the duration. When you cast the spell and touch the target, it becomes {@condition invisible} and can't be targeted by {@filter divination spells|spells|school=D} or perceived through scrying sensors created by divination spells.
 If the target is a creature, it falls into a state of suspended animation. Time ceases to flow for it, and it doesn't grow older.
 You can set a condition for the spell to end early. The condition can be anything you choose, but it must occur or be visible within 1 mile of the target. Examples include "after 1,000 years" or "when the {@creature tarrasque} awakens." This spell also ends if the target takes any damage.</t>
  </si>
  <si>
    <t>Simulacrum</t>
  </si>
  <si>
    <t>12 hour</t>
  </si>
  <si>
    <t>({'text': "snow or ice in quantities sufficient to made a life-size copy of the duplicated creature; some hair, fingernail clippings, or other piece of that creature's body placed inside the snow or ice; and powdered ruby worth 1,500 gp, sprinkled over the duplicate and consumed by the spell", 'cost': 150000, 'consume': True})</t>
  </si>
  <si>
    <t>You shape an illusory duplicate of one beast or humanoid that is within range for the entire casting time of the spell. The duplicate is a creature, partially real and formed from ice or snow, and it can take actions and otherwise be affected as a normal creature. It appears to be the same as the original, but it has half the creature's hit point maximum and is formed without any equipment. Otherwise, the illusion uses all the statistics of the creature it duplicates, except that it is a construct.
 The simulacrum is friendly to you and creatures you designate. It obeys your spoken commands, moving and acting in accordance with your wishes and acting on your turn in combat. The simulacrum lacks the ability to learn or become more powerful, so it never increases its level or other abilities, nor can it regain expended spell slots.
 If the simulacrum is damaged, you can repair it in an alchemical laboratory, using rare herbs and minerals worth 100 gp per hit point it regains. The simulacrum lasts until it drops to 0 hit points, at which point it reverts to snow and melts instantly.
 If you cast this spell again, any currently active duplicates you created with this spell are instantly destroyed.</t>
  </si>
  <si>
    <t>Symbol</t>
  </si>
  <si>
    <t>({'text': 'mercury, phosphorus, and powdered diamond and opal with a total value of at least 1,000 gp, which the spell consumes', 'cost': 100000, 'consume': True})</t>
  </si>
  <si>
    <t>When you cast this spell, you inscribe a harmful glyph either on a surface (such as a section of floor, a wall, or a table) or within an object that can be closed to conceal the glyph (such as a book, a scroll, or a treasure chest). If you choose a surface, the glyph can cover an area of the surface no larger than 10 feet in diameter. If you choose an object, that object must remain in its place; if the object is moved more than 10 feet from where you cast this spell, the glyph is broken, and the spell ends without being triggered.
 The glyph is nearly invisible, requiring an Intelligence ({@skill Investigation}) check against your spell save DC to find it.
 You decide what triggers the glyph when you cast the spell. For glyphs inscribed on a surface, the most typical triggers include touching or stepping on the glyph, removing another object covering it, approaching within a certain distance of it, or manipulating the object that holds it. For glyphs inscribed within an object, the most common triggers are opening the object, approaching within a certain distance of it, or seeing or reading the glyph.
 You can further refine the trigger so the spell is activated only under certain circumstances or according to a creature's physical characteristics (such as height or weight), or physical kind (for example, the ward could be set to affect hags or shapechangers). You can also specify creatures that don't trigger the glyph, such as those who say a certain password.
 When you inscribe the glyph, choose one of the options below for its effect. Once triggered, the glyph glows, filling a 60-foot-radius sphere with dim light for 10 minutes, after which time the spell ends. Each creature in the sphere when the glyph activates is targeted by its effect, as is a creature that enters the sphere for the first time on a turn or ends its turn there.
 DeathEach target must make a Constitution saving throw, taking {@damage 10d10} necrotic damage on a failed save, or half as much damage on a successful save.
 DiscordEach target must make a Constitution saving throw. On a failed save, a target bickers and argues with other creatures for 1 minute. During this time, it is incapable of meaningful communication and has disadvantage on attack rolls and ability checks.
 FearEach target must make a Wisdom saving throw and becomes {@condition frightened} for 1 minute on a failed save. While {@condition frightened}, the target drops whatever it is holding and must move at least 30 feet away from the glyph on each of its turns, if able.
 HopelessnessEach target must make a Charisma saving throw. On a failed save, the target is overwhelmed with despair for 1 minute. During this time, it can't attack or target any creature with harmful abilities, spells, or other magical effects.
 InsanityEach target must make an Intelligence saving throw. On a failed save, the target is driven insane for 1 minute. An insane creature can't take actions, can't understand what other creatures say, can't read, and speaks only in gibberish. The DM controls its movement, which is erratic.
 PainEach target must make a Constitution saving throw and becomes {@condition incapacitated} with excruciating pain for 1 minute on a failed save.
 SleepEach target must make a Wisdom saving throw and falls {@condition unconscious} for 10 minutes on a failed save. A creature awakens if it takes damage or if someone uses an action to shake or slap it awake.
 StunningEach target must make a Wisdom saving throw and becomes {@condition stunned} for 1 minute on a failed save.</t>
  </si>
  <si>
    <t>Mighty Fortress</t>
  </si>
  <si>
    <t>A fortress of stone erupts from a square area of ground of your choice that you can see within range. The area is 120 feet on each side, and it must not have any buildings or other structures on it. Any creatures in the area are harmlessly lifted up as the fortress rises.
 The fortress has four turrets with square bases, each one 20 feet on a side and 30 feet tall, with one turret on each corner. The turrets are connected to each other by stone walls that are each 80 feet long, creating an enclosed area. Each wall is 1 foot thick and is composed of panels that are 10 feet wide and 20 feet tall. Each panel is contiguous with two other panels or one other panel and a turret. You can place up to four stone doors in the fortress's outer wall.
 A small keep stands inside the enclosed area. The keep has a square base that is 50 feet on each side, and it has three floors with 10-foot-high ceilings. Each of the floors can be divided into as many rooms as you like, provided each room is at least 5 feet on each side. The floors of the keep are connected by stone staircases, its walls are 6 inches thick, and interior rooms can have stone doors or open archways as you choose. The keep is furnished and decorated however you like, and it contains sufficient food to serve a nine-course banquet for up to 100 people each day. Furnishings, food, and other objects created by this spell crumble to dust if removed from the fortress.
 A staff of one hundred invisible servants obeys any command given to them by creatures you designate when you cast the spell. Each servant functions as if created by the unseen servant spell.
 The walls, turrets, and keep are all made of stone that can be damaged. Each 10-foot-by-10-foot section of stone has AC 15 and 30 hit points per inch of thickness. It is immune to poison and psychic damage. Reducing a section of stone to 0 hit points destroys it and might cause connected sections to buckle and collapse at the DM's discretion.
 After 7 days or when you cast this spell somewhere else, the fortress harmlessly crumbles and sinks back into the ground, leaving any creatures that were inside it safely on the ground.
 Casting this spell on the same spot once every 7 days for a year makes the fortress permanent.</t>
  </si>
  <si>
    <t>Antimagic Field</t>
  </si>
  <si>
    <t>(a pinch of powdered iron or iron filings)</t>
  </si>
  <si>
    <t>A 10-foot-radius invisible sphere of antimagic surrounds you. This area is divorced from the magical energy that suffuses the multiverse. Within the sphere, spells can't be cast, summoned creatures disappear, and even magic items become mundane. Until the spell ends, the sphere moves with you, centered on you.
 Spells and other magical effects, except those created by an artifact or a deity, are suppressed in the sphere and can't protrude into it. A slot expended to cast a suppressed spell is consumed. While an effect is suppressed, it doesn't function, but the time it spends suppressed counts against its duration.
 Targeted EffectsSpells and other magical effects, such as {@spell magic missile} and {@spell charm person}, that target a creature or an object in the sphere have no effect on that target.
 Areas of MagicThe area of another spell or magical effect, such as {@spell fireball}, can't extend into the sphere. If the sphere overlaps an area of magic, the part of the area that is covered by the sphere is suppressed. For example, the flames created by a wall of fire are suppressed within the sphere, creating a gap in the wall if the overlap is large enough.
 SpellsAny active spell or other magical effect on a creature or an object in the sphere is suppressed while the creature or object is in it.
 Magic ItemsThe properties and powers of magic items are suppressed in the sphere. For example, a +1 longsword in the sphere functions as a nonmagical longsword.
 A magic weapon's properties and powers are suppressed if it is used against a target in the sphere or wielded by an attacker in the sphere. If a magic weapon or a piece of magic ammunition fully leaves the sphere (for example, if you fire a magic arrow or throw a magic spear at a target outside the sphere), the magic of the item ceases to be suppressed as soon as it exits.
 Magical TravelTeleportation and planar travel fail to work in the sphere, whether the sphere is the destination or the departure point for such magical travel. A portal to another location, world, or plane of existence, as well as an opening to an extradimensional space such as that created by the rope trick spell, temporarily closes while in the sphere.
 Creatures and ObjectsA creature or object summoned or created by magic temporarily winks out of existence in the sphere. Such a creature instantly reappears once the space the creature occupied is no longer within the sphere.
 Dispel MagicSpells and magical effects such as {@spell dispel magic} have no effect on the sphere. Likewise, the spheres created by different {@spell antimagic field} spells don't nullify each other.</t>
  </si>
  <si>
    <t>Illusory Dragon</t>
  </si>
  <si>
    <t>By gathering threads of shadow material from the Shadowfell, you create a Huge shadowy dragon in an unoccupied space that you can see within range. The illusion lasts for the spell's duration and occupies its space, as if it were a creature.
 When the illusion appears, any of your enemies that can see it must succeed on a Wisdom saving throw or become {@condition frightened} of it for 1 minute. If a {@condition frightened} creature ends its turn in a location where it doesn't have line of sight to the illusion, it can repeat the saving throw, ending the effect on itself on a success.
 As a bonus action on your turn, you can move the illusion up to 60 feet. At any point during its movement, you can cause it to exhale a blast of energy in a 60-foot cone originating from its space. When you create the dragon, choose a damage type: acid, cold, fire, lightning, necrotic, or poison. Each creature in the cone must make an Intelligence saving throw, taking {@damage 7d6} damage of the chosen damage type on a failed save, or half as much damage on a successful one.
 The illusion is tangible because of the shadow stuff used to create it, but attacks miss it automatically, it succeeds on all saving throws, and it is immune to all damage and conditions. A creature that uses an action to examine the dragon can determine that it is an illusion by succeeding on an Intelligence ({@skill Investigation}) check against your spell save DC. If a creature discerns the illusion for what it is, the creature can see through it and has advantage on saving throws against its breath.</t>
  </si>
  <si>
    <t>Abi-Dalzim's Horrid Wilting</t>
  </si>
  <si>
    <t>(a bit of sponge)</t>
  </si>
  <si>
    <t>You draw the moisture from every creature in a 30-foot cube centered on a point you choose within range. Each creature in that area must make a Constitution saving throw. Constructs and undead aren't affected, and plants and water elementals make this saving throw with disadvantage. A creature takes {@damage 12d8} necrotic damage on a failed save, or half as much damage on a successful one.
 Nonmagical plants in the area that aren't creatures, such as trees and shrubs, wither and die instantly.</t>
  </si>
  <si>
    <t>Dark Star</t>
  </si>
  <si>
    <t>({'text': "a shard of onyx and a drop of the caster's blood, both of which the spell consumes", 'consume': True})</t>
  </si>
  <si>
    <t>This spell creates a sphere centered on a point you choose within range. The sphere can have a radius of up to 40 feet. The area within this sphere is filled with magical darkness and crushing gravitational force.
 For the duration, the spell's area is difficult terrain. A creature with darkvision can't see through the magical darkness, and nonmagical light can't illuminate it. No sound can be created within or pass through the area. Any creature or object entirely inside the sphere is immune to thunder damage, and creatures are {@condition deafened} while entirely inside it. Casting a spell that includes a verbal component is impossible there.
 Any creature that enters the spell's area for the first time on a turn or starts its turn there must make a Constitution saving throw. The creature takes {@damage 8d10} force damage on a failed save, or half as much damage on a successful one. A creature reduced to 0 hit points by this damage is disintegrated. A disintegrated creature and everything it is wearing and carrying, except magic items, are reduced to a pile of fine gray dust.</t>
  </si>
  <si>
    <t>Feeblemind</t>
  </si>
  <si>
    <t>(a handful of clay, crystal, glass, or mineral spheres)</t>
  </si>
  <si>
    <t>You blast the mind of a creature that you can see within range, attempting to shatter its intellect and personality. The target takes {@damage 4d6} psychic damage and must make an Intelligence saving throw.
 On a failed save, the creature's Intelligence and Charisma scores become 1. The creature can't cast spells, activate magic items, understand language, or communicate in any intelligible way. The creature can, however, identify its friends, follow them, and even protect them.
 At the end of every 30 days, the creature can repeat its saving throw against this spell. If it succeeds on its saving throw, the spell ends.
 The spell can also be ended by {@spell greater restoration}, {@spell heal}, or {@spell wish}.</t>
  </si>
  <si>
    <t>Incendiary Cloud</t>
  </si>
  <si>
    <t>A swirling cloud of smoke shot through with white-hot embers appears in a 20-foot-radius sphere centered on a point within range. The cloud spreads around corners and is heavily obscured. It lasts for the duration or until a wind of moderate or greater speed (at least 10 miles per hour) disperses it.
 When the cloud appears, each creature in it must make a Dexterity saving throw. A creature takes {@damage 10d8} fire damage on a failed save, or half as much damage on a successful one. A creature must also make this saving throw when it enters the spell's area for the first time on a turn or ends its turn there.
 The cloud moves 10 feet directly away from you in a direction that you choose at the start of each of your turns.</t>
  </si>
  <si>
    <t>Maddening Darkness</t>
  </si>
  <si>
    <t>(a drop of pitch mixed with a drop of mercury)</t>
  </si>
  <si>
    <t>Magical darkness spreads from a point you choose within range to fill a 60-foot-radius sphere until the spell ends. The darkness spreads around corners. A creature with {@sense darkvision} can't see through this darkness. Non-magical light, as well as light created by spells of 8th level or lower, can't illuminate the area.
 Shrieks, gibbering, and mad laughter can be heard within the sphere. Whenever a creature starts its turn in the sphere, it must make a Wisdom saving throw, taking {@damage 8d8} psychic damage on a failed save, or half as much damage on a successful one.</t>
  </si>
  <si>
    <t>Sunburst</t>
  </si>
  <si>
    <t>(fire and a piece of sunstone)</t>
  </si>
  <si>
    <t>Brilliant sunlight flashes in a 60-foot radius centered on a point you choose within range. Each creature in that light must make a Constitution saving throw. On a failed save, a creature takes {@damage 12d6} radiant damage and is {@condition blinded} for 1 minute. On a successful save, it takes half as much damage and isn't {@condition blinded} by this spell. Undead and oozes have disadvantage on this saving throw.
 A creature {@condition blinded} by this spell makes another Constitution saving throw at the end of each of its turns. On a successful save, it is no longer {@condition blinded}.
 This spell dispels any darkness in its area that was created by a spell.</t>
  </si>
  <si>
    <t>Animal Shapes</t>
  </si>
  <si>
    <t>Your magic turns others into beasts. Choose any number of willing creatures that you can see within range. You transform each target into the form of a {@filter Large or smaller beast with a challenge rating of 4 or lower|bestiary|challenge rating=[&amp;0;&amp;4]|type=beast|size=f;d;t;s;m;l|miscellaneous=!swarm}. On subsequent turns, you can use your action to transform affected creatures into new forms.
 The transformation lasts for the duration for each target, or until the target drops to 0 hit points or dies. You can choose a different form for each target. A target's game statistics are replaced by the statistics of the chosen beast, though the target retains its alignment and Intelligence, Wisdom, and Charisma scores. The target assumes the hit points of its new form, and when it reverts to its normal form, it returns to the number of hit points it had before it transformed. If it reverts as a result of dropping to 0 hit points, any excess damage carries over to its normal form. As long as the excess damage doesn't reduce the creature's normal form to 0 hit points, it isn't knocked {@condition unconscious}. The creature is limited in the actions it can perform by the nature of its new form, and it can't speak or cast spells.
 The target's gear melds into the new form. The target can't activate, wield, or otherwise benefit from any of its equipment.</t>
  </si>
  <si>
    <t>Control Weather</t>
  </si>
  <si>
    <t>5 miles</t>
  </si>
  <si>
    <t>(burning incense and bits of earth and wood mixed in water)</t>
  </si>
  <si>
    <t>You take control of the weather within 5 miles of you for the duration. You must be outdoors to cast this spell. Moving to a place where you don't have a clear path to the sky ends the spell early.
 When you cast the spell, you change the current weather conditions, which are determined by the DM based on the climate and season. You can change precipitation, temperature, and wind. It takes {@dice 1d4 Ãƒâ€” 10} minutes for the new conditions to take effect. Once they do so, you can change the conditions again. When the spell ends, the weather gradually returns to normal.
 When you change the weather conditions, find a current condition on the following tables and change its stage by one, up or down. When changing the wind, you can change its direction.</t>
  </si>
  <si>
    <t>Earthquake</t>
  </si>
  <si>
    <t>(a pinch of dirt, a piece of rock, and a lump of clay)</t>
  </si>
  <si>
    <t>You create a seismic disturbance at a point on the ground that you can see within range. For the duration, an intense tremor rips through the ground in a 100-foot-radius circle centered on that point and shakes creatures and structures in contact with the ground in that area.
 The ground in the area becomes difficult terrain. Each creature on the ground that is concentrating must make a Constitution saving throw. On a failed save, the creature's concentration is broken.
 When you cast this spell and at the end of each turn you spend concentrating on it, each creature on the ground in the area must make a Dexterity saving throw. On a failed save, the creature is knocked {@condition prone}.
 This spell can have additional effects depending on the terrain in the area, as determined by the DM.
 FissuresFissures open throughout the spell's area at the start of your next turn after you cast the spell. A total of {@dice 1d6} such fissures open in locations chosen by the DM. Each is {@dice 1d10 Ãƒâ€” 10} feet deep, 10 feet wide, and extends from one edge of the spell's area to the opposite side. A creature standing on a spot where a fissure opens must succeed on a Dexterity saving throw or fall in. A creature that successfully saves moves with the fissure's edge as it opens.
 A fissure that opens beneath a structure causes it to automatically collapse (see below).
 StructuresThe tremor deals 50 bludgeoning damage to any structure in contact with the ground in the area when you cast the spell and at the start of each of your turns until the spell ends. If a structure drops to 0 hit points, it collapses and potentially damages nearby creatures. A creature within half the distance of a structure's height must make a Dexterity saving throw. On a failed save, the creature takes {@damage 5d6} bludgeoning damage, is knocked {@condition prone}, and is buried in the rubble, requiring a DC 20 Strength ({@skill Athletics}) check as an action to escape. The DM can adjust the DC higher or lower, depending on the nature of the rubble. On a successful save, the creature takes half as much damage and doesn't fall {@condition prone} or become buried.</t>
  </si>
  <si>
    <t>Antipathy/Sympathy</t>
  </si>
  <si>
    <t>(either a lump of alum soaked in vinegar for the antipathy effect or a drop of honey for the sympathy effect)</t>
  </si>
  <si>
    <t>This spell attracts or repels creatures of your choice. You target something within range, either a Huge or smaller object or creature or an area that is no larger than a 200-foot cube. Then specify a kind of intelligent creature, such as red dragons, goblins, or vampires. You invest the target with an aura that either attracts or repels the specified creatures for the duration. Choose antipathy or sympathy as the aura's effect.
 AntipathyThe enchantment causes creatures of the kind you designated to feel an intense urge to leave the area and avoid the target. When such a creature can see the target or comes within 60 feet of it, the creature must succeed on a Wisdom saving throw or become {@condition frightened}. The creature remains {@condition frightened} while it can see the target or is within 60 feet of it. While {@condition frightened} by the target, the creature must use its movement to move to the nearest safe spot from which it can't see the target. If the creature moves more than 60 feet from the target and can't see it, the creature is no longer {@condition frightened}, but the creature becomes {@condition frightened} again if it regains sight of the target or moves within 60 feet of it.
 SympathyThe enchantment causes the specified creatures to feel an intense urge to approach the target while within 60 feet of it or able to see it. When such a creature can see the target or comes within 60 feet of it, the creature must succeed on a Wisdom saving throw or use its movement on each of its turns to enter the area or move within reach of the target. When the creature has done so, it can't willingly move away from the target.
 If the target damages or otherwise harms an affected creature, the affected creature can make a Wisdom saving throw to end the effect, as described below.
 Ending the EffectIf an affected creature ends its turn while not within 60 feet of the target or able to see it, the creature makes a Wisdom saving throw. On a successful save, the creature is no longer affected by the target and recognizes the feeling of repugnance or attraction as magical. In addition, a creature affected by the spell is allowed another Wisdom saving throw every 24 hours while the spell persists.
 A creature that successfully saves against this effect is immune to it for 1 minute, after which time it can be affected again.</t>
  </si>
  <si>
    <t>Demiplane</t>
  </si>
  <si>
    <t>You create a shadowy door on a flat solid surface that you can see within range. The door is large enough to allow Medium creatures to pass through unhindered. When opened, the door leads to a demiplane that appears to be an empty room 30 feet in each dimension, made of wood or stone. When the spell ends, the door disappears, and any creatures or objects inside the demiplane remain trapped there, as the door also disappears from the other side.
 Each time you cast this spell, you can create a new demiplane, or have the shadowy door connect to a demiplane you created with a previous casting of this spell. Additionally, if you know the nature and contents of a demiplane created by a casting of this spell by another creature, you can have the shadowy door connect to its demiplane instead.</t>
  </si>
  <si>
    <t>Dominate Monster</t>
  </si>
  <si>
    <t>You attempt to beguile a creature that you can see within range. It must succeed on a Wisdom saving throw or be {@condition charmed} by you for the duration. If you or creatures that are friendly to you are fighting it, it has advantage on the saving throw.
 While the creature is {@condition charmed}, you have a telepathic link with it as long as the two of you are on the same plane of existence. You can use this telepathic link to issue commands to the creature while you are conscious (no action required), which it does its best to obey. You can specify a simple and general course of action, such as "Attack that creature," "Run over there," or "Fetch that object." If the creature completes the order and doesn't receive further direction from you, it defends and preserves itself to the best of its ability.
 You can use your action to take total and precise control of the target. Until the end of your next turn, the creature takes only the actions you choose, and doesn't do anything that you don't allow it to do. During this time, you can also cause the creature to use a reaction, but this requires you to use your own reaction as well.
 Each time the target takes damage, it makes a new Wisdom saving throw against the spell. If the saving throw succeeds, the spell ends.</t>
  </si>
  <si>
    <t>Maze</t>
  </si>
  <si>
    <t>You banish a creature that you can see within range into a labyrinthine demiplane. The target remains there for the duration or until it escapes the maze.
 The target can use its action to attempt to escape. When it does so, it makes a DC 20 Intelligence check. If it succeeds, it escapes, and the spell ends (a {@creature minotaur} or {@creature goristro} demon automatically succeeds).
 When the spell ends, the target reappears in the space it left or, if that space is occupied, in the nearest unoccupied space.</t>
  </si>
  <si>
    <t>Power Word Stun</t>
  </si>
  <si>
    <t>You speak a word of power that can overwhelm the mind of one creature you can see within range, leaving it dumbfounded. If the target has 150 hit points or fewer, it is {@condition stunned}. Otherwise, the spell has no effect.
 The {@condition stunned} target must make a Constitution saving throw at the end of each of its turns. On a successful save, this stunning effect ends.</t>
  </si>
  <si>
    <t>Reality Break</t>
  </si>
  <si>
    <t>(a crystal prism)</t>
  </si>
  <si>
    <t>You shatter the barriers between realities and timelines, thrusting a creature into turmoil and madness. The target must succeed on a Wisdom saving throw, or it can't take reactions until the spell ends. The affected target must also roll a {@dice d10} at the start of each of its turns; the number rolled determines what happens to the target, as shown on the Reality Break Effects table.
 At the end of each of its turns, the affected target can repeat the Wisdom saving throw, ending the spell on itself on a success.</t>
  </si>
  <si>
    <t>Glibness</t>
  </si>
  <si>
    <t>Until the spell ends, when you make a Charisma check, you can replace the number you roll with a 15. Additionally, no matter what you say, magic that would determine if you are telling the truth indicates that you are being truthful.</t>
  </si>
  <si>
    <t>Holy Aura</t>
  </si>
  <si>
    <t>({'text': "a tiny reliquary worth at least 1,000 gp containing a sacred relic, such as a scrap of cloth from a saint's robe or a piece of parchment from a religious text", 'cost': 100000})</t>
  </si>
  <si>
    <t>Divine light washes out from you and coalesces in a soft radiance in a 30-foot radius around you. Creatures of your choice in that radius when you cast this spell shed dim light in a 5-foot radius and have advantage on all saving throws, and other creatures have disadvantage on attack rolls against them until the spell ends. In addition, when a fiend or an undead hits an affected creature with a melee attack, the aura flashes with brilliant light. The attacker must succeed on a Constitution saving throw or be {@condition blinded} until the spell ends.</t>
  </si>
  <si>
    <t>Tsunami</t>
  </si>
  <si>
    <t>6 round</t>
  </si>
  <si>
    <t>A wall of water springs into existence at a point you choose within range. You can make the wall up to 300 feet long, 300 feet high, and 50 feet thick. The wall lasts for the duration.
 When the wall appears, each creature within its area must make a Strength saving throw. On a failed save, a creature takes {@damage 6d10} bludgeoning damage, or half as much damage on a successful save.
 At the start of each of your turns after the wall appears, the wall, along with any creatures in it, moves 50 feet away from you. Any Huge or smaller creature inside the wall or whose space the wall enters when it moves must succeed on a Strength saving throw or take {@damage 5d10} bludgeoning damage. A creature can take this damage only once per round. At the end of the turn, the wall's height is reduced by 50 feet, and the damage creatures take from the spell on subsequent rounds is reduced by {@dice 1d10}. When the wall reaches 0 feet in height, the spell ends.
 A creature caught in the wall can move by swimming. Because of the force of the wave, though, the creature must make a successful Strength ({@skill Athletics}) check against your spell save DC in order to move at all. If it fails the check, it can't move. A creature that moves out of the area falls to the ground.</t>
  </si>
  <si>
    <t>Clone</t>
  </si>
  <si>
    <t>({'text': 'a diamond worth at least 1,000 gp and at least 1 cubic inch of flesh of the creature that is to be cloned, which the spell consumes, and a vessel worth at least 2,000 gp that has a sealable lid and is large enough to hold a Medium creature, such as a huge urn, coffin, mud-filled cyst in the ground, or crystal container filled with salt water', 'cost': 100000, 'consume': True})</t>
  </si>
  <si>
    <t>This spell grows an inert duplicate of a living, Medium creature as a safeguard against death. This clone forms inside a sealed vessel and grows to full size and maturity after 120 days; you can also choose to have the clone be a younger version of the same creature. It remains inert and endures indefinitely, as long as its vessel remains undisturbed.
 At any time after the clone matures, if the original creature dies, its soul transfers to the clone, provided that the soul is free and willing to return. The clone is physically identical to the original and has the same personality, memories, and abilities, but none of the original's equipment. The original creature's physical remains, if they still exist, become inert and can't thereafter be restored to life, since the creature's soul is elsewhere.</t>
  </si>
  <si>
    <t>Mind Blank</t>
  </si>
  <si>
    <t>Until the spell ends, one willing creature you touch is immune to psychic damage, any effect that would sense its emotions or read its thoughts, divination spells, and the {@condition charmed} condition. The spell even foils {@spell wish} spells and spells or effects of similar power used to affect the target's mind or to gain information about the target.</t>
  </si>
  <si>
    <t>Telepathy</t>
  </si>
  <si>
    <t>(a pair of linked silver rings)</t>
  </si>
  <si>
    <t>You create a telepathic link between yourself and a willing creature with which you are familiar. The creature can be anywhere on the same plane of existence as you. The spell ends if you or the target are no longer on the same plane.
 Until the spell ends, you and the target can instantaneously share words, images, sounds, and other sensory messages with one another through the link, and the target recognizes you as the creature it is communicating with. The spell enables a creature with an Intelligence score of at least 1 to understand the meaning of your words and take in the scope of any sensory messages you send to it.</t>
  </si>
  <si>
    <t>Meteor Swarm</t>
  </si>
  <si>
    <t>Blazing orbs of fire plummet to the ground at four different points you can see within range. Each creature in a 40-foot-radius sphere centered on each point you choose must make a Dexterity saving throw. The sphere spreads around corners. A creature takes {@damage 20d6} fire damage and {@damage 20d6} bludgeoning damage on a failed save, or half as much damage on a successful one. A creature in the area of more than one fiery burst is affected only once.
 The spell damages objects in the area and ignites flammable objects that aren't being worn or carried.</t>
  </si>
  <si>
    <t>Astral Projection</t>
  </si>
  <si>
    <t>({'text': 'for each creature you affect with this spell, you must provide one jacinth worth at least 1,000 gp and one ornately carved bar of silver worth at least 100 gp, all of which the spell consumes', 'cost': 110000, 'consume': True})</t>
  </si>
  <si>
    <t>You and up to eight willing creatures within range project your astral bodies into the Astral Plane (the spell fails and the casting is wasted if you are already on that plane). The material body you leave behind is {@condition unconscious} and in a state of suspended animation, it doesn't need food or air and doesn't age.
 Your astral body resembles your mortal form in almost every way, replicating your game statistics and possessions. The principal difference is the addition of a silvery cord that extends from between your shoulder blades and trails behind you, fading to invisibility after 1 foot. This cord is your tether to your material body. As long as the tether remains intact, you can find your way home. If the cord is cut-something that can happen only when an effect specifically states that it does-your soul and body are separated, killing you instantly.
 Your astral form can freely travel through the Astral Plane and can pass through portals there leading to any other plane. If you enter a new plane or return to the plane you were on when casting this spell, your body and possessions are transported along the silver cord, allowing you to re-enter your body as you enter the new plane. Your astral form is a separate incarnation. Any damage or other effects that apply to it have no effect on your physical body, nor do they persist when you return to it.
 The spell ends for you and your companions when you use your action to dismiss it. When the spell ends, the affected creature returns to its physical body, and it awakens.
 The spell might also end early for you or one of your companions. A successful {@spell dispel magic} spell used against an astral or physical body ends the spell for that creature. If a creature's original body or its astral form drops to 0 hit points, the spell ends for that creature. If the spell ends and the silver cord is intact, the cord pulls the creature's astral form back to its body, ending its state of suspended animation.
 If you are returned to your body prematurely, your companions remain in their astral forms and must find their own way back to their bodies, usually by dropping to 0 hit points.</t>
  </si>
  <si>
    <t>Cleric,Warlock,Wizard,Monk</t>
  </si>
  <si>
    <t>Ravenous Void</t>
  </si>
  <si>
    <t>1000 feet</t>
  </si>
  <si>
    <t>(a small, nine-pointed star made of iron)</t>
  </si>
  <si>
    <t>You create a 20-foot-radius sphere of destructive gravitational force centered on a point you can see within range. For the spell's duration, the sphere and any space within 100 feet of it are difficult terrain, and nonmagical objects fully inside the sphere are destroyed if they aren't being worn or carried.
 When the sphere appears and at the start of each of your turns until the spell ends, unsecured objects within 100 feet of the sphere are pulled toward the sphere's center, ending in an unoccupied space as close to the center as possible.
 A creature that starts its turn within 100 feet of the sphere must succeed on a Strength saving throw or be pulled straight toward the sphere's center, ending in an unoccupied space as close to the center as possible. A creature that enters the sphere for the first time on a turn or starts its turn there takes {@damage 5d10} force damage and is {@condition restrained} until it is no longer in the sphere. If the sphere is in the air, the {@condition restrained} creature hovers inside the sphere. A creature can use its action to make a Strength check against your spell save DC, ending this {@condition restrained} condition on itself or another creature in the sphere that it can reach. A creature reduced to 0 hit points by this spell is annihilated, along with any nonmagical items it is wearing or carrying.</t>
  </si>
  <si>
    <t>Mass Polymorph</t>
  </si>
  <si>
    <t>You transform up to ten creatures of your choice that you can see within range. An unwilling target must succeed on a Wisdom saving throw to resist the transformation. An unwilling shapechanger automatically succeeds on the save.
 Each target assumes a beast form of your choice, and you can choose the same form or different ones for each target. The new form can be {@filter any beast|bestiary|type=beast|miscellaneous=!swarm} you have seen whose challenge rating is equal to or less than the target's (or half the target's level, if the target doesn't have a challenge rating). The target's game statistics, including mental ability scores, are replaced by the statistics of the chosen beast, but the target retains its hit points, alignment, and personality.
 Each target gains a number of temporary hit points equal to the hit points of its new form. These temporary hit points can't be replaced by temporary hit points from another source. A target reverts to its normal form when it has no more temporary hit points or it dies. If the spell ends before then, the creature loses all its temporary hit points and reverts to its normal form.
 The creature is limited in the actions it can perform by the nature of its new form. It can't speak, cast spells, or do anything else that requires hands or speech.
 The target's gear melds into the new form. The target can't activate, use, wield, or otherwise benefit from any of its equipment.</t>
  </si>
  <si>
    <t>Weird</t>
  </si>
  <si>
    <t>Drawing on the deepest fears of a group of creatures, you create illusory creatures in their minds, visible only to them. Each creature in a 30-foot-radius sphere centered on a point of your choice within range must make a Wisdom saving throw. On a failed save, a creature becomes {@condition frightened} for the duration. The illusion calls on the creature's deepest fears, manifesting its worst nightmares as an implacable threat. At the end of each of the {@condition frightened} creature's turns, it must succeed on a Wisdom saving throw or take {@damage 4d10} psychic damage. On a successful save, the spell ends for that creature.</t>
  </si>
  <si>
    <t>Imprisonment</t>
  </si>
  <si>
    <t>({'text': 'a vellum depiction or a carved statuette in the likeness of the target, and a special component that varies according to the version of the spell you choose, worth at least 500 gp per Hit Die of the target', 'cost': 50000})</t>
  </si>
  <si>
    <t>You create a magical restraint to hold a creature that you can see within range. The target must succeed on a Wisdom saving throw or be bound by the spell; if it succeeds, it is immune to this spell if you cast it again. While affected by this spell, the creature doesn't need to breathe, eat, or drink, and it doesn't age. Divination spells can't locate or perceive the target.
 When you cast the spell, you choose one of the following forms of imprisonment.
 BurialThe target is entombed far beneath the earth in a sphere of magical force that is just large enough to contain the target. Nothing can pass through the sphere, nor can any creature teleport or use planar travel to get into or out of it.
 The special component for this version of the spell is a small mithral orb.
 ChainingHeavy chains, firmly rooted in the ground, hold the target in place. The target is {@condition restrained} until the spell ends, and it can't move or be moved by any means until then.
 The special component for this version of the spell is a fine chain of precious metal.
 Hedged PrisonThe spell transports the target into a tiny demiplane that is warded against teleportation and planar travel. The demiplane can be a labyrinth, a cage, a tower, or any similar confined structure or area of your choice.
 The special component for this version of the spell is a miniature representation of the prison made from jade.
 Minimus ContainmentThe target shrinks to a height of 1 inch and is imprisoned inside a gemstone or similar object. Light can pass through the gemstone normally (allowing the target to see out and other creatures to see in), but nothing else can pass through, even by means of teleportation or planar travel. The gemstone can't be cut or broken while the spell remains in effect.
 The special component for this version of the spell is a large, transparent gemstone, such as a corundum, diamond, or ruby.
 SlumberThe target falls asleep and can't be awoken.
 The special component for this version of the spell consists of rare soporific herbs.
 Ending the SpellDuring the casting of the spell, in any of its versions, you can specify a condition that will cause the spell to end and release the target. The condition can be as specific or as elaborate as you choose, but the DM must agree that the condition is reasonable and has a likelihood of coming to pass. The conditions can be based on a creature's name, identity, or deity but otherwise must be based on observable actions or qualities and not based on intangibles such as level, class, or hit points.
 A {@spell dispel magic} spell can end the spell only if it is cast as a 9th-level spell, targeting either the prison or the special component used to create it.
 You can use a particular special component to create only one prison at a time. If you cast the spell again using the same component, the target of the first casting is immediately freed from its binding.</t>
  </si>
  <si>
    <t>True Polymorph</t>
  </si>
  <si>
    <t>(a drop of mercury, a dollop of gum arabic, and a wisp of smoke)</t>
  </si>
  <si>
    <t>Choose one creature or nonmagical object that you can see within range. You transform the creature into a different creature, the creature into a nonmagical object, or the object into a creature (the object must be neither worn nor carried by another creature). The transformation lasts for the duration, or until the target drops to 0 hit points or dies. If you concentrate on this spell for the full duration, the transformation lasts until it is dispelled.
 This spell has no effect on a shapechanger or a creature with 0 hit points. An unwilling creature can make a Wisdom saving throw, and if it succeeds, it isn't affected by this spell.
 Creature into CreatureIf you turn a creature into another kind of creature, the new form can be any kind you choose whose challenge rating is equal to or less than the target's (or its level, if the target doesn't have a challenge rating). The target's game statistics, including mental ability scores, are replaced by the statistics of the new form. It retains its alignment and personality.
 The target assumes the hit points of its new form, and when it reverts to its normal form, the creature returns to the number of hit points it had before it transformed. If it reverts as a result of dropping to 0 hit points, any excess damage carries over to its normal form. As long as the excess damage doesn't reduce the creature's normal form to 0 hit points, it isn't knocked {@condition unconscious}.
 The creature is limited in the actions it can perform by the nature of its new form, and it can't speak, cast spells, or take any other action that requires hands or speech unless its new form is capable of such actions.
 The target's gear melds into the new form. The creature can't activate, use, wield, or otherwise benefit from any of its equipment.
 Object into CreatureYou can turn an object into any kind of creature, as long as the creature's size is no larger than the object's size and the creature's challenge rating is {@filter 9 or lower|bestiary|challenge rating=[&amp;0;&amp;9]|miscellaneous=!swarm}. The creature is friendly to you and your companions. It acts on each of your turns. You decide what action it takes and how it moves. The DM has the creature's statistics and resolves all of its actions and movement.
 If the spell becomes permanent, you no longer control the creature. It might remain friendly to you, depending on how you have treated it.
 Creature into ObjectIf you turn a creature into an object, it transforms along with whatever it is wearing and carrying into that form, as long as the object's size is no larger than the creature's size. The creature's statistics become those of the object, and the creature has no memory of time spent in this form, after the spell ends and it returns to its normal form.</t>
  </si>
  <si>
    <t>Blade of Disaster</t>
  </si>
  <si>
    <t>You create a blade-shaped planar rift about 3 feet long in an unoccupied space you can see within range. The blade lasts for the duration. When you cast this spell, you can make up to two melee spell attacks with the blade, each one against a creature, loose object, or structure within 5 feet of the blade. On a hit, the target takes {@damage 4d12} force damage. This attack scores a critical hit if the number on the {@dice d20} is 18 or higher. On a critical hit, the blade deals an extra {@damage 8d12} force damage (for a total of {@damage 12d12} force damage).
 As a bonus action on your turn, you can move the blade up to 30 feet to an unoccupied space you can see and then make up to two melee spell attacks with it again.
 The blade can harmlessly pass through any barrier, including a {@spell wall of force}.</t>
  </si>
  <si>
    <t>Gate</t>
  </si>
  <si>
    <t>({'text': 'a diamond worth at least 5,000 gp', 'cost': 500000})</t>
  </si>
  <si>
    <t>You conjure a portal linking an unoccupied space you can see within range to a precise location on a different plane of existence. The portal is a circular opening, which you can make 5 to 20 feet in diameter. You can orient the portal in any direction you choose. The portal lasts for the duration.
 The portal has a front and a back on each plane where it appears. Travel through the portal is possible only by moving through its front. Anything that does so is instantly transported to the other plane, appearing in the unoccupied space nearest to the portal.
 Deities and other planar rulers can prevent portals created by this spell from opening in their presence or anywhere within their domains.
 When you cast this spell, you can speak the name of a specific creature (a pseudonym, title, or nickname doesn't work). If that creature is on a plane other than the one you are on, the portal opens in the named creature's immediate vicinity and draws the creature through it to the nearest unoccupied space on your side of the portal. You gain no special power over the creature, and it is free to act as the DM deems appropriate. It might leave, attack you, or help you.</t>
  </si>
  <si>
    <t>Cleric,Sorcerer,Wizard</t>
  </si>
  <si>
    <t>Mass Heal</t>
  </si>
  <si>
    <t>A flood of healing energy flows from you into injured creatures around you. You restore up to 700 hit points, divided as you choose among any number of creatures that you can see within range. Creatures healed by this spell are also cured of all diseases and any effect making them {@condition blinded} or {@condition deafened}. This spell has no effect on undead or constructs.</t>
  </si>
  <si>
    <t>Power Word Kill</t>
  </si>
  <si>
    <t>You utter a word of power that can compel one creature you can see within range to die instantly. If the creature you choose has 100 hit points or fewer, it dies. Otherwise, the spell has no effect.</t>
  </si>
  <si>
    <t>Prismatic Wall</t>
  </si>
  <si>
    <t>A shimmering, multicolored plane of light forms a vertical opaque wallÃ¢â‚¬â€_x009d_up to 90 feet long, 30 feet high, and 1 inch thickÃ¢â‚¬â€_x009d_centered on a point you can see within range. Alternatively, you can shape the wall into a sphere up to 30 feet in diameter centered on a point you choose within range. The wall remains in place for the duration. If you position the wall so that it passes through a space occupied by a creature, the spell fails, and your action and the spell slot are wasted.
 The wall sheds bright light out to a range of 100 feet and dim light for an additional 100 feet. You and creatures you designate at the time you cast the spell can pass through and remain near the wall without harm. If another creature that can see the wall moves to within 20 feet of it or starts its turn there, the creature must succeed on a Constitution saving throw or become {@condition blinded} for 1 minute.
 The wall consists of seven layers, each with a different color. When a creature attempts to reach into or pass through the wall, it does so one layer at a time through all the wall's layers. As it passes or reaches through each layer, the creature must make a Dexterity saving throw or be affected by that layer's properties as described below.
 The wall can be destroyed, also one layer at a time, in order from red to violet, by means specific to each layer. Once a layer is destroyed, it remains so for the duration of the spell. An antimagic field has no effect on a prismatic wall.
 RedThe creature takes {@damage 10d6} fire damage on a failed save, or half as much damage on a successful one. While this layer is in place, nonmagical ranged attacks can't pass through the wall. The layer can be destroyed by dealing at least 25 cold damage to it.
 OrangeThe creature takes {@damage 10d6} acid damage on a failed save, or half as much damage on a successful one. While this layer is in place, magical ranged attacks can't pass through the wall. The layer is destroyed by a strong wind.
 YellowThe creature takes {@damage 10d6} lightning damage on a failed save, or half as much damage on a successful one. This layer can be destroyed by dealing at least 60 force damage to it.
 GreenThe creature takes {@damage 10d6} poison damage on a failed save, or half as much damage on a successful one. A passwall spell, or another spell of equal or greater level that can open a portal on a solid surface, destroys this layer.
 BlueThe creature takes {@damage 10d6} cold damage on a failed save, or half as much damage on a successful one. This layer can be destroyed by dealing at least 25 fire damage to it.
 IndigoOn a failed save, the creature is {@condition restrained}. It must then make a Constitution saving throw at the end of each of its turns. If it successfully saves three times, the spell ends. If it fails its save three times, it permanently turns to stone and is subjected to the {@condition petrified} condition. The successes and failures don't need to be consecutive; keep track of both until the creature collects three of a kind.
 While this layer is in place, spells can't be cast through the wall. The layer is destroyed by bright light shed by a daylight spell or a similar spell of equal or higher level.
 VioletOn a failed save, the creature is {@condition blinded}. It must then make a Wisdom saving throw at the start of your next turn. A successful save ends the blindness. If it fails that save, the creature is transported to another plane of the DM's choosing and is no longer {@condition blinded}. (Typically, a creature that is on a plane that isn't its home plane is banished home, while other creatures are usually cast into the Astral or Ethereal planes.) This layer is destroyed by a {@spell dispel magic} spell or a similar spell of equal or higher level that can end spells and magical effects.</t>
  </si>
  <si>
    <t>Psychic Scream</t>
  </si>
  <si>
    <t>You unleash the power of your mind to blast the intellect of up to ten creatures of your choice that you can see within range. Creatures that have an Intelligence score of 2 or lower are unaffected.
 Each target must make an Intelligence saving throw. On a failed save, a target takes {@damage 14d6} psychic damage and is {@condition stunned}. On a successful save, a target takes half as much damage and isn't {@condition stunned}. If a target is killed by this damage, its head explodes, assuming it has one.
 A {@condition stunned} target can make an Intelligence saving throw at the end of each of its turns. On a successful save, the stunning effect ends.</t>
  </si>
  <si>
    <t>Time Ravage</t>
  </si>
  <si>
    <t>({'text': 'an hourglass filled with diamond dust worth at least 5,000 gp, which the spell consumes', 'cost': 500000, 'consume': True})</t>
  </si>
  <si>
    <t>You target a creature you can see within range, putting its physical form through the devastation of rapid aging. The target must make a Constitution saving throw, taking {@damage 10d12} necrotic damage on a failed save, or half as much damage on a successful one. If the save fails, the target also ages to the point where it has only 30 days left before it dies of old age. In this aged state, the target has disadvantage on attack rolls, ability checks, and saving throws, and its walking speed is halved. Only the {@spell wish} spell or the {@spell greater restoration} cast with a 9th-level spell slot can end these effects and restore the target to its previous age.</t>
  </si>
  <si>
    <t>Invulnerability</t>
  </si>
  <si>
    <t>({'text': 'a small piece of adamantine worth at least 500 gp, which the spell consumes', 'cost': 50000, 'consume': True})</t>
  </si>
  <si>
    <t>You are immune to all damage until the spell ends.</t>
  </si>
  <si>
    <t>Shapechange</t>
  </si>
  <si>
    <t>({'text': 'a jade circlet worth at least 1,500 gp, which you must place on your head before you cast the spell', 'cost': 150000})</t>
  </si>
  <si>
    <t>You assume the form of a different creature for the duration. The new form can be of any creature with a challenge rating equal to your level or lower. The creature can't be a construct or an undead, and you must have seen the sort of creature at least once. You transform into an average example of that creature, one without any class levels or the Spellcasting trait.
 Your game statistics are replaced by the statistics of the chosen creature, though you retain your alignment and Intelligence, Wisdom, and Charisma scores. You also retain all of your skill and saving throw proficiencies, in addition to gaining those of the creature. If the creature has the same proficiency as you and the bonus listed in its statistics is higher than yours, use the creature's bonus in place of yours. You can't use any legendary actions or lair actions of the new form.
 You assume the hit points and Hit Dice of the new form. When you revert to your normal form, you return to the number of hit points you had before you transformed. If you revert as a result of dropping to 0 hit points, any excess damage carries over to your normal form. As long as the excess damage doesn't reduce your normal form to 0 hit points, you aren't knocked {@condition unconscious}.
 You retain the benefit of any features from your class, race, or other source and can use them, provided that your new form is physically capable of doing so. You can't use any special senses you have (for example, {@sense darkvision}) unless your new form also has that sense. You can only speak if the creature can normally speak.
 When you transform, you choose whether your equipment falls to the ground, merges into the new form, or is worn by it. Worn equipment functions as normal. The DM determines whether it is practical for the new form to wear a piece of equipment, based on the creature's shape and size. Your equipment doesn't change shape or size to match the new form, and any equipment that the new form can't wear must either fall to the ground or merge into your new form. Equipment that merges has no effect in that state.
 During this spell's duration, you can use your action to assume a different form following the same restrictions and rules for the original form, with one exception: if your new form has more hit points than your current one, your hit points remain at their current value.</t>
  </si>
  <si>
    <t>Time Stop</t>
  </si>
  <si>
    <t>You briefly stop the flow of time for everyone but yourself. No time passes for other creatures, while you take {@dice 1d4 + 1} turns in a row, during which you can use actions and move as normal.
 This spell ends if one of the actions you use during this period, or any effects that you create during this period, affects a creature other than you or an object being worn or carried by someone other than you. In addition, the spell ends if you move to a place more than 1,000 feet from the location where you cast it.</t>
  </si>
  <si>
    <t>Wish</t>
  </si>
  <si>
    <t>Wish is the mightiest spell a mortal creature can cast. By simply speaking aloud, you can alter the very foundations of reality in accord with your desires.
 The basic use of this spell is to duplicate any other spell of 8th level or lower. You don't need to meet any requirements in that spell, including costly components. The spell simply takes effect. Alternatively, you can create one of the following effects of your choice:
 You create one object of up to 25,000 gp in value that isn't a magic item. The object can be no more than 300 feet in any dimension, and it appears in an unoccupied space you can see on the ground.
 You allow up to twenty creatures that you can see to regain all hit points, and you end all effects on them described in the {@spell greater restoration} spell.
 You grant up to ten creatures that you can see resistance to a damage type you choose.
 You grant up to ten creatures you can see immunity to a single spell or other magical effect for 8 hours. For instance, you could make yourself and all your companions immune to a {@creature lich}'s life drain attack.
 You undo a single recent event by forcing a reroll of any roll made within the last round (including your last turn). Reality reshapes itself to accommodate the new result. For example, a {@spell wish} spell could undo an opponent's successful save, a foe's critical hit, or a friend's failed save. You can force the reroll to be made with advantage or disadvantage, and you can choose whether to use the reroll or the original roll.You might be able to achieve something beyond the scope of the above examples. State your wish to the DM as precisely as possible. The DM has great latitude in ruling what occurs in such an instance; the greater the wish, the greater the likelihood that something goes wrong. This spell might simply fail, the effect you desire might only be partly achieved, or you might suffer some unforeseen consequence as a result of how you worded the wish. For example, wishing that a villain were dead might propel you forward in time to a period when that villain is no longer alive, effectively removing you from the game. Similarly, wishing for a legendary magic item or artifact might instantly transport you to the presence of the item's current owner.
 The stress of casting this spell to produce any effect other than duplicating another spell weakens you. After enduring that stress, each time you cast a spell until you finish a long rest, you take {@damage 1d10} necrotic damage per level of that spell. This damage can't be reduced or prevented in any way. In addition, your Strength drops to 3, if it isn't 3 or lower already, for {@dice 2d4} days. For each of those days that you spend resting and doing nothing more than light activity, your remaining recovery time decreases by 2 days. Finally, there is a {@chance 33} chance that you are unable to cast wish ever again if you suffer this stress.</t>
  </si>
  <si>
    <t>Eldritch Knight,Arcane Trickster,Arcana,Genie</t>
  </si>
  <si>
    <t>Storm of Vengeance</t>
  </si>
  <si>
    <t>A churning storm cloud forms, centered on a point you can see and spreading to a radius of 360 feet. Lightning flashes in the area, thunder booms, and strong winds roar. Each creature under the cloud (no more than 5,000 feet beneath the cloud) when it appears must make a Constitution saving throw. On a failed save, a creature takes {@damage 2d6} thunder damage and becomes {@condition deafened} for 5 minutes.
 Each round you maintain concentration on this spell, the storm produces different effects on your turn.
 Round 2Acidic rain falls from the cloud. Each creature and object under the cloud takes {@damage 1d6} acid damage.
 Round 3You call six bolts of lightning from the cloud to strike six creatures or objects of your choice beneath the cloud. A given creature or object can't be struck by more than one bolt. A struck creature must make a Dexterity saving throw. The creature takes {@damage 10d6} lightning damage on a failed save, or half as much damage on a successful one.
 Round 4Hailstones rain down from the cloud. Each creature under the cloud takes {@damage 2d6} bludgeoning damage.
 Round 5Ã¢â‚¬â€œ10Gusts and freezing rain assail the area under the cloud. The area becomes difficult terrain and is heavily obscured. Each creature there takes {@damage 1d6} cold damage. Ranged weapon attacks in the area are impossible. The wind and rain count as a severe distraction for the purposes of maintaining concentration on spells. Finally, gusts of strong wind (ranging from 20 to 50 miles per hour) automatically disperse fog, mists, and similar phenomena in the area, whether mundane or magical.</t>
  </si>
  <si>
    <t>Foresight</t>
  </si>
  <si>
    <t>(a hummingbird feather)</t>
  </si>
  <si>
    <t>You touch a willing creature and bestow a limited ability to see into the immediate future. For the duration, the target can't be surprised and has advantage on attack rolls, ability checks, and saving throws. Additionally, other creatures have disadvantage on attack rolls against the target for the duration.
 This spell immediately ends if you cast it again before its duration ends.</t>
  </si>
  <si>
    <t>Power Word Heal</t>
  </si>
  <si>
    <t>A wave of healing energy washes over the creature you touch. The target regains all its hit points. If the creature is {@condition charmed}, {@condition frightened}, {@condition paralyzed}, or {@condition stunned}, the condition ends. If the creature is {@condition prone}, it can use its reaction to stand up. This spell has no effect on undead or constructs.</t>
  </si>
  <si>
    <t>Cleric,Druid,Cleric</t>
  </si>
  <si>
    <t>True Resurrection</t>
  </si>
  <si>
    <t>({'text': 'a sprinkle of holy water and diamonds worth at least 25,000 gp, which the spell consumes', 'cost': 2500000, 'consume': True})</t>
  </si>
  <si>
    <t>You touch a creature that has been dead for no longer than 200 years and that died for any reason except old age. If the creature's soul is free and willing, the creature is restored to life with all its hit points.
 This spell closes all wounds, neutralizes any poison, cures all diseases, and lifts any curses affecting the creature when it died. The spell replaces damaged or missing organs and limbs. If the creature was undead, it is restored to its non-undead form.
 The spell can even provide a new body if the original no longer exists, in which case you must speak the creature's name. The creature then appears in an unoccupied space you choose within 10 feet of you.</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</si>
</sst>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d"/>
    <numFmt numFmtId="165" formatCode="mm-dd"/>
    <numFmt numFmtId="166" formatCode="m-d"/>
    <numFmt numFmtId="167" formatCode="+0"/>
  </numFmts>
  <fonts count="40">
    <font>
      <sz val="11.0"/>
      <color rgb="FF000000"/>
      <name val="Calibri"/>
    </font>
    <font/>
    <font>
      <color rgb="FF000000"/>
    </font>
    <font>
      <sz val="11.0"/>
      <name val="Calibri"/>
    </font>
    <font>
      <color rgb="FFFFFFFF"/>
      <name val="Roboto"/>
    </font>
    <font>
      <u/>
      <color rgb="FF0000FF"/>
    </font>
    <font>
      <u/>
      <color rgb="FF0000FF"/>
    </font>
    <font>
      <u/>
      <color rgb="FF0000FF"/>
    </font>
    <font>
      <u/>
      <sz val="11.0"/>
      <color rgb="FF1155CC"/>
      <name val="Calibri"/>
    </font>
    <font>
      <u/>
      <color rgb="FF0000FF"/>
    </font>
    <font>
      <u/>
      <color rgb="FF0000FF"/>
    </font>
    <font>
      <sz val="11.0"/>
      <color rgb="FF0D0D0D"/>
      <name val="Calibri"/>
    </font>
    <font>
      <sz val="11.0"/>
      <color rgb="FF333333"/>
      <name val="&quot;Helvetica Neue&quot;"/>
    </font>
    <font>
      <b/>
    </font>
    <font>
      <sz val="11.0"/>
      <color rgb="FFFFFFFF"/>
      <name val="Calibri"/>
    </font>
    <font>
      <b/>
      <sz val="11.0"/>
      <color rgb="FF333333"/>
      <name val="&quot;Helvetica Neue&quot;"/>
    </font>
    <font>
      <u/>
      <sz val="11.0"/>
      <color rgb="FF0000FF"/>
      <name val="Calibri"/>
    </font>
    <font>
      <sz val="11.0"/>
      <color rgb="FFE6E6E6"/>
      <name val="Calibri"/>
    </font>
    <font>
      <u/>
      <sz val="11.0"/>
      <color rgb="FF0000FF"/>
      <name val="Calibri"/>
    </font>
    <font>
      <u/>
      <sz val="11.0"/>
      <color rgb="FF0000FF"/>
      <name val="Calibri"/>
    </font>
    <font>
      <u/>
      <sz val="11.0"/>
      <color rgb="FF333333"/>
      <name val="&quot;Helvetica Neue&quot;"/>
    </font>
    <font>
      <u/>
      <sz val="11.0"/>
      <color rgb="FF0000FF"/>
      <name val="Calibri"/>
    </font>
    <font>
      <u/>
      <sz val="11.0"/>
      <color rgb="FFFFFFFF"/>
      <name val="Calibri"/>
    </font>
    <font>
      <color rgb="FF434343"/>
      <name val="Calibri"/>
    </font>
    <font>
      <u/>
      <color rgb="FF0000FF"/>
      <name val="Calibri"/>
    </font>
    <font>
      <b/>
      <sz val="10.0"/>
      <color rgb="FF000000"/>
      <name val="Calibri"/>
    </font>
    <font>
      <b/>
      <color rgb="FF000000"/>
      <name val="Calibri"/>
    </font>
    <font>
      <b/>
      <u/>
      <sz val="10.0"/>
      <color rgb="FF0000FF"/>
      <name val="Calibri"/>
    </font>
    <font>
      <sz val="10.0"/>
      <color rgb="FF000000"/>
      <name val="Calibri"/>
    </font>
    <font>
      <color rgb="FF000000"/>
      <name val="Calibri"/>
    </font>
    <font>
      <sz val="8.0"/>
      <color rgb="FF000000"/>
      <name val="Verdana"/>
    </font>
    <font>
      <b/>
      <sz val="14.0"/>
      <color rgb="FF625B65"/>
      <name val="Georgia"/>
    </font>
    <font>
      <u/>
      <sz val="14.0"/>
      <color rgb="FF0000FF"/>
      <name val="Georgia"/>
    </font>
    <font>
      <sz val="14.0"/>
      <color rgb="FF625B65"/>
      <name val="Georgia"/>
    </font>
    <font>
      <u/>
      <sz val="14.0"/>
      <color rgb="FF0000FF"/>
      <name val="Georgia"/>
    </font>
    <font>
      <sz val="14.0"/>
      <name val="Georgia"/>
    </font>
    <font>
      <b/>
      <sz val="11.0"/>
      <color rgb="FFECE9E4"/>
      <name val="&quot;Helvetica Neue&quot;"/>
    </font>
    <font>
      <sz val="12.0"/>
      <color rgb="FF3A3A3A"/>
      <name val="&quot;Helvetica Neue&quot;"/>
    </font>
    <font>
      <sz val="11.0"/>
      <color rgb="FFA5D6FF"/>
      <name val="Consolas"/>
    </font>
    <font>
      <u/>
      <sz val="11.0"/>
      <color rgb="FF0000FF"/>
      <name val="Arial"/>
    </font>
  </fonts>
  <fills count="31">
    <fill>
      <patternFill patternType="none"/>
    </fill>
    <fill>
      <patternFill patternType="lightGray"/>
    </fill>
    <fill>
      <patternFill patternType="solid">
        <fgColor rgb="FFCCCCCC"/>
        <bgColor rgb="FFCCCCCC"/>
      </patternFill>
    </fill>
    <fill>
      <patternFill patternType="solid">
        <fgColor rgb="FFF4CCCC"/>
        <bgColor rgb="FFF4CCCC"/>
      </patternFill>
    </fill>
    <fill>
      <patternFill patternType="solid">
        <fgColor rgb="FFD0E0E3"/>
        <bgColor rgb="FFD0E0E3"/>
      </patternFill>
    </fill>
    <fill>
      <patternFill patternType="solid">
        <fgColor rgb="FFB6D7A8"/>
        <bgColor rgb="FFB6D7A8"/>
      </patternFill>
    </fill>
    <fill>
      <patternFill patternType="solid">
        <fgColor rgb="FF434343"/>
        <bgColor rgb="FF434343"/>
      </patternFill>
    </fill>
    <fill>
      <patternFill patternType="solid">
        <fgColor rgb="FFF9CB9C"/>
        <bgColor rgb="FFF9CB9C"/>
      </patternFill>
    </fill>
    <fill>
      <patternFill patternType="solid">
        <fgColor rgb="FFFFFFFF"/>
        <bgColor rgb="FFFFFFFF"/>
      </patternFill>
    </fill>
    <fill>
      <patternFill patternType="solid">
        <fgColor rgb="FFDD7E6B"/>
        <bgColor rgb="FFDD7E6B"/>
      </patternFill>
    </fill>
    <fill>
      <patternFill patternType="solid">
        <fgColor rgb="FFA4C2F4"/>
        <bgColor rgb="FFA4C2F4"/>
      </patternFill>
    </fill>
    <fill>
      <patternFill patternType="solid">
        <fgColor rgb="FFFCE5CD"/>
        <bgColor rgb="FFFCE5CD"/>
      </patternFill>
    </fill>
    <fill>
      <patternFill patternType="solid">
        <fgColor rgb="FFD9D2E9"/>
        <bgColor rgb="FFD9D2E9"/>
      </patternFill>
    </fill>
    <fill>
      <patternFill patternType="solid">
        <fgColor rgb="FFFFD966"/>
        <bgColor rgb="FFFFD966"/>
      </patternFill>
    </fill>
    <fill>
      <patternFill patternType="solid">
        <fgColor rgb="FFB4A7D6"/>
        <bgColor rgb="FFB4A7D6"/>
      </patternFill>
    </fill>
    <fill>
      <patternFill patternType="solid">
        <fgColor rgb="FFD9EAD3"/>
        <bgColor rgb="FFD9EAD3"/>
      </patternFill>
    </fill>
    <fill>
      <patternFill patternType="solid">
        <fgColor rgb="FFC9DAF8"/>
        <bgColor rgb="FFC9DAF8"/>
      </patternFill>
    </fill>
    <fill>
      <patternFill patternType="solid">
        <fgColor rgb="FFFFF2CC"/>
        <bgColor rgb="FFFFF2CC"/>
      </patternFill>
    </fill>
    <fill>
      <patternFill patternType="solid">
        <fgColor rgb="FFCFE2F3"/>
        <bgColor rgb="FFCFE2F3"/>
      </patternFill>
    </fill>
    <fill>
      <patternFill patternType="solid">
        <fgColor rgb="FFEAD1DC"/>
        <bgColor rgb="FFEAD1DC"/>
      </patternFill>
    </fill>
    <fill>
      <patternFill patternType="solid">
        <fgColor rgb="FFEA9999"/>
        <bgColor rgb="FFEA9999"/>
      </patternFill>
    </fill>
    <fill>
      <patternFill patternType="solid">
        <fgColor rgb="FFFFE599"/>
        <bgColor rgb="FFFFE599"/>
      </patternFill>
    </fill>
    <fill>
      <patternFill patternType="solid">
        <fgColor rgb="FFA2C4C9"/>
        <bgColor rgb="FFA2C4C9"/>
      </patternFill>
    </fill>
    <fill>
      <patternFill patternType="solid">
        <fgColor rgb="FF9FC5E8"/>
        <bgColor rgb="FF9FC5E8"/>
      </patternFill>
    </fill>
    <fill>
      <patternFill patternType="solid">
        <fgColor rgb="FFD5A6BD"/>
        <bgColor rgb="FFD5A6BD"/>
      </patternFill>
    </fill>
    <fill>
      <patternFill patternType="solid">
        <fgColor rgb="FFE6B8AF"/>
        <bgColor rgb="FFE6B8AF"/>
      </patternFill>
    </fill>
    <fill>
      <patternFill patternType="solid">
        <fgColor rgb="FF1E0C1B"/>
        <bgColor rgb="FF1E0C1B"/>
      </patternFill>
    </fill>
    <fill>
      <patternFill patternType="solid">
        <fgColor rgb="FF908149"/>
        <bgColor rgb="FF908149"/>
      </patternFill>
    </fill>
    <fill>
      <patternFill patternType="solid">
        <fgColor rgb="FF121314"/>
        <bgColor rgb="FF121314"/>
      </patternFill>
    </fill>
    <fill>
      <patternFill patternType="solid">
        <fgColor rgb="FF999999"/>
        <bgColor rgb="FF999999"/>
      </patternFill>
    </fill>
    <fill>
      <patternFill patternType="solid">
        <fgColor rgb="FFD9D9D9"/>
        <bgColor rgb="FFD9D9D9"/>
      </patternFill>
    </fill>
  </fills>
  <borders count="14">
    <border/>
    <border>
      <left style="thin">
        <color rgb="FF000000"/>
      </left>
      <top style="thin">
        <color rgb="FF000000"/>
      </top>
    </border>
    <border>
      <right style="thin">
        <color rgb="FF000000"/>
      </right>
      <top style="thin">
        <color rgb="FF000000"/>
      </top>
    </border>
    <border>
      <top style="thin">
        <color rgb="FF000000"/>
      </top>
    </border>
    <border>
      <left style="thin">
        <color rgb="FF000000"/>
      </left>
    </border>
    <border>
      <right style="thin">
        <color rgb="FF000000"/>
      </right>
    </border>
    <border>
      <left style="thin">
        <color rgb="FF000000"/>
      </left>
      <right style="thin">
        <color rgb="FF000000"/>
      </right>
      <top style="thin">
        <color rgb="FF000000"/>
      </top>
    </border>
    <border>
      <left style="thin">
        <color rgb="FF000000"/>
      </left>
      <right style="thin">
        <color rgb="FF000000"/>
      </right>
    </border>
    <border>
      <left style="thin">
        <color rgb="FF000000"/>
      </left>
      <bottom style="thin">
        <color rgb="FF000000"/>
      </bottom>
    </border>
    <border>
      <right style="thin">
        <color rgb="FF000000"/>
      </right>
      <bottom style="thin">
        <color rgb="FF000000"/>
      </bottom>
    </border>
    <border>
      <bottom style="thin">
        <color rgb="FF000000"/>
      </bottom>
    </border>
    <border>
      <left style="thin">
        <color rgb="FF000000"/>
      </left>
      <right style="thin">
        <color rgb="FF000000"/>
      </right>
      <bottom style="thin">
        <color rgb="FF000000"/>
      </bottom>
    </border>
    <border>
      <left style="thin">
        <color rgb="FF50434E"/>
      </left>
      <right style="thin">
        <color rgb="FF50434E"/>
      </right>
      <top style="thin">
        <color rgb="FF50434E"/>
      </top>
      <bottom style="thin">
        <color rgb="FF50434E"/>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13">
    <xf borderId="0" fillId="0" fontId="0" numFmtId="0" xfId="0" applyAlignment="1" applyFont="1">
      <alignment readingOrder="0" shrinkToFit="0" vertical="bottom" wrapText="0"/>
    </xf>
    <xf borderId="1" fillId="2" fontId="1" numFmtId="0" xfId="0" applyAlignment="1" applyBorder="1" applyFill="1" applyFont="1">
      <alignment readingOrder="0"/>
    </xf>
    <xf borderId="2" fillId="2" fontId="1" numFmtId="0" xfId="0" applyAlignment="1" applyBorder="1" applyFont="1">
      <alignment readingOrder="0"/>
    </xf>
    <xf borderId="0" fillId="2" fontId="1" numFmtId="0" xfId="0" applyAlignment="1" applyFont="1">
      <alignment readingOrder="0"/>
    </xf>
    <xf borderId="3" fillId="2" fontId="1" numFmtId="0" xfId="0" applyAlignment="1" applyBorder="1" applyFont="1">
      <alignment readingOrder="0"/>
    </xf>
    <xf borderId="0" fillId="2" fontId="1" numFmtId="0" xfId="0" applyAlignment="1" applyFont="1">
      <alignment readingOrder="0" shrinkToFit="0" vertical="center" wrapText="0"/>
    </xf>
    <xf borderId="4" fillId="0" fontId="1" numFmtId="0" xfId="0" applyAlignment="1" applyBorder="1" applyFont="1">
      <alignment readingOrder="0"/>
    </xf>
    <xf borderId="5" fillId="0" fontId="1" numFmtId="0" xfId="0" applyAlignment="1" applyBorder="1" applyFont="1">
      <alignment readingOrder="0"/>
    </xf>
    <xf borderId="6" fillId="0" fontId="1" numFmtId="0" xfId="0" applyAlignment="1" applyBorder="1" applyFont="1">
      <alignment readingOrder="0"/>
    </xf>
    <xf borderId="5" fillId="3" fontId="1" numFmtId="0" xfId="0" applyAlignment="1" applyBorder="1" applyFill="1" applyFont="1">
      <alignment readingOrder="0"/>
    </xf>
    <xf borderId="0" fillId="0" fontId="1" numFmtId="0" xfId="0" applyAlignment="1" applyFont="1">
      <alignment readingOrder="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0" xfId="0" applyAlignment="1" applyFont="1">
      <alignment shrinkToFit="0" wrapText="0"/>
    </xf>
    <xf borderId="4" fillId="0" fontId="1" numFmtId="0" xfId="0" applyBorder="1" applyFont="1"/>
    <xf borderId="7" fillId="0" fontId="1" numFmtId="0" xfId="0" applyAlignment="1" applyBorder="1" applyFont="1">
      <alignment readingOrder="0"/>
    </xf>
    <xf borderId="5" fillId="4" fontId="1" numFmtId="0" xfId="0" applyAlignment="1" applyBorder="1" applyFill="1" applyFont="1">
      <alignment readingOrder="0"/>
    </xf>
    <xf borderId="0" fillId="0" fontId="1" numFmtId="0" xfId="0" applyAlignment="1" applyFont="1">
      <alignment shrinkToFit="0" vertical="center" wrapText="0"/>
    </xf>
    <xf borderId="0" fillId="0" fontId="1" numFmtId="0" xfId="0" applyAlignment="1" applyFont="1">
      <alignment readingOrder="0" shrinkToFit="0" wrapText="0"/>
    </xf>
    <xf borderId="5" fillId="5" fontId="2" numFmtId="0" xfId="0" applyAlignment="1" applyBorder="1" applyFill="1" applyFont="1">
      <alignment readingOrder="0"/>
    </xf>
    <xf borderId="5" fillId="5" fontId="1" numFmtId="0" xfId="0" applyAlignment="1" applyBorder="1" applyFont="1">
      <alignment readingOrder="0"/>
    </xf>
    <xf borderId="5" fillId="2" fontId="1" numFmtId="0" xfId="0" applyAlignment="1" applyBorder="1" applyFont="1">
      <alignment readingOrder="0"/>
    </xf>
    <xf borderId="0" fillId="0" fontId="1" numFmtId="0" xfId="0" applyAlignment="1" applyFont="1">
      <alignment shrinkToFit="0" wrapText="0"/>
    </xf>
    <xf borderId="8" fillId="0" fontId="1" numFmtId="0" xfId="0" applyAlignment="1" applyBorder="1" applyFont="1">
      <alignment readingOrder="0"/>
    </xf>
    <xf borderId="9" fillId="2" fontId="1" numFmtId="0" xfId="0" applyAlignment="1" applyBorder="1" applyFont="1">
      <alignment readingOrder="0"/>
    </xf>
    <xf borderId="10" fillId="0" fontId="1" numFmtId="0" xfId="0" applyAlignment="1" applyBorder="1" applyFont="1">
      <alignment readingOrder="0"/>
    </xf>
    <xf borderId="9" fillId="0" fontId="1" numFmtId="0" xfId="0" applyAlignment="1" applyBorder="1" applyFont="1">
      <alignment readingOrder="0"/>
    </xf>
    <xf borderId="8" fillId="0" fontId="1" numFmtId="0" xfId="0" applyBorder="1" applyFont="1"/>
    <xf borderId="3" fillId="2" fontId="1" numFmtId="0" xfId="0" applyBorder="1" applyFont="1"/>
    <xf borderId="2" fillId="2" fontId="1" numFmtId="0" xfId="0" applyBorder="1" applyFont="1"/>
    <xf borderId="4" fillId="2" fontId="1" numFmtId="0" xfId="0" applyAlignment="1" applyBorder="1" applyFont="1">
      <alignment readingOrder="0"/>
    </xf>
    <xf borderId="0" fillId="2" fontId="1" numFmtId="0" xfId="0" applyAlignment="1" applyFont="1">
      <alignment horizontal="center" readingOrder="0"/>
    </xf>
    <xf borderId="5" fillId="2" fontId="1" numFmtId="0" xfId="0" applyAlignment="1" applyBorder="1" applyFont="1">
      <alignment horizontal="center" readingOrder="0"/>
    </xf>
    <xf borderId="11" fillId="0" fontId="1" numFmtId="0" xfId="0" applyAlignment="1" applyBorder="1" applyFont="1">
      <alignment readingOrder="0"/>
    </xf>
    <xf borderId="0" fillId="2" fontId="3" numFmtId="0" xfId="0" applyAlignment="1" applyFont="1">
      <alignment readingOrder="0" vertical="bottom"/>
    </xf>
    <xf borderId="0" fillId="2" fontId="3" numFmtId="0" xfId="0" applyAlignment="1" applyFont="1">
      <alignment vertical="bottom"/>
    </xf>
    <xf borderId="5" fillId="2" fontId="3" numFmtId="0" xfId="0" applyAlignment="1" applyBorder="1" applyFont="1">
      <alignment vertical="bottom"/>
    </xf>
    <xf borderId="0" fillId="6" fontId="1" numFmtId="0" xfId="0" applyAlignment="1" applyFill="1" applyFont="1">
      <alignment readingOrder="0"/>
    </xf>
    <xf borderId="0" fillId="6" fontId="1" numFmtId="0" xfId="0" applyFont="1"/>
    <xf borderId="0" fillId="0" fontId="1" numFmtId="0" xfId="0" applyFont="1"/>
    <xf borderId="0" fillId="6" fontId="1" numFmtId="0" xfId="0" applyAlignment="1" applyFont="1">
      <alignment shrinkToFit="0" wrapText="0"/>
    </xf>
    <xf borderId="0" fillId="0" fontId="3" numFmtId="0" xfId="0" applyAlignment="1" applyFont="1">
      <alignment vertical="bottom"/>
    </xf>
    <xf borderId="0" fillId="0" fontId="3" numFmtId="0" xfId="0" applyAlignment="1" applyFont="1">
      <alignment shrinkToFit="0" vertical="bottom" wrapText="0"/>
    </xf>
    <xf borderId="0" fillId="0" fontId="4" numFmtId="0" xfId="0" applyAlignment="1" applyFont="1">
      <alignment horizontal="left" readingOrder="0" shrinkToFit="0" vertical="center" wrapText="0"/>
    </xf>
    <xf borderId="0" fillId="0" fontId="1" numFmtId="0" xfId="0" applyAlignment="1" applyFont="1">
      <alignment readingOrder="0" shrinkToFit="0" wrapText="0"/>
    </xf>
    <xf borderId="0" fillId="0" fontId="5" numFmtId="0" xfId="0" applyAlignment="1" applyFont="1">
      <alignment readingOrder="0"/>
    </xf>
    <xf borderId="0" fillId="7" fontId="1" numFmtId="0" xfId="0" applyAlignment="1" applyFill="1" applyFont="1">
      <alignment readingOrder="0"/>
    </xf>
    <xf borderId="0" fillId="0" fontId="6" numFmtId="0" xfId="0" applyAlignment="1" applyFont="1">
      <alignment shrinkToFit="0" vertical="center" wrapText="0"/>
    </xf>
    <xf borderId="0" fillId="0" fontId="7" numFmtId="0" xfId="0" applyFont="1"/>
    <xf borderId="0" fillId="0" fontId="3" numFmtId="0" xfId="0" applyAlignment="1" applyFont="1">
      <alignment horizontal="center" readingOrder="0" vertical="bottom"/>
    </xf>
    <xf borderId="0" fillId="0" fontId="3" numFmtId="0" xfId="0" applyAlignment="1" applyFont="1">
      <alignment vertical="bottom"/>
    </xf>
    <xf borderId="0" fillId="0" fontId="3" numFmtId="0" xfId="0" applyAlignment="1" applyFont="1">
      <alignment horizontal="right" vertical="bottom"/>
    </xf>
    <xf borderId="0" fillId="0" fontId="3" numFmtId="0" xfId="0" applyAlignment="1" applyFont="1">
      <alignment shrinkToFit="0" vertical="bottom" wrapText="0"/>
    </xf>
    <xf borderId="0" fillId="0" fontId="3" numFmtId="0" xfId="0" applyAlignment="1" applyFont="1">
      <alignment horizontal="center" vertical="bottom"/>
    </xf>
    <xf borderId="0" fillId="0" fontId="3" numFmtId="0" xfId="0" applyAlignment="1" applyFont="1">
      <alignment horizontal="right" vertical="bottom"/>
    </xf>
    <xf borderId="0" fillId="0" fontId="3" numFmtId="0" xfId="0" applyAlignment="1" applyFont="1">
      <alignment readingOrder="0" vertical="bottom"/>
    </xf>
    <xf borderId="0" fillId="0" fontId="3" numFmtId="0" xfId="0" applyAlignment="1" applyFont="1">
      <alignment readingOrder="0" shrinkToFit="0" vertical="bottom" wrapText="0"/>
    </xf>
    <xf borderId="0" fillId="0" fontId="3" numFmtId="0" xfId="0" applyAlignment="1" applyFont="1">
      <alignment readingOrder="0" shrinkToFit="0" vertical="bottom" wrapText="0"/>
    </xf>
    <xf borderId="0" fillId="0" fontId="3" numFmtId="0" xfId="0" applyAlignment="1" applyFont="1">
      <alignment horizontal="center" vertical="bottom"/>
    </xf>
    <xf borderId="0" fillId="0" fontId="8" numFmtId="0" xfId="0" applyAlignment="1" applyFont="1">
      <alignment vertical="bottom"/>
    </xf>
    <xf borderId="0" fillId="0" fontId="3" numFmtId="0" xfId="0" applyAlignment="1" applyFont="1">
      <alignment horizontal="right" readingOrder="0" vertical="bottom"/>
    </xf>
    <xf borderId="0" fillId="0" fontId="3" numFmtId="0" xfId="0" applyAlignment="1" applyFont="1">
      <alignment horizontal="right" shrinkToFit="0" vertical="bottom" wrapText="0"/>
    </xf>
    <xf borderId="0" fillId="0" fontId="3" numFmtId="0" xfId="0" applyAlignment="1" applyFont="1">
      <alignment horizontal="right" readingOrder="0" shrinkToFit="0" vertical="bottom" wrapText="0"/>
    </xf>
    <xf borderId="0" fillId="0" fontId="9" numFmtId="0" xfId="0" applyAlignment="1" applyFont="1">
      <alignment shrinkToFit="0" wrapText="0"/>
    </xf>
    <xf borderId="0" fillId="0" fontId="3" numFmtId="0" xfId="0" applyAlignment="1" applyFont="1">
      <alignment horizontal="right" shrinkToFit="0" vertical="bottom" wrapText="0"/>
    </xf>
    <xf borderId="0" fillId="0" fontId="1" numFmtId="0" xfId="0" applyAlignment="1" applyFont="1">
      <alignment readingOrder="0" shrinkToFit="0" vertical="center" wrapText="0"/>
    </xf>
    <xf borderId="0" fillId="0" fontId="3" numFmtId="0" xfId="0" applyAlignment="1" applyFont="1">
      <alignment shrinkToFit="0" vertical="center" wrapText="0"/>
    </xf>
    <xf borderId="0" fillId="0" fontId="3" numFmtId="0" xfId="0" applyAlignment="1" applyFont="1">
      <alignment horizontal="right" shrinkToFit="0" vertical="center" wrapText="0"/>
    </xf>
    <xf borderId="0" fillId="0" fontId="3" numFmtId="0" xfId="0" applyAlignment="1" applyFont="1">
      <alignment horizontal="center" readingOrder="0" shrinkToFit="0" vertical="center" wrapText="0"/>
    </xf>
    <xf borderId="0" fillId="0" fontId="10" numFmtId="0" xfId="0" applyAlignment="1" applyFont="1">
      <alignment readingOrder="0" shrinkToFit="0" vertical="center" wrapText="0"/>
    </xf>
    <xf borderId="0" fillId="0" fontId="3" numFmtId="0" xfId="0" applyAlignment="1" applyFont="1">
      <alignment horizontal="right" readingOrder="0" shrinkToFit="0" vertical="center" wrapText="0"/>
    </xf>
    <xf borderId="0" fillId="0" fontId="1" numFmtId="0" xfId="0" applyAlignment="1" applyFont="1">
      <alignment readingOrder="0" shrinkToFit="0" vertical="center" wrapText="0"/>
    </xf>
    <xf borderId="0" fillId="0" fontId="11" numFmtId="0" xfId="0" applyAlignment="1" applyFont="1">
      <alignment horizontal="right" vertical="bottom"/>
    </xf>
    <xf borderId="0" fillId="8" fontId="12" numFmtId="0" xfId="0" applyAlignment="1" applyFill="1" applyFont="1">
      <alignment readingOrder="0"/>
    </xf>
    <xf borderId="0" fillId="0" fontId="3" numFmtId="0" xfId="0" applyAlignment="1" applyFont="1">
      <alignment horizontal="center" shrinkToFit="0" vertical="bottom" wrapText="0"/>
    </xf>
    <xf borderId="1" fillId="9" fontId="13" numFmtId="0" xfId="0" applyAlignment="1" applyBorder="1" applyFill="1" applyFont="1">
      <alignment readingOrder="0" shrinkToFit="0" wrapText="1"/>
    </xf>
    <xf borderId="2" fillId="9" fontId="1" numFmtId="0" xfId="0" applyAlignment="1" applyBorder="1" applyFont="1">
      <alignment shrinkToFit="0" wrapText="1"/>
    </xf>
    <xf borderId="1" fillId="7" fontId="13" numFmtId="0" xfId="0" applyAlignment="1" applyBorder="1" applyFont="1">
      <alignment readingOrder="0"/>
    </xf>
    <xf borderId="3" fillId="7" fontId="1" numFmtId="0" xfId="0" applyAlignment="1" applyBorder="1" applyFont="1">
      <alignment readingOrder="0"/>
    </xf>
    <xf borderId="3" fillId="7" fontId="1" numFmtId="0" xfId="0" applyBorder="1" applyFont="1"/>
    <xf borderId="3" fillId="7" fontId="1" numFmtId="0" xfId="0" applyAlignment="1" applyBorder="1" applyFont="1">
      <alignment shrinkToFit="0" wrapText="0"/>
    </xf>
    <xf borderId="2" fillId="7" fontId="1" numFmtId="0" xfId="0" applyBorder="1" applyFont="1"/>
    <xf borderId="4" fillId="9" fontId="1" numFmtId="0" xfId="0" applyAlignment="1" applyBorder="1" applyFont="1">
      <alignment readingOrder="0" shrinkToFit="0" wrapText="1"/>
    </xf>
    <xf borderId="5" fillId="9" fontId="1" numFmtId="0" xfId="0" applyAlignment="1" applyBorder="1" applyFont="1">
      <alignment readingOrder="0" shrinkToFit="0" wrapText="1"/>
    </xf>
    <xf borderId="8" fillId="7" fontId="1" numFmtId="0" xfId="0" applyAlignment="1" applyBorder="1" applyFont="1">
      <alignment readingOrder="0"/>
    </xf>
    <xf borderId="10" fillId="7" fontId="1" numFmtId="0" xfId="0" applyAlignment="1" applyBorder="1" applyFont="1">
      <alignment readingOrder="0"/>
    </xf>
    <xf borderId="10" fillId="7" fontId="1" numFmtId="0" xfId="0" applyAlignment="1" applyBorder="1" applyFont="1">
      <alignment readingOrder="0" shrinkToFit="0" wrapText="0"/>
    </xf>
    <xf borderId="9" fillId="7" fontId="1" numFmtId="0" xfId="0" applyAlignment="1" applyBorder="1" applyFont="1">
      <alignment readingOrder="0"/>
    </xf>
    <xf borderId="1" fillId="7" fontId="1" numFmtId="0" xfId="0" applyAlignment="1" applyBorder="1" applyFont="1">
      <alignment readingOrder="0"/>
    </xf>
    <xf borderId="3" fillId="7" fontId="1" numFmtId="0" xfId="0" applyAlignment="1" applyBorder="1" applyFont="1">
      <alignment readingOrder="0" shrinkToFit="0" wrapText="0"/>
    </xf>
    <xf borderId="2" fillId="7" fontId="1" numFmtId="0" xfId="0" applyAlignment="1" applyBorder="1" applyFont="1">
      <alignment readingOrder="0"/>
    </xf>
    <xf borderId="4" fillId="7" fontId="1" numFmtId="0" xfId="0" applyAlignment="1" applyBorder="1" applyFont="1">
      <alignment readingOrder="0"/>
    </xf>
    <xf borderId="0" fillId="7" fontId="1" numFmtId="0" xfId="0" applyFont="1"/>
    <xf borderId="0" fillId="7" fontId="1" numFmtId="0" xfId="0" applyAlignment="1" applyFont="1">
      <alignment readingOrder="0" shrinkToFit="0" wrapText="0"/>
    </xf>
    <xf borderId="5" fillId="7" fontId="1" numFmtId="0" xfId="0" applyAlignment="1" applyBorder="1" applyFont="1">
      <alignment readingOrder="0"/>
    </xf>
    <xf borderId="10" fillId="7" fontId="1" numFmtId="0" xfId="0" applyBorder="1" applyFont="1"/>
    <xf borderId="1" fillId="5" fontId="13" numFmtId="0" xfId="0" applyAlignment="1" applyBorder="1" applyFont="1">
      <alignment readingOrder="0"/>
    </xf>
    <xf borderId="3" fillId="5" fontId="1" numFmtId="0" xfId="0" applyBorder="1" applyFont="1"/>
    <xf borderId="2" fillId="5" fontId="1" numFmtId="0" xfId="0" applyBorder="1" applyFont="1"/>
    <xf borderId="8" fillId="5" fontId="1" numFmtId="0" xfId="0" applyAlignment="1" applyBorder="1" applyFont="1">
      <alignment readingOrder="0"/>
    </xf>
    <xf borderId="10" fillId="5" fontId="1" numFmtId="0" xfId="0" applyAlignment="1" applyBorder="1" applyFont="1">
      <alignment readingOrder="0"/>
    </xf>
    <xf borderId="9" fillId="5" fontId="1" numFmtId="0" xfId="0" applyAlignment="1" applyBorder="1" applyFont="1">
      <alignment readingOrder="0"/>
    </xf>
    <xf borderId="1" fillId="5" fontId="1" numFmtId="0" xfId="0" applyAlignment="1" applyBorder="1" applyFont="1">
      <alignment readingOrder="0"/>
    </xf>
    <xf borderId="3" fillId="5" fontId="1" numFmtId="0" xfId="0" applyAlignment="1" applyBorder="1" applyFont="1">
      <alignment readingOrder="0"/>
    </xf>
    <xf borderId="4" fillId="5" fontId="1" numFmtId="0" xfId="0" applyAlignment="1" applyBorder="1" applyFont="1">
      <alignment readingOrder="0"/>
    </xf>
    <xf borderId="0" fillId="5" fontId="1" numFmtId="0" xfId="0" applyFont="1"/>
    <xf borderId="0" fillId="5" fontId="1" numFmtId="0" xfId="0" applyAlignment="1" applyFont="1">
      <alignment readingOrder="0"/>
    </xf>
    <xf borderId="5" fillId="5" fontId="1" numFmtId="0" xfId="0" applyBorder="1" applyFont="1"/>
    <xf borderId="10" fillId="5" fontId="1" numFmtId="0" xfId="0" applyBorder="1" applyFont="1"/>
    <xf borderId="9" fillId="5" fontId="1" numFmtId="0" xfId="0" applyBorder="1" applyFont="1"/>
    <xf borderId="1" fillId="10" fontId="13" numFmtId="0" xfId="0" applyAlignment="1" applyBorder="1" applyFill="1" applyFont="1">
      <alignment readingOrder="0"/>
    </xf>
    <xf borderId="3" fillId="10" fontId="1" numFmtId="0" xfId="0" applyAlignment="1" applyBorder="1" applyFont="1">
      <alignment readingOrder="0"/>
    </xf>
    <xf borderId="2" fillId="10" fontId="1" numFmtId="0" xfId="0" applyBorder="1" applyFont="1"/>
    <xf borderId="8" fillId="10" fontId="1" numFmtId="0" xfId="0" applyAlignment="1" applyBorder="1" applyFont="1">
      <alignment readingOrder="0"/>
    </xf>
    <xf borderId="10" fillId="10" fontId="1" numFmtId="0" xfId="0" applyAlignment="1" applyBorder="1" applyFont="1">
      <alignment readingOrder="0"/>
    </xf>
    <xf borderId="9" fillId="10" fontId="1" numFmtId="0" xfId="0" applyAlignment="1" applyBorder="1" applyFont="1">
      <alignment readingOrder="0"/>
    </xf>
    <xf borderId="0" fillId="10" fontId="1" numFmtId="0" xfId="0" applyAlignment="1" applyFont="1">
      <alignment readingOrder="0"/>
    </xf>
    <xf borderId="0" fillId="10" fontId="1" numFmtId="0" xfId="0" applyFont="1"/>
    <xf borderId="0" fillId="10" fontId="1" numFmtId="0" xfId="0" applyAlignment="1" applyFont="1">
      <alignment readingOrder="0" shrinkToFit="0" wrapText="1"/>
    </xf>
    <xf borderId="0" fillId="10" fontId="1" numFmtId="0" xfId="0" applyAlignment="1" applyFont="1">
      <alignment shrinkToFit="0" wrapText="1"/>
    </xf>
    <xf borderId="8" fillId="9" fontId="1" numFmtId="0" xfId="0" applyAlignment="1" applyBorder="1" applyFont="1">
      <alignment readingOrder="0" shrinkToFit="0" wrapText="1"/>
    </xf>
    <xf borderId="9" fillId="9" fontId="1" numFmtId="0" xfId="0" applyAlignment="1" applyBorder="1" applyFont="1">
      <alignment readingOrder="0" shrinkToFit="0" wrapText="1"/>
    </xf>
    <xf borderId="0" fillId="11" fontId="13" numFmtId="0" xfId="0" applyAlignment="1" applyFill="1" applyFont="1">
      <alignment readingOrder="0"/>
    </xf>
    <xf borderId="0" fillId="11" fontId="1" numFmtId="0" xfId="0" applyFont="1"/>
    <xf borderId="0" fillId="11" fontId="1" numFmtId="0" xfId="0" applyAlignment="1" applyFont="1">
      <alignment readingOrder="0"/>
    </xf>
    <xf borderId="1" fillId="12" fontId="13" numFmtId="0" xfId="0" applyAlignment="1" applyBorder="1" applyFill="1" applyFont="1">
      <alignment readingOrder="0"/>
    </xf>
    <xf borderId="3" fillId="12" fontId="1" numFmtId="0" xfId="0" applyBorder="1" applyFont="1"/>
    <xf borderId="2" fillId="12" fontId="1" numFmtId="0" xfId="0" applyBorder="1" applyFont="1"/>
    <xf borderId="8" fillId="12" fontId="1" numFmtId="0" xfId="0" applyAlignment="1" applyBorder="1" applyFont="1">
      <alignment readingOrder="0"/>
    </xf>
    <xf borderId="10" fillId="12" fontId="1" numFmtId="0" xfId="0" applyAlignment="1" applyBorder="1" applyFont="1">
      <alignment readingOrder="0"/>
    </xf>
    <xf borderId="9" fillId="12" fontId="1" numFmtId="0" xfId="0" applyAlignment="1" applyBorder="1" applyFont="1">
      <alignment readingOrder="0"/>
    </xf>
    <xf borderId="0" fillId="12" fontId="1" numFmtId="0" xfId="0" applyAlignment="1" applyFont="1">
      <alignment readingOrder="0"/>
    </xf>
    <xf borderId="0" fillId="12" fontId="1" numFmtId="164" xfId="0" applyAlignment="1" applyFont="1" applyNumberFormat="1">
      <alignment readingOrder="0"/>
    </xf>
    <xf borderId="0" fillId="12" fontId="1" numFmtId="0" xfId="0" applyFont="1"/>
    <xf borderId="0" fillId="13" fontId="13" numFmtId="0" xfId="0" applyAlignment="1" applyFill="1" applyFont="1">
      <alignment readingOrder="0"/>
    </xf>
    <xf borderId="0" fillId="13" fontId="1" numFmtId="0" xfId="0" applyFont="1"/>
    <xf borderId="0" fillId="13" fontId="1" numFmtId="0" xfId="0" applyAlignment="1" applyFont="1">
      <alignment readingOrder="0"/>
    </xf>
    <xf borderId="0" fillId="13" fontId="1" numFmtId="0" xfId="0" applyAlignment="1" applyFont="1">
      <alignment readingOrder="0" shrinkToFit="0" wrapText="1"/>
    </xf>
    <xf borderId="0" fillId="14" fontId="13" numFmtId="0" xfId="0" applyAlignment="1" applyFill="1" applyFont="1">
      <alignment readingOrder="0"/>
    </xf>
    <xf borderId="0" fillId="14" fontId="1" numFmtId="0" xfId="0" applyFont="1"/>
    <xf borderId="0" fillId="3" fontId="13" numFmtId="0" xfId="0" applyAlignment="1" applyFont="1">
      <alignment readingOrder="0"/>
    </xf>
    <xf borderId="0" fillId="3" fontId="1" numFmtId="0" xfId="0" applyFont="1"/>
    <xf borderId="0" fillId="14" fontId="1" numFmtId="0" xfId="0" applyAlignment="1" applyFont="1">
      <alignment readingOrder="0"/>
    </xf>
    <xf borderId="0" fillId="0" fontId="13" numFmtId="0" xfId="0" applyAlignment="1" applyFont="1">
      <alignment readingOrder="0"/>
    </xf>
    <xf borderId="0" fillId="15" fontId="13" numFmtId="0" xfId="0" applyAlignment="1" applyFill="1" applyFont="1">
      <alignment readingOrder="0"/>
    </xf>
    <xf borderId="0" fillId="15" fontId="1" numFmtId="0" xfId="0" applyFont="1"/>
    <xf borderId="1" fillId="3" fontId="13" numFmtId="0" xfId="0" applyAlignment="1" applyBorder="1" applyFont="1">
      <alignment readingOrder="0"/>
    </xf>
    <xf borderId="3" fillId="3" fontId="1" numFmtId="0" xfId="0" applyBorder="1" applyFont="1"/>
    <xf borderId="2" fillId="3" fontId="1" numFmtId="0" xfId="0" applyBorder="1" applyFont="1"/>
    <xf borderId="0" fillId="15" fontId="1" numFmtId="0" xfId="0" applyAlignment="1" applyFont="1">
      <alignment readingOrder="0"/>
    </xf>
    <xf borderId="8" fillId="3" fontId="1" numFmtId="0" xfId="0" applyAlignment="1" applyBorder="1" applyFont="1">
      <alignment readingOrder="0"/>
    </xf>
    <xf borderId="10" fillId="3" fontId="1" numFmtId="0" xfId="0" applyAlignment="1" applyBorder="1" applyFont="1">
      <alignment readingOrder="0"/>
    </xf>
    <xf borderId="9" fillId="3" fontId="1" numFmtId="0" xfId="0" applyAlignment="1" applyBorder="1" applyFont="1">
      <alignment readingOrder="0"/>
    </xf>
    <xf borderId="0" fillId="3" fontId="1" numFmtId="0" xfId="0" applyAlignment="1" applyFont="1">
      <alignment readingOrder="0"/>
    </xf>
    <xf borderId="0" fillId="3" fontId="1" numFmtId="0" xfId="0" applyFont="1"/>
    <xf borderId="1" fillId="16" fontId="13" numFmtId="0" xfId="0" applyAlignment="1" applyBorder="1" applyFill="1" applyFont="1">
      <alignment readingOrder="0"/>
    </xf>
    <xf borderId="2" fillId="16" fontId="1" numFmtId="0" xfId="0" applyBorder="1" applyFont="1"/>
    <xf borderId="8" fillId="16" fontId="1" numFmtId="0" xfId="0" applyAlignment="1" applyBorder="1" applyFont="1">
      <alignment readingOrder="0"/>
    </xf>
    <xf borderId="9" fillId="16" fontId="1" numFmtId="0" xfId="0" applyAlignment="1" applyBorder="1" applyFont="1">
      <alignment readingOrder="0"/>
    </xf>
    <xf borderId="0" fillId="16" fontId="1" numFmtId="0" xfId="0" applyAlignment="1" applyFont="1">
      <alignment readingOrder="0"/>
    </xf>
    <xf borderId="0" fillId="16" fontId="1" numFmtId="0" xfId="0" applyAlignment="1" applyFont="1">
      <alignment readingOrder="0" shrinkToFit="0" wrapText="1"/>
    </xf>
    <xf borderId="1" fillId="17" fontId="13" numFmtId="0" xfId="0" applyAlignment="1" applyBorder="1" applyFill="1" applyFont="1">
      <alignment readingOrder="0"/>
    </xf>
    <xf borderId="3" fillId="17" fontId="1" numFmtId="0" xfId="0" applyBorder="1" applyFont="1"/>
    <xf borderId="2" fillId="17" fontId="1" numFmtId="0" xfId="0" applyBorder="1" applyFont="1"/>
    <xf borderId="8" fillId="17" fontId="1" numFmtId="0" xfId="0" applyAlignment="1" applyBorder="1" applyFont="1">
      <alignment readingOrder="0"/>
    </xf>
    <xf borderId="10" fillId="17" fontId="1" numFmtId="0" xfId="0" applyAlignment="1" applyBorder="1" applyFont="1">
      <alignment readingOrder="0"/>
    </xf>
    <xf borderId="9" fillId="17" fontId="1" numFmtId="0" xfId="0" applyAlignment="1" applyBorder="1" applyFont="1">
      <alignment readingOrder="0"/>
    </xf>
    <xf borderId="0" fillId="17" fontId="1" numFmtId="0" xfId="0" applyAlignment="1" applyFont="1">
      <alignment readingOrder="0"/>
    </xf>
    <xf borderId="0" fillId="17" fontId="1" numFmtId="0" xfId="0" applyFont="1"/>
    <xf borderId="1" fillId="4" fontId="13" numFmtId="0" xfId="0" applyAlignment="1" applyBorder="1" applyFont="1">
      <alignment readingOrder="0"/>
    </xf>
    <xf borderId="2" fillId="4" fontId="1" numFmtId="0" xfId="0" applyBorder="1" applyFont="1"/>
    <xf borderId="8" fillId="4" fontId="1" numFmtId="0" xfId="0" applyAlignment="1" applyBorder="1" applyFont="1">
      <alignment readingOrder="0"/>
    </xf>
    <xf borderId="9" fillId="4" fontId="1" numFmtId="0" xfId="0" applyAlignment="1" applyBorder="1" applyFont="1">
      <alignment readingOrder="0"/>
    </xf>
    <xf borderId="0" fillId="4" fontId="1" numFmtId="0" xfId="0" applyAlignment="1" applyFont="1">
      <alignment readingOrder="0"/>
    </xf>
    <xf borderId="1" fillId="18" fontId="13" numFmtId="0" xfId="0" applyAlignment="1" applyBorder="1" applyFill="1" applyFont="1">
      <alignment readingOrder="0"/>
    </xf>
    <xf borderId="2" fillId="18" fontId="1" numFmtId="0" xfId="0" applyBorder="1" applyFont="1"/>
    <xf borderId="3" fillId="4" fontId="1" numFmtId="0" xfId="0" applyAlignment="1" applyBorder="1" applyFont="1">
      <alignment readingOrder="0"/>
    </xf>
    <xf borderId="3" fillId="4" fontId="1" numFmtId="0" xfId="0" applyBorder="1" applyFont="1"/>
    <xf borderId="8" fillId="18" fontId="1" numFmtId="0" xfId="0" applyAlignment="1" applyBorder="1" applyFont="1">
      <alignment readingOrder="0"/>
    </xf>
    <xf borderId="9" fillId="18" fontId="1" numFmtId="0" xfId="0" applyAlignment="1" applyBorder="1" applyFont="1">
      <alignment readingOrder="0"/>
    </xf>
    <xf borderId="10" fillId="4" fontId="1" numFmtId="0" xfId="0" applyAlignment="1" applyBorder="1" applyFont="1">
      <alignment readingOrder="0"/>
    </xf>
    <xf borderId="0" fillId="18" fontId="1" numFmtId="0" xfId="0" applyAlignment="1" applyFont="1">
      <alignment readingOrder="0"/>
    </xf>
    <xf borderId="0" fillId="4" fontId="1" numFmtId="0" xfId="0" applyFont="1"/>
    <xf borderId="1" fillId="19" fontId="13" numFmtId="0" xfId="0" applyAlignment="1" applyBorder="1" applyFill="1" applyFont="1">
      <alignment readingOrder="0"/>
    </xf>
    <xf borderId="2" fillId="19" fontId="1" numFmtId="0" xfId="0" applyBorder="1" applyFont="1"/>
    <xf borderId="8" fillId="19" fontId="1" numFmtId="0" xfId="0" applyAlignment="1" applyBorder="1" applyFont="1">
      <alignment readingOrder="0"/>
    </xf>
    <xf borderId="9" fillId="19" fontId="1" numFmtId="0" xfId="0" applyAlignment="1" applyBorder="1" applyFont="1">
      <alignment readingOrder="0"/>
    </xf>
    <xf borderId="0" fillId="19" fontId="1" numFmtId="0" xfId="0" applyAlignment="1" applyFont="1">
      <alignment readingOrder="0"/>
    </xf>
    <xf borderId="1" fillId="9" fontId="13" numFmtId="0" xfId="0" applyAlignment="1" applyBorder="1" applyFont="1">
      <alignment readingOrder="0"/>
    </xf>
    <xf borderId="2" fillId="9" fontId="1" numFmtId="0" xfId="0" applyBorder="1" applyFont="1"/>
    <xf borderId="8" fillId="9" fontId="1" numFmtId="0" xfId="0" applyAlignment="1" applyBorder="1" applyFont="1">
      <alignment readingOrder="0"/>
    </xf>
    <xf borderId="9" fillId="9" fontId="1" numFmtId="0" xfId="0" applyAlignment="1" applyBorder="1" applyFont="1">
      <alignment readingOrder="0"/>
    </xf>
    <xf borderId="0" fillId="9" fontId="1" numFmtId="0" xfId="0" applyAlignment="1" applyFont="1">
      <alignment readingOrder="0"/>
    </xf>
    <xf borderId="3" fillId="18" fontId="1" numFmtId="0" xfId="0" applyBorder="1" applyFont="1"/>
    <xf borderId="10" fillId="18" fontId="1" numFmtId="0" xfId="0" applyAlignment="1" applyBorder="1" applyFont="1">
      <alignment readingOrder="0"/>
    </xf>
    <xf borderId="0" fillId="18" fontId="1" numFmtId="0" xfId="0" applyAlignment="1" applyFont="1">
      <alignment readingOrder="0" shrinkToFit="0" wrapText="1"/>
    </xf>
    <xf borderId="0" fillId="18" fontId="1" numFmtId="0" xfId="0" applyFont="1"/>
    <xf borderId="1" fillId="14" fontId="13" numFmtId="0" xfId="0" applyAlignment="1" applyBorder="1" applyFont="1">
      <alignment readingOrder="0"/>
    </xf>
    <xf borderId="2" fillId="14" fontId="1" numFmtId="0" xfId="0" applyBorder="1" applyFont="1"/>
    <xf borderId="8" fillId="14" fontId="1" numFmtId="0" xfId="0" applyAlignment="1" applyBorder="1" applyFont="1">
      <alignment readingOrder="0"/>
    </xf>
    <xf borderId="9" fillId="14" fontId="1" numFmtId="0" xfId="0" applyAlignment="1" applyBorder="1" applyFont="1">
      <alignment readingOrder="0"/>
    </xf>
    <xf borderId="1" fillId="20" fontId="13" numFmtId="0" xfId="0" applyAlignment="1" applyBorder="1" applyFill="1" applyFont="1">
      <alignment readingOrder="0"/>
    </xf>
    <xf borderId="2" fillId="20" fontId="1" numFmtId="0" xfId="0" applyBorder="1" applyFont="1"/>
    <xf borderId="8" fillId="20" fontId="1" numFmtId="0" xfId="0" applyAlignment="1" applyBorder="1" applyFont="1">
      <alignment readingOrder="0"/>
    </xf>
    <xf borderId="9" fillId="20" fontId="1" numFmtId="0" xfId="0" applyAlignment="1" applyBorder="1" applyFont="1">
      <alignment readingOrder="0"/>
    </xf>
    <xf borderId="0" fillId="20" fontId="1" numFmtId="0" xfId="0" applyAlignment="1" applyFont="1">
      <alignment readingOrder="0"/>
    </xf>
    <xf borderId="1" fillId="21" fontId="13" numFmtId="0" xfId="0" applyAlignment="1" applyBorder="1" applyFill="1" applyFont="1">
      <alignment readingOrder="0"/>
    </xf>
    <xf borderId="2" fillId="21" fontId="1" numFmtId="0" xfId="0" applyBorder="1" applyFont="1"/>
    <xf borderId="8" fillId="21" fontId="1" numFmtId="0" xfId="0" applyAlignment="1" applyBorder="1" applyFont="1">
      <alignment readingOrder="0"/>
    </xf>
    <xf borderId="9" fillId="21" fontId="1" numFmtId="0" xfId="0" applyAlignment="1" applyBorder="1" applyFont="1">
      <alignment readingOrder="0"/>
    </xf>
    <xf borderId="0" fillId="21" fontId="1" numFmtId="0" xfId="0" applyAlignment="1" applyFont="1">
      <alignment readingOrder="0"/>
    </xf>
    <xf borderId="1" fillId="22" fontId="13" numFmtId="0" xfId="0" applyAlignment="1" applyBorder="1" applyFill="1" applyFont="1">
      <alignment readingOrder="0"/>
    </xf>
    <xf borderId="2" fillId="22" fontId="1" numFmtId="0" xfId="0" applyBorder="1" applyFont="1"/>
    <xf borderId="8" fillId="22" fontId="1" numFmtId="0" xfId="0" applyAlignment="1" applyBorder="1" applyFont="1">
      <alignment readingOrder="0"/>
    </xf>
    <xf borderId="9" fillId="22" fontId="1" numFmtId="0" xfId="0" applyAlignment="1" applyBorder="1" applyFont="1">
      <alignment readingOrder="0"/>
    </xf>
    <xf borderId="0" fillId="22" fontId="1" numFmtId="0" xfId="0" applyAlignment="1" applyFont="1">
      <alignment readingOrder="0"/>
    </xf>
    <xf borderId="1" fillId="23" fontId="13" numFmtId="0" xfId="0" applyAlignment="1" applyBorder="1" applyFill="1" applyFont="1">
      <alignment readingOrder="0"/>
    </xf>
    <xf borderId="2" fillId="23" fontId="1" numFmtId="0" xfId="0" applyBorder="1" applyFont="1"/>
    <xf borderId="8" fillId="23" fontId="1" numFmtId="0" xfId="0" applyAlignment="1" applyBorder="1" applyFont="1">
      <alignment readingOrder="0"/>
    </xf>
    <xf borderId="9" fillId="23" fontId="1" numFmtId="0" xfId="0" applyAlignment="1" applyBorder="1" applyFont="1">
      <alignment readingOrder="0"/>
    </xf>
    <xf borderId="0" fillId="23" fontId="1" numFmtId="0" xfId="0" applyAlignment="1" applyFont="1">
      <alignment readingOrder="0"/>
    </xf>
    <xf borderId="1" fillId="24" fontId="13" numFmtId="0" xfId="0" applyAlignment="1" applyBorder="1" applyFill="1" applyFont="1">
      <alignment readingOrder="0"/>
    </xf>
    <xf borderId="2" fillId="24" fontId="1" numFmtId="0" xfId="0" applyBorder="1" applyFont="1"/>
    <xf borderId="8" fillId="24" fontId="1" numFmtId="0" xfId="0" applyAlignment="1" applyBorder="1" applyFont="1">
      <alignment readingOrder="0"/>
    </xf>
    <xf borderId="9" fillId="24" fontId="1" numFmtId="0" xfId="0" applyAlignment="1" applyBorder="1" applyFont="1">
      <alignment readingOrder="0"/>
    </xf>
    <xf borderId="0" fillId="24" fontId="1" numFmtId="0" xfId="0" applyAlignment="1" applyFont="1">
      <alignment readingOrder="0"/>
    </xf>
    <xf borderId="1" fillId="25" fontId="13" numFmtId="0" xfId="0" applyAlignment="1" applyBorder="1" applyFill="1" applyFont="1">
      <alignment readingOrder="0"/>
    </xf>
    <xf borderId="2" fillId="25" fontId="1" numFmtId="0" xfId="0" applyBorder="1" applyFont="1"/>
    <xf borderId="8" fillId="25" fontId="1" numFmtId="0" xfId="0" applyAlignment="1" applyBorder="1" applyFont="1">
      <alignment readingOrder="0"/>
    </xf>
    <xf borderId="9" fillId="25" fontId="1" numFmtId="0" xfId="0" applyAlignment="1" applyBorder="1" applyFont="1">
      <alignment readingOrder="0"/>
    </xf>
    <xf borderId="0" fillId="25" fontId="1" numFmtId="0" xfId="0" applyAlignment="1" applyFont="1">
      <alignment readingOrder="0"/>
    </xf>
    <xf borderId="1" fillId="11" fontId="13" numFmtId="0" xfId="0" applyAlignment="1" applyBorder="1" applyFont="1">
      <alignment readingOrder="0"/>
    </xf>
    <xf borderId="2" fillId="11" fontId="1" numFmtId="0" xfId="0" applyBorder="1" applyFont="1"/>
    <xf borderId="8" fillId="11" fontId="1" numFmtId="0" xfId="0" applyAlignment="1" applyBorder="1" applyFont="1">
      <alignment readingOrder="0"/>
    </xf>
    <xf borderId="9" fillId="11" fontId="1" numFmtId="0" xfId="0" applyBorder="1" applyFont="1"/>
    <xf borderId="1" fillId="11" fontId="1" numFmtId="0" xfId="0" applyAlignment="1" applyBorder="1" applyFont="1">
      <alignment readingOrder="0"/>
    </xf>
    <xf borderId="9" fillId="11" fontId="1" numFmtId="0" xfId="0" applyAlignment="1" applyBorder="1" applyFont="1">
      <alignment readingOrder="0"/>
    </xf>
    <xf borderId="1" fillId="15" fontId="13" numFmtId="0" xfId="0" applyAlignment="1" applyBorder="1" applyFont="1">
      <alignment readingOrder="0"/>
    </xf>
    <xf borderId="2" fillId="15" fontId="1" numFmtId="0" xfId="0" applyBorder="1" applyFont="1"/>
    <xf borderId="8" fillId="15" fontId="1" numFmtId="0" xfId="0" applyAlignment="1" applyBorder="1" applyFont="1">
      <alignment readingOrder="0"/>
    </xf>
    <xf borderId="9" fillId="15" fontId="1" numFmtId="0" xfId="0" applyAlignment="1" applyBorder="1" applyFont="1">
      <alignment readingOrder="0"/>
    </xf>
    <xf borderId="0" fillId="18" fontId="13" numFmtId="0" xfId="0" applyAlignment="1" applyFont="1">
      <alignment readingOrder="0"/>
    </xf>
    <xf borderId="0" fillId="19" fontId="13" numFmtId="0" xfId="0" applyAlignment="1" applyFont="1">
      <alignment readingOrder="0"/>
    </xf>
    <xf borderId="0" fillId="19" fontId="1" numFmtId="0" xfId="0" applyFont="1"/>
    <xf borderId="0" fillId="19" fontId="1" numFmtId="165" xfId="0" applyAlignment="1" applyFont="1" applyNumberFormat="1">
      <alignment horizontal="left" readingOrder="0"/>
    </xf>
    <xf borderId="0" fillId="19" fontId="1" numFmtId="166" xfId="0" applyAlignment="1" applyFont="1" applyNumberFormat="1">
      <alignment horizontal="left" readingOrder="0"/>
    </xf>
    <xf borderId="0" fillId="0" fontId="1" numFmtId="0" xfId="0" applyFont="1"/>
    <xf borderId="0" fillId="0" fontId="14" numFmtId="0" xfId="0" applyAlignment="1" applyFont="1">
      <alignment horizontal="left" readingOrder="0" shrinkToFit="0" vertical="center" wrapText="0"/>
    </xf>
    <xf borderId="0" fillId="0" fontId="14" numFmtId="49" xfId="0" applyAlignment="1" applyFont="1" applyNumberFormat="1">
      <alignment horizontal="left" readingOrder="0" shrinkToFit="0" vertical="center" wrapText="0"/>
    </xf>
    <xf borderId="0" fillId="8" fontId="15" numFmtId="0" xfId="0" applyAlignment="1" applyFont="1">
      <alignment horizontal="left" readingOrder="0" shrinkToFit="0" vertical="center" wrapText="0"/>
    </xf>
    <xf borderId="0" fillId="0" fontId="16" numFmtId="0" xfId="0" applyAlignment="1" applyFont="1">
      <alignment readingOrder="0" shrinkToFit="0" vertical="bottom" wrapText="0"/>
    </xf>
    <xf borderId="12" fillId="26" fontId="17" numFmtId="0" xfId="0" applyAlignment="1" applyBorder="1" applyFill="1" applyFont="1">
      <alignment readingOrder="0" shrinkToFit="0" vertical="center" wrapText="0"/>
    </xf>
    <xf borderId="12" fillId="0" fontId="18" numFmtId="0" xfId="0" applyAlignment="1" applyBorder="1" applyFont="1">
      <alignment readingOrder="0" shrinkToFit="0" vertical="bottom" wrapText="0"/>
    </xf>
    <xf borderId="0" fillId="26" fontId="17" numFmtId="0" xfId="0" applyAlignment="1" applyFont="1">
      <alignment readingOrder="0" shrinkToFit="0" vertical="center" wrapText="0"/>
    </xf>
    <xf borderId="0" fillId="26" fontId="17" numFmtId="0" xfId="0" applyAlignment="1" applyFont="1">
      <alignment readingOrder="0" shrinkToFit="0" vertical="center" wrapText="0"/>
    </xf>
    <xf borderId="12" fillId="0" fontId="19" numFmtId="0" xfId="0" applyAlignment="1" applyBorder="1" applyFont="1">
      <alignment readingOrder="0" shrinkToFit="0" vertical="center" wrapText="0"/>
    </xf>
    <xf borderId="0" fillId="26" fontId="17" numFmtId="0" xfId="0" applyAlignment="1" applyFont="1">
      <alignment readingOrder="0" shrinkToFit="0" vertical="bottom" wrapText="1"/>
    </xf>
    <xf borderId="0" fillId="8" fontId="20" numFmtId="0" xfId="0" applyAlignment="1" applyFont="1">
      <alignment readingOrder="0" shrinkToFit="0" vertical="center" wrapText="0"/>
    </xf>
    <xf borderId="0" fillId="0" fontId="21" numFmtId="0" xfId="0" applyAlignment="1" applyFont="1">
      <alignment readingOrder="0" shrinkToFit="0" vertical="center" wrapText="0"/>
    </xf>
    <xf borderId="0" fillId="0" fontId="22" numFmtId="0" xfId="0" applyAlignment="1" applyFont="1">
      <alignment horizontal="center" readingOrder="0" shrinkToFit="0" vertical="center" wrapText="0"/>
    </xf>
    <xf borderId="0" fillId="0" fontId="23" numFmtId="0" xfId="0" applyAlignment="1" applyFont="1">
      <alignment horizontal="center" shrinkToFit="0" vertical="center" wrapText="0"/>
    </xf>
    <xf borderId="0" fillId="0" fontId="23" numFmtId="0" xfId="0" applyAlignment="1" applyFont="1">
      <alignment horizontal="center" shrinkToFit="0" vertical="center" wrapText="0"/>
    </xf>
    <xf borderId="0" fillId="0" fontId="23" numFmtId="167" xfId="0" applyAlignment="1" applyFont="1" applyNumberFormat="1">
      <alignment horizontal="center" shrinkToFit="0" vertical="center" wrapText="0"/>
    </xf>
    <xf borderId="0" fillId="0" fontId="24" numFmtId="0" xfId="0" applyAlignment="1" applyFont="1">
      <alignment horizontal="center" shrinkToFit="0" vertical="center" wrapText="0"/>
    </xf>
    <xf borderId="0" fillId="2" fontId="1" numFmtId="0" xfId="0" applyFont="1"/>
    <xf borderId="0" fillId="8" fontId="25" numFmtId="0" xfId="0" applyAlignment="1" applyFont="1">
      <alignment horizontal="center" readingOrder="0" vertical="bottom"/>
    </xf>
    <xf borderId="0" fillId="8" fontId="26" numFmtId="49" xfId="0" applyAlignment="1" applyFont="1" applyNumberFormat="1">
      <alignment horizontal="center" shrinkToFit="0" vertical="center" wrapText="0"/>
    </xf>
    <xf borderId="0" fillId="0" fontId="27" numFmtId="0" xfId="0" applyAlignment="1" applyFont="1">
      <alignment readingOrder="0"/>
    </xf>
    <xf borderId="0" fillId="8" fontId="28" numFmtId="0" xfId="0" applyAlignment="1" applyFont="1">
      <alignment readingOrder="0"/>
    </xf>
    <xf borderId="0" fillId="8" fontId="29" numFmtId="49" xfId="0" applyAlignment="1" applyFont="1" applyNumberFormat="1">
      <alignment horizontal="center" readingOrder="0" shrinkToFit="0" vertical="center" wrapText="0"/>
    </xf>
    <xf borderId="0" fillId="8" fontId="29" numFmtId="49" xfId="0" applyAlignment="1" applyFont="1" applyNumberFormat="1">
      <alignment shrinkToFit="0" vertical="center" wrapText="0"/>
    </xf>
    <xf borderId="0" fillId="8" fontId="30" numFmtId="0" xfId="0" applyFont="1"/>
    <xf borderId="0" fillId="0" fontId="3" numFmtId="49" xfId="0" applyAlignment="1" applyFont="1" applyNumberFormat="1">
      <alignment shrinkToFit="0" vertical="center" wrapText="0"/>
    </xf>
    <xf borderId="0" fillId="8" fontId="31" numFmtId="0" xfId="0" applyAlignment="1" applyFont="1">
      <alignment horizontal="center" readingOrder="0"/>
    </xf>
    <xf borderId="0" fillId="8" fontId="31" numFmtId="0" xfId="0" applyAlignment="1" applyFont="1">
      <alignment horizontal="center" readingOrder="0" shrinkToFit="0" wrapText="1"/>
    </xf>
    <xf borderId="0" fillId="0" fontId="1" numFmtId="0" xfId="0" applyAlignment="1" applyFont="1">
      <alignment horizontal="center"/>
    </xf>
    <xf borderId="0" fillId="0" fontId="32" numFmtId="0" xfId="0" applyAlignment="1" applyFont="1">
      <alignment readingOrder="0" vertical="top"/>
    </xf>
    <xf borderId="0" fillId="8" fontId="33" numFmtId="0" xfId="0" applyAlignment="1" applyFont="1">
      <alignment readingOrder="0" vertical="top"/>
    </xf>
    <xf borderId="0" fillId="8" fontId="31" numFmtId="0" xfId="0" applyAlignment="1" applyFont="1">
      <alignment horizontal="left" readingOrder="0"/>
    </xf>
    <xf borderId="0" fillId="8" fontId="31" numFmtId="0" xfId="0" applyAlignment="1" applyFont="1">
      <alignment horizontal="left" readingOrder="0" shrinkToFit="0" vertical="center" wrapText="0"/>
    </xf>
    <xf borderId="0" fillId="8" fontId="33" numFmtId="0" xfId="0" applyAlignment="1" applyFont="1">
      <alignment horizontal="center" readingOrder="0" vertical="top"/>
    </xf>
    <xf borderId="0" fillId="0" fontId="34" numFmtId="0" xfId="0" applyAlignment="1" applyFont="1">
      <alignment horizontal="center" readingOrder="0" vertical="top"/>
    </xf>
    <xf borderId="0" fillId="0" fontId="35" numFmtId="0" xfId="0" applyAlignment="1" applyFont="1">
      <alignment horizontal="center" readingOrder="0" vertical="top"/>
    </xf>
    <xf borderId="0" fillId="8" fontId="33" numFmtId="0" xfId="0" applyAlignment="1" applyFont="1">
      <alignment horizontal="center" vertical="top"/>
    </xf>
    <xf borderId="0" fillId="8" fontId="33" numFmtId="0" xfId="0" applyFont="1"/>
    <xf borderId="0" fillId="27" fontId="36" numFmtId="0" xfId="0" applyAlignment="1" applyFill="1" applyFont="1">
      <alignment horizontal="left" readingOrder="0" shrinkToFit="0" vertical="top" wrapText="0"/>
    </xf>
    <xf borderId="0" fillId="27" fontId="36" numFmtId="0" xfId="0" applyAlignment="1" applyFont="1">
      <alignment horizontal="left" readingOrder="0" vertical="top"/>
    </xf>
    <xf borderId="0" fillId="8" fontId="12" numFmtId="0" xfId="0" applyAlignment="1" applyFont="1">
      <alignment readingOrder="0" shrinkToFit="0" vertical="top" wrapText="0"/>
    </xf>
    <xf borderId="0" fillId="0" fontId="37" numFmtId="0" xfId="0" applyAlignment="1" applyFont="1">
      <alignment readingOrder="0"/>
    </xf>
    <xf borderId="0" fillId="8" fontId="12" numFmtId="0" xfId="0" applyAlignment="1" applyFont="1">
      <alignment readingOrder="0" vertical="top"/>
    </xf>
    <xf borderId="0" fillId="28" fontId="38" numFmtId="0" xfId="0" applyAlignment="1" applyFill="1" applyFont="1">
      <alignment readingOrder="0"/>
    </xf>
    <xf borderId="0" fillId="0" fontId="39" numFmtId="0" xfId="0" applyAlignment="1" applyFont="1">
      <alignment readingOrder="0" shrinkToFit="0" vertical="top" wrapText="0"/>
    </xf>
    <xf borderId="13" fillId="29" fontId="1" numFmtId="0" xfId="0" applyAlignment="1" applyBorder="1" applyFill="1" applyFont="1">
      <alignment readingOrder="0"/>
    </xf>
    <xf borderId="13" fillId="29" fontId="1" numFmtId="0" xfId="0" applyAlignment="1" applyBorder="1" applyFont="1">
      <alignment horizontal="left" readingOrder="0"/>
    </xf>
    <xf borderId="0" fillId="8" fontId="0" numFmtId="0" xfId="0" applyAlignment="1" applyFont="1">
      <alignment readingOrder="0" shrinkToFit="0" vertical="bottom" wrapText="0"/>
    </xf>
    <xf borderId="0" fillId="8" fontId="0" numFmtId="0" xfId="0" applyAlignment="1" applyFont="1">
      <alignment horizontal="right" readingOrder="0" shrinkToFit="0" vertical="bottom" wrapText="0"/>
    </xf>
    <xf borderId="0" fillId="8" fontId="0" numFmtId="0" xfId="0" applyAlignment="1" applyFont="1">
      <alignment horizontal="center" readingOrder="0" shrinkToFit="0" vertical="bottom" wrapText="0"/>
    </xf>
    <xf borderId="0" fillId="8" fontId="0" numFmtId="0" xfId="0" applyAlignment="1" applyFont="1">
      <alignment shrinkToFit="0" vertical="bottom" wrapText="0"/>
    </xf>
    <xf borderId="0" fillId="8" fontId="0" numFmtId="0" xfId="0" applyAlignment="1" applyFont="1">
      <alignment readingOrder="0" vertical="bottom"/>
    </xf>
    <xf borderId="0" fillId="0" fontId="0" numFmtId="0" xfId="0" applyAlignment="1" applyFont="1">
      <alignment readingOrder="0" shrinkToFit="0" vertical="bottom" wrapText="0"/>
    </xf>
    <xf borderId="0" fillId="0" fontId="0" numFmtId="0" xfId="0" applyAlignment="1" applyFont="1">
      <alignment horizontal="right" readingOrder="0" shrinkToFit="0" vertical="bottom" wrapText="0"/>
    </xf>
    <xf borderId="0" fillId="30" fontId="0" numFmtId="0" xfId="0" applyAlignment="1" applyFill="1" applyFont="1">
      <alignment readingOrder="0" shrinkToFit="0" vertical="bottom" wrapText="0"/>
    </xf>
    <xf borderId="0" fillId="30" fontId="0" numFmtId="0" xfId="0" applyAlignment="1" applyFont="1">
      <alignment horizontal="right" readingOrder="0" shrinkToFit="0" vertical="bottom" wrapText="0"/>
    </xf>
    <xf borderId="0" fillId="30" fontId="0" numFmtId="0" xfId="0" applyAlignment="1" applyFont="1">
      <alignment horizontal="center" readingOrder="0" shrinkToFit="0" vertical="bottom" wrapText="0"/>
    </xf>
    <xf borderId="0" fillId="30" fontId="0" numFmtId="0" xfId="0" applyAlignment="1" applyFont="1">
      <alignment shrinkToFit="0" vertical="bottom" wrapText="0"/>
    </xf>
    <xf borderId="0" fillId="30" fontId="0" numFmtId="0" xfId="0" applyAlignment="1" applyFont="1">
      <alignment readingOrder="0" vertical="bottom"/>
    </xf>
    <xf borderId="0" fillId="8" fontId="0" numFmtId="0" xfId="0" applyAlignment="1" applyFont="1">
      <alignment shrinkToFit="0" vertical="bottom" wrapText="0"/>
    </xf>
    <xf borderId="0" fillId="30" fontId="0" numFmtId="0" xfId="0" applyAlignment="1" applyFont="1">
      <alignment shrinkToFit="0" vertical="bottom" wrapText="0"/>
    </xf>
    <xf borderId="0" fillId="0" fontId="0" numFmtId="0" xfId="0" applyAlignment="1" applyFont="1">
      <alignment horizontal="center" readingOrder="0" shrinkToFit="0" vertical="bottom" wrapText="0"/>
    </xf>
    <xf borderId="0" fillId="0" fontId="0" numFmtId="0" xfId="0" applyAlignment="1" applyFont="1">
      <alignment shrinkToFit="0" vertical="bottom" wrapText="0"/>
    </xf>
    <xf borderId="0" fillId="0" fontId="0" numFmtId="0" xfId="0" applyAlignment="1" applyFont="1">
      <alignment readingOrder="0" vertical="bottom"/>
    </xf>
    <xf borderId="0" fillId="0" fontId="0" numFmtId="0" xfId="0" applyAlignment="1" applyFont="1">
      <alignment shrinkToFit="0" vertical="bottom" wrapText="0"/>
    </xf>
    <xf borderId="0" fillId="0" fontId="1" numFmtId="0" xfId="0" applyAlignment="1" applyFont="1">
      <alignment horizontal="left"/>
    </xf>
  </cellXfs>
  <cellStyles count="1">
    <cellStyle xfId="0" name="Normal" builtinId="0"/>
  </cellStyles>
  <dxfs count="7">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D9D9D9"/>
          <bgColor rgb="FFD9D9D9"/>
        </patternFill>
      </fill>
      <border/>
    </dxf>
    <dxf>
      <font/>
      <fill>
        <patternFill patternType="solid">
          <fgColor rgb="FFFFFFFF"/>
          <bgColor rgb="FFFFFFFF"/>
        </patternFill>
      </fill>
      <border/>
    </dxf>
  </dxfs>
  <tableStyles count="3">
    <tableStyle count="4" pivot="0" name="SHEETS_PROGRESSION-style">
      <tableStyleElement dxfId="1" type="headerRow"/>
      <tableStyleElement dxfId="2" type="firstRowStripe"/>
      <tableStyleElement dxfId="3" type="secondRowStripe"/>
      <tableStyleElement dxfId="4" size="0" type="wholeTable"/>
    </tableStyle>
    <tableStyle count="4" pivot="0" name="SHEETS_BG-style">
      <tableStyleElement dxfId="1" type="headerRow"/>
      <tableStyleElement dxfId="2" type="firstRowStripe"/>
      <tableStyleElement dxfId="3" type="secondRowStripe"/>
      <tableStyleElement dxfId="4" size="0" type="wholeTable"/>
    </tableStyle>
    <tableStyle count="4" pivot="0" name="SHEET_RACE-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1:L1" displayName="Table3" name="Table3" id="1">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SHEETS_PROGRESSION-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ref="A1:I88" displayName="Table1" name="Table1" id="2">
  <tableColumns count="9">
    <tableColumn name="Background" id="1"/>
    <tableColumn name="Source" id="2"/>
    <tableColumn name="Feature" id="3"/>
    <tableColumn name="Description" id="4"/>
    <tableColumn name="Skills" id="5"/>
    <tableColumn name="Languages" id="6"/>
    <tableColumn name="Tools" id="7"/>
    <tableColumn name="Gold" id="8"/>
    <tableColumn name="Equipment" id="9"/>
  </tableColumns>
  <tableStyleInfo name="SHEETS_BG-style" showColumnStripes="0" showFirstColumn="1" showLastColumn="1" showRowStripes="1"/>
</table>
</file>

<file path=xl/tables/table3.xml><?xml version="1.0" encoding="utf-8"?>
<table xmlns="http://schemas.openxmlformats.org/spreadsheetml/2006/main" ref="A1:I89" displayName="Table2" name="Table2" id="3">
  <tableColumns count="9">
    <tableColumn name="Races" id="1"/>
    <tableColumn name="Str" id="2"/>
    <tableColumn name="Dex" id="3"/>
    <tableColumn name="Con" id="4"/>
    <tableColumn name="Int" id="5"/>
    <tableColumn name="Wis" id="6"/>
    <tableColumn name="Cha" id="7"/>
    <tableColumn name="Special" id="8"/>
    <tableColumn name="Source" id="9"/>
  </tableColumns>
  <tableStyleInfo name="SHEET_RACE-style"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40" Type="http://schemas.openxmlformats.org/officeDocument/2006/relationships/hyperlink" Target="https://dnd-5e.fandom.com/wiki/Gruul_Anarch" TargetMode="External"/><Relationship Id="rId42" Type="http://schemas.openxmlformats.org/officeDocument/2006/relationships/hyperlink" Target="https://dnd-5e.fandom.com/wiki/Tools" TargetMode="External"/><Relationship Id="rId41" Type="http://schemas.openxmlformats.org/officeDocument/2006/relationships/hyperlink" Target="https://dnd-5e.fandom.com/wiki/Izzet_Engineer" TargetMode="External"/><Relationship Id="rId44" Type="http://schemas.openxmlformats.org/officeDocument/2006/relationships/hyperlink" Target="https://dnd-5e.fandom.com/wiki/Rakdos_Cultist" TargetMode="External"/><Relationship Id="rId43" Type="http://schemas.openxmlformats.org/officeDocument/2006/relationships/hyperlink" Target="https://dnd-5e.fandom.com/wiki/Orzhov_Representative" TargetMode="External"/><Relationship Id="rId46" Type="http://schemas.openxmlformats.org/officeDocument/2006/relationships/hyperlink" Target="https://dnd-5e.fandom.com/wiki/Tools" TargetMode="External"/><Relationship Id="rId45" Type="http://schemas.openxmlformats.org/officeDocument/2006/relationships/hyperlink" Target="https://dnd-5e.fandom.com/wiki/Selesnya_Initiate" TargetMode="External"/><Relationship Id="rId107" Type="http://schemas.openxmlformats.org/officeDocument/2006/relationships/hyperlink" Target="https://dnd-5e.fandom.com/wiki/Waterdhavian_Noble" TargetMode="External"/><Relationship Id="rId106" Type="http://schemas.openxmlformats.org/officeDocument/2006/relationships/hyperlink" Target="https://dnd-5e.fandom.com/wiki/Tools" TargetMode="External"/><Relationship Id="rId105" Type="http://schemas.openxmlformats.org/officeDocument/2006/relationships/hyperlink" Target="https://dnd-5e.fandom.com/wiki/Uthgardt_Tribe_Member" TargetMode="External"/><Relationship Id="rId104" Type="http://schemas.openxmlformats.org/officeDocument/2006/relationships/hyperlink" Target="https://dnd-5e.fandom.com/wiki/Tools" TargetMode="External"/><Relationship Id="rId109" Type="http://schemas.openxmlformats.org/officeDocument/2006/relationships/hyperlink" Target="https://dnd-5e.fandom.com/wiki/Prismari_Student" TargetMode="External"/><Relationship Id="rId108" Type="http://schemas.openxmlformats.org/officeDocument/2006/relationships/hyperlink" Target="https://dnd-5e.fandom.com/wiki/Lorehold_Student" TargetMode="External"/><Relationship Id="rId48" Type="http://schemas.openxmlformats.org/officeDocument/2006/relationships/hyperlink" Target="https://dnd-5e.fandom.com/wiki/Fisher" TargetMode="External"/><Relationship Id="rId47" Type="http://schemas.openxmlformats.org/officeDocument/2006/relationships/hyperlink" Target="https://dnd-5e.fandom.com/wiki/Simic_Scientist" TargetMode="External"/><Relationship Id="rId49" Type="http://schemas.openxmlformats.org/officeDocument/2006/relationships/hyperlink" Target="https://dnd-5e.fandom.com/wiki/Marine" TargetMode="External"/><Relationship Id="rId103" Type="http://schemas.openxmlformats.org/officeDocument/2006/relationships/hyperlink" Target="https://dnd-5e.fandom.com/wiki/Urban_Bounty_Hunter" TargetMode="External"/><Relationship Id="rId102" Type="http://schemas.openxmlformats.org/officeDocument/2006/relationships/hyperlink" Target="https://dnd-5e.fandom.com/wiki/Mercenary_Veteran" TargetMode="External"/><Relationship Id="rId101" Type="http://schemas.openxmlformats.org/officeDocument/2006/relationships/hyperlink" Target="https://dnd-5e.fandom.com/wiki/Knight_of_the_Order" TargetMode="External"/><Relationship Id="rId100" Type="http://schemas.openxmlformats.org/officeDocument/2006/relationships/hyperlink" Target="https://dnd-5e.fandom.com/wiki/Inheritor" TargetMode="External"/><Relationship Id="rId31" Type="http://schemas.openxmlformats.org/officeDocument/2006/relationships/hyperlink" Target="https://dnd-5e.fandom.com/wiki/Volstrucker_Agent" TargetMode="External"/><Relationship Id="rId30" Type="http://schemas.openxmlformats.org/officeDocument/2006/relationships/hyperlink" Target="https://dnd-5e.fandom.com/wiki/Tools" TargetMode="External"/><Relationship Id="rId33" Type="http://schemas.openxmlformats.org/officeDocument/2006/relationships/hyperlink" Target="https://dnd-5e.fandom.com/wiki/House_Agent" TargetMode="External"/><Relationship Id="rId32" Type="http://schemas.openxmlformats.org/officeDocument/2006/relationships/hyperlink" Target="https://dnd-5e.fandom.com/wiki/Tools" TargetMode="External"/><Relationship Id="rId35" Type="http://schemas.openxmlformats.org/officeDocument/2006/relationships/hyperlink" Target="https://dnd-5e.fandom.com/wiki/Boros_Legionnaire" TargetMode="External"/><Relationship Id="rId34" Type="http://schemas.openxmlformats.org/officeDocument/2006/relationships/hyperlink" Target="https://dnd-5e.fandom.com/wiki/Azorius_Functionary" TargetMode="External"/><Relationship Id="rId37" Type="http://schemas.openxmlformats.org/officeDocument/2006/relationships/hyperlink" Target="https://dnd-5e.fandom.com/wiki/Dimir_Operative" TargetMode="External"/><Relationship Id="rId36" Type="http://schemas.openxmlformats.org/officeDocument/2006/relationships/hyperlink" Target="https://dnd-5e.fandom.com/wiki/Tools" TargetMode="External"/><Relationship Id="rId39" Type="http://schemas.openxmlformats.org/officeDocument/2006/relationships/hyperlink" Target="https://dnd-5e.fandom.com/wiki/Tools" TargetMode="External"/><Relationship Id="rId38" Type="http://schemas.openxmlformats.org/officeDocument/2006/relationships/hyperlink" Target="https://dnd-5e.fandom.com/wiki/Golgari_Agent" TargetMode="External"/><Relationship Id="rId20" Type="http://schemas.openxmlformats.org/officeDocument/2006/relationships/hyperlink" Target="https://dnd-5e.fandom.com/wiki/Ticklebelly_Nomad" TargetMode="External"/><Relationship Id="rId22" Type="http://schemas.openxmlformats.org/officeDocument/2006/relationships/hyperlink" Target="https://dnd-5e.fandom.com/wiki/Caravan_Specialist" TargetMode="External"/><Relationship Id="rId21" Type="http://schemas.openxmlformats.org/officeDocument/2006/relationships/hyperlink" Target="https://dnd-5e.fandom.com/wiki/Tools" TargetMode="External"/><Relationship Id="rId24" Type="http://schemas.openxmlformats.org/officeDocument/2006/relationships/hyperlink" Target="https://dnd-5e.fandom.com/wiki/Harborfolk" TargetMode="External"/><Relationship Id="rId23" Type="http://schemas.openxmlformats.org/officeDocument/2006/relationships/hyperlink" Target="https://dnd-5e.fandom.com/wiki/Earthspur_Miner" TargetMode="External"/><Relationship Id="rId129" Type="http://schemas.openxmlformats.org/officeDocument/2006/relationships/hyperlink" Target="https://dnd-5e.fandom.com/wiki/Investigator" TargetMode="External"/><Relationship Id="rId128" Type="http://schemas.openxmlformats.org/officeDocument/2006/relationships/hyperlink" Target="https://dnd-5e.fandom.com/wiki/Haunted_One" TargetMode="External"/><Relationship Id="rId127" Type="http://schemas.openxmlformats.org/officeDocument/2006/relationships/hyperlink" Target="https://dnd-5e.fandom.com/wiki/Rune_Carver" TargetMode="External"/><Relationship Id="rId126" Type="http://schemas.openxmlformats.org/officeDocument/2006/relationships/hyperlink" Target="https://dnd-5e.fandom.com/wiki/Planar_Philosopher" TargetMode="External"/><Relationship Id="rId26" Type="http://schemas.openxmlformats.org/officeDocument/2006/relationships/hyperlink" Target="https://dnd-5e.fandom.com/wiki/Tools" TargetMode="External"/><Relationship Id="rId121" Type="http://schemas.openxmlformats.org/officeDocument/2006/relationships/hyperlink" Target="https://dnd-5e.fandom.com/wiki/Tools" TargetMode="External"/><Relationship Id="rId25" Type="http://schemas.openxmlformats.org/officeDocument/2006/relationships/hyperlink" Target="https://dnd-5e.fandom.com/wiki/Mulmaster_Aristocrat" TargetMode="External"/><Relationship Id="rId120" Type="http://schemas.openxmlformats.org/officeDocument/2006/relationships/hyperlink" Target="https://dnd-5e.fandom.com/wiki/Witchlight_Hand_(Background)" TargetMode="External"/><Relationship Id="rId28" Type="http://schemas.openxmlformats.org/officeDocument/2006/relationships/hyperlink" Target="https://dnd-5e.fandom.com/wiki/Tools" TargetMode="External"/><Relationship Id="rId27" Type="http://schemas.openxmlformats.org/officeDocument/2006/relationships/hyperlink" Target="https://dnd-5e.fandom.com/wiki/Phlan_Refugee" TargetMode="External"/><Relationship Id="rId125" Type="http://schemas.openxmlformats.org/officeDocument/2006/relationships/hyperlink" Target="https://dnd-5e.fandom.com/wiki/Mage_of_High_Sorcery" TargetMode="External"/><Relationship Id="rId29" Type="http://schemas.openxmlformats.org/officeDocument/2006/relationships/hyperlink" Target="https://dnd-5e.fandom.com/wiki/Grinner" TargetMode="External"/><Relationship Id="rId124" Type="http://schemas.openxmlformats.org/officeDocument/2006/relationships/hyperlink" Target="https://dnd-5e.fandom.com/wiki/Knight_of_Solamnia" TargetMode="External"/><Relationship Id="rId123" Type="http://schemas.openxmlformats.org/officeDocument/2006/relationships/hyperlink" Target="https://dnd-5e.fandom.com/wiki/Giant_Foundling" TargetMode="External"/><Relationship Id="rId122" Type="http://schemas.openxmlformats.org/officeDocument/2006/relationships/hyperlink" Target="https://dnd-5e.fandom.com/wiki/Gate_Warden" TargetMode="External"/><Relationship Id="rId95" Type="http://schemas.openxmlformats.org/officeDocument/2006/relationships/hyperlink" Target="https://dnd-5e.fandom.com/wiki/Tools" TargetMode="External"/><Relationship Id="rId94" Type="http://schemas.openxmlformats.org/officeDocument/2006/relationships/hyperlink" Target="https://dnd-5e.fandom.com/wiki/Clan_Crafter" TargetMode="External"/><Relationship Id="rId97" Type="http://schemas.openxmlformats.org/officeDocument/2006/relationships/hyperlink" Target="https://dnd-5e.fandom.com/wiki/Courtier" TargetMode="External"/><Relationship Id="rId96" Type="http://schemas.openxmlformats.org/officeDocument/2006/relationships/hyperlink" Target="https://dnd-5e.fandom.com/wiki/Cloistered_Scholar" TargetMode="External"/><Relationship Id="rId11" Type="http://schemas.openxmlformats.org/officeDocument/2006/relationships/hyperlink" Target="https://dnd-5e.fandom.com/wiki/Tools" TargetMode="External"/><Relationship Id="rId99" Type="http://schemas.openxmlformats.org/officeDocument/2006/relationships/hyperlink" Target="https://dnd-5e.fandom.com/wiki/Far_Traveler" TargetMode="External"/><Relationship Id="rId10" Type="http://schemas.openxmlformats.org/officeDocument/2006/relationships/hyperlink" Target="https://dnd-5e.fandom.com/wiki/Faceless" TargetMode="External"/><Relationship Id="rId98" Type="http://schemas.openxmlformats.org/officeDocument/2006/relationships/hyperlink" Target="https://dnd-5e.fandom.com/wiki/Faction_Agent" TargetMode="External"/><Relationship Id="rId13" Type="http://schemas.openxmlformats.org/officeDocument/2006/relationships/hyperlink" Target="https://dnd-5e.fandom.com/wiki/Tools" TargetMode="External"/><Relationship Id="rId12" Type="http://schemas.openxmlformats.org/officeDocument/2006/relationships/hyperlink" Target="https://dnd-5e.fandom.com/wiki/Black_Fist_Double_Agent" TargetMode="External"/><Relationship Id="rId91" Type="http://schemas.openxmlformats.org/officeDocument/2006/relationships/hyperlink" Target="https://dnd-5e.fandom.com/wiki/Inquisitor" TargetMode="External"/><Relationship Id="rId90" Type="http://schemas.openxmlformats.org/officeDocument/2006/relationships/hyperlink" Target="https://dnd-5e.fandom.com/wiki/Tools" TargetMode="External"/><Relationship Id="rId93" Type="http://schemas.openxmlformats.org/officeDocument/2006/relationships/hyperlink" Target="https://dnd-5e.fandom.com/wiki/City_Watch" TargetMode="External"/><Relationship Id="rId92" Type="http://schemas.openxmlformats.org/officeDocument/2006/relationships/hyperlink" Target="https://dnd-5e.fandom.com/wiki/Tools" TargetMode="External"/><Relationship Id="rId118" Type="http://schemas.openxmlformats.org/officeDocument/2006/relationships/hyperlink" Target="https://dnd-5e.fandom.com/wiki/Tools" TargetMode="External"/><Relationship Id="rId117" Type="http://schemas.openxmlformats.org/officeDocument/2006/relationships/hyperlink" Target="https://dnd-5e.fandom.com/wiki/Archaeologist" TargetMode="External"/><Relationship Id="rId116" Type="http://schemas.openxmlformats.org/officeDocument/2006/relationships/hyperlink" Target="https://dnd-5e.fandom.com/wiki/Anthropologist" TargetMode="External"/><Relationship Id="rId115" Type="http://schemas.openxmlformats.org/officeDocument/2006/relationships/hyperlink" Target="https://dnd-5e.fandom.com/wiki/Tools" TargetMode="External"/><Relationship Id="rId119" Type="http://schemas.openxmlformats.org/officeDocument/2006/relationships/hyperlink" Target="https://dnd-5e.fandom.com/wiki/Feylost" TargetMode="External"/><Relationship Id="rId15" Type="http://schemas.openxmlformats.org/officeDocument/2006/relationships/hyperlink" Target="https://dnd-5e.fandom.com/wiki/Iron_Route_Bandit" TargetMode="External"/><Relationship Id="rId110" Type="http://schemas.openxmlformats.org/officeDocument/2006/relationships/hyperlink" Target="https://dnd-5e.fandom.com/wiki/Tools" TargetMode="External"/><Relationship Id="rId14" Type="http://schemas.openxmlformats.org/officeDocument/2006/relationships/hyperlink" Target="https://dnd-5e.fandom.com/wiki/Dragon_Casualty" TargetMode="External"/><Relationship Id="rId17" Type="http://schemas.openxmlformats.org/officeDocument/2006/relationships/hyperlink" Target="https://dnd-5e.fandom.com/wiki/Tools" TargetMode="External"/><Relationship Id="rId16" Type="http://schemas.openxmlformats.org/officeDocument/2006/relationships/hyperlink" Target="https://dnd-5e.fandom.com/wiki/Phlan_Insurgent" TargetMode="External"/><Relationship Id="rId19" Type="http://schemas.openxmlformats.org/officeDocument/2006/relationships/hyperlink" Target="https://dnd-5e.fandom.com/wiki/Tools" TargetMode="External"/><Relationship Id="rId114" Type="http://schemas.openxmlformats.org/officeDocument/2006/relationships/hyperlink" Target="https://dnd-5e.fandom.com/wiki/Witherbloom_Student" TargetMode="External"/><Relationship Id="rId18" Type="http://schemas.openxmlformats.org/officeDocument/2006/relationships/hyperlink" Target="https://dnd-5e.fandom.com/wiki/Stojanow_Prisoner" TargetMode="External"/><Relationship Id="rId113" Type="http://schemas.openxmlformats.org/officeDocument/2006/relationships/hyperlink" Target="https://dnd-5e.fandom.com/wiki/Silverquill_Student" TargetMode="External"/><Relationship Id="rId112" Type="http://schemas.openxmlformats.org/officeDocument/2006/relationships/hyperlink" Target="https://dnd-5e.fandom.com/wiki/Tools" TargetMode="External"/><Relationship Id="rId111" Type="http://schemas.openxmlformats.org/officeDocument/2006/relationships/hyperlink" Target="https://dnd-5e.fandom.com/wiki/Quandrix_Student" TargetMode="External"/><Relationship Id="rId84" Type="http://schemas.openxmlformats.org/officeDocument/2006/relationships/hyperlink" Target="https://dnd-5e.fandom.com/wiki/Tools" TargetMode="External"/><Relationship Id="rId83" Type="http://schemas.openxmlformats.org/officeDocument/2006/relationships/hyperlink" Target="https://dnd-5e.fandom.com/wiki/Sailor" TargetMode="External"/><Relationship Id="rId86" Type="http://schemas.openxmlformats.org/officeDocument/2006/relationships/hyperlink" Target="https://dnd-5e.fandom.com/wiki/Urchin" TargetMode="External"/><Relationship Id="rId85" Type="http://schemas.openxmlformats.org/officeDocument/2006/relationships/hyperlink" Target="https://dnd-5e.fandom.com/wiki/Soldier_(Background)" TargetMode="External"/><Relationship Id="rId88" Type="http://schemas.openxmlformats.org/officeDocument/2006/relationships/hyperlink" Target="https://dnd-5e.fandom.com/wiki/Initiate" TargetMode="External"/><Relationship Id="rId87" Type="http://schemas.openxmlformats.org/officeDocument/2006/relationships/hyperlink" Target="https://dnd-5e.fandom.com/wiki/Tools" TargetMode="External"/><Relationship Id="rId89" Type="http://schemas.openxmlformats.org/officeDocument/2006/relationships/hyperlink" Target="https://dnd-5e.fandom.com/wiki/Vizier" TargetMode="External"/><Relationship Id="rId80" Type="http://schemas.openxmlformats.org/officeDocument/2006/relationships/hyperlink" Target="https://dnd-5e.fandom.com/wiki/Noble_(Background)" TargetMode="External"/><Relationship Id="rId82" Type="http://schemas.openxmlformats.org/officeDocument/2006/relationships/hyperlink" Target="https://dnd-5e.fandom.com/wiki/Sage_(Background)" TargetMode="External"/><Relationship Id="rId81" Type="http://schemas.openxmlformats.org/officeDocument/2006/relationships/hyperlink" Target="https://dnd-5e.fandom.com/wiki/Outlander" TargetMode="External"/><Relationship Id="rId1" Type="http://schemas.openxmlformats.org/officeDocument/2006/relationships/hyperlink" Target="https://dnd-5e.fandom.com/wiki/Celebrity_Adventurer%27s_Scion" TargetMode="External"/><Relationship Id="rId2" Type="http://schemas.openxmlformats.org/officeDocument/2006/relationships/hyperlink" Target="https://dnd-5e.fandom.com/wiki/Tools" TargetMode="External"/><Relationship Id="rId3" Type="http://schemas.openxmlformats.org/officeDocument/2006/relationships/hyperlink" Target="https://dnd-5e.fandom.com/wiki/Failed_Merchant" TargetMode="External"/><Relationship Id="rId4" Type="http://schemas.openxmlformats.org/officeDocument/2006/relationships/hyperlink" Target="https://dnd-5e.fandom.com/wiki/Tools" TargetMode="External"/><Relationship Id="rId9" Type="http://schemas.openxmlformats.org/officeDocument/2006/relationships/hyperlink" Target="https://dnd-5e.fandom.com/wiki/Tools" TargetMode="External"/><Relationship Id="rId5" Type="http://schemas.openxmlformats.org/officeDocument/2006/relationships/hyperlink" Target="https://dnd-5e.fandom.com/wiki/Gambler" TargetMode="External"/><Relationship Id="rId6" Type="http://schemas.openxmlformats.org/officeDocument/2006/relationships/hyperlink" Target="https://dnd-5e.fandom.com/wiki/Plaintiff" TargetMode="External"/><Relationship Id="rId7" Type="http://schemas.openxmlformats.org/officeDocument/2006/relationships/hyperlink" Target="https://dnd-5e.fandom.com/wiki/Tools" TargetMode="External"/><Relationship Id="rId8" Type="http://schemas.openxmlformats.org/officeDocument/2006/relationships/hyperlink" Target="https://dnd-5e.fandom.com/wiki/Rival_Intern" TargetMode="External"/><Relationship Id="rId73" Type="http://schemas.openxmlformats.org/officeDocument/2006/relationships/hyperlink" Target="https://dnd-5e.fandom.com/wiki/Tools" TargetMode="External"/><Relationship Id="rId72" Type="http://schemas.openxmlformats.org/officeDocument/2006/relationships/hyperlink" Target="https://dnd-5e.fandom.com/wiki/Entertainer" TargetMode="External"/><Relationship Id="rId75" Type="http://schemas.openxmlformats.org/officeDocument/2006/relationships/hyperlink" Target="https://dnd-5e.fandom.com/wiki/Tools" TargetMode="External"/><Relationship Id="rId74" Type="http://schemas.openxmlformats.org/officeDocument/2006/relationships/hyperlink" Target="https://dnd-5e.fandom.com/wiki/Folk_Hero" TargetMode="External"/><Relationship Id="rId77" Type="http://schemas.openxmlformats.org/officeDocument/2006/relationships/hyperlink" Target="https://dnd-5e.fandom.com/wiki/Tools" TargetMode="External"/><Relationship Id="rId76" Type="http://schemas.openxmlformats.org/officeDocument/2006/relationships/hyperlink" Target="https://dnd-5e.fandom.com/wiki/Guild_Artisan" TargetMode="External"/><Relationship Id="rId79" Type="http://schemas.openxmlformats.org/officeDocument/2006/relationships/hyperlink" Target="https://dnd-5e.fandom.com/wiki/Tools" TargetMode="External"/><Relationship Id="rId78" Type="http://schemas.openxmlformats.org/officeDocument/2006/relationships/hyperlink" Target="https://dnd-5e.fandom.com/wiki/Hermit" TargetMode="External"/><Relationship Id="rId71" Type="http://schemas.openxmlformats.org/officeDocument/2006/relationships/hyperlink" Target="https://dnd-5e.fandom.com/wiki/Tools" TargetMode="External"/><Relationship Id="rId70" Type="http://schemas.openxmlformats.org/officeDocument/2006/relationships/hyperlink" Target="https://dnd-5e.fandom.com/wiki/Criminal" TargetMode="External"/><Relationship Id="rId131" Type="http://schemas.openxmlformats.org/officeDocument/2006/relationships/drawing" Target="../drawings/drawing5.xml"/><Relationship Id="rId130" Type="http://schemas.openxmlformats.org/officeDocument/2006/relationships/hyperlink" Target="https://dnd-5e.fandom.com/wiki/Tools" TargetMode="External"/><Relationship Id="rId133" Type="http://schemas.openxmlformats.org/officeDocument/2006/relationships/table" Target="../tables/table2.xml"/><Relationship Id="rId62" Type="http://schemas.openxmlformats.org/officeDocument/2006/relationships/hyperlink" Target="https://dnd-5e.fandom.com/wiki/Tools" TargetMode="External"/><Relationship Id="rId61" Type="http://schemas.openxmlformats.org/officeDocument/2006/relationships/hyperlink" Target="https://dnd-5e.fandom.com/wiki/Secret_Identity" TargetMode="External"/><Relationship Id="rId64" Type="http://schemas.openxmlformats.org/officeDocument/2006/relationships/hyperlink" Target="https://dnd-5e.fandom.com/wiki/Tools" TargetMode="External"/><Relationship Id="rId63" Type="http://schemas.openxmlformats.org/officeDocument/2006/relationships/hyperlink" Target="https://dnd-5e.fandom.com/wiki/Shade_Fanatic" TargetMode="External"/><Relationship Id="rId66" Type="http://schemas.openxmlformats.org/officeDocument/2006/relationships/hyperlink" Target="https://dnd-5e.fandom.com/wiki/Tools" TargetMode="External"/><Relationship Id="rId65" Type="http://schemas.openxmlformats.org/officeDocument/2006/relationships/hyperlink" Target="https://dnd-5e.fandom.com/wiki/Trade_Sheriff" TargetMode="External"/><Relationship Id="rId68" Type="http://schemas.openxmlformats.org/officeDocument/2006/relationships/hyperlink" Target="https://dnd-5e.fandom.com/wiki/Charlatan" TargetMode="External"/><Relationship Id="rId67" Type="http://schemas.openxmlformats.org/officeDocument/2006/relationships/hyperlink" Target="https://dnd-5e.fandom.com/wiki/Acolyte_(Background)" TargetMode="External"/><Relationship Id="rId60" Type="http://schemas.openxmlformats.org/officeDocument/2006/relationships/hyperlink" Target="https://dnd-5e.fandom.com/wiki/Tools" TargetMode="External"/><Relationship Id="rId69" Type="http://schemas.openxmlformats.org/officeDocument/2006/relationships/hyperlink" Target="https://dnd-5e.fandom.com/wiki/Tools" TargetMode="External"/><Relationship Id="rId51" Type="http://schemas.openxmlformats.org/officeDocument/2006/relationships/hyperlink" Target="https://dnd-5e.fandom.com/wiki/Tools" TargetMode="External"/><Relationship Id="rId50" Type="http://schemas.openxmlformats.org/officeDocument/2006/relationships/hyperlink" Target="https://dnd-5e.fandom.com/wiki/Shipwright" TargetMode="External"/><Relationship Id="rId53" Type="http://schemas.openxmlformats.org/officeDocument/2006/relationships/hyperlink" Target="https://dnd-5e.fandom.com/wiki/Athlete" TargetMode="External"/><Relationship Id="rId52" Type="http://schemas.openxmlformats.org/officeDocument/2006/relationships/hyperlink" Target="https://dnd-5e.fandom.com/wiki/Smuggler" TargetMode="External"/><Relationship Id="rId55" Type="http://schemas.openxmlformats.org/officeDocument/2006/relationships/hyperlink" Target="https://dnd-5e.fandom.com/wiki/Tools" TargetMode="External"/><Relationship Id="rId54" Type="http://schemas.openxmlformats.org/officeDocument/2006/relationships/hyperlink" Target="https://dnd-5e.fandom.com/wiki/Cormanthor_Refugee" TargetMode="External"/><Relationship Id="rId57" Type="http://schemas.openxmlformats.org/officeDocument/2006/relationships/hyperlink" Target="https://dnd-5e.fandom.com/wiki/Tools" TargetMode="External"/><Relationship Id="rId56" Type="http://schemas.openxmlformats.org/officeDocument/2006/relationships/hyperlink" Target="https://dnd-5e.fandom.com/wiki/Gate_Urchin" TargetMode="External"/><Relationship Id="rId59" Type="http://schemas.openxmlformats.org/officeDocument/2006/relationships/hyperlink" Target="https://dnd-5e.fandom.com/wiki/Hillsfar_Smuggler" TargetMode="External"/><Relationship Id="rId58" Type="http://schemas.openxmlformats.org/officeDocument/2006/relationships/hyperlink" Target="https://dnd-5e.fandom.com/wiki/Hillsfar_Merchant" TargetMode="External"/></Relationships>
</file>

<file path=xl/worksheets/_rels/sheet6.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media.wizards.com/2017/dnd/downloads/UA-ElfSubraces.pdf%22,%22UA:%20Elf%20Subraces%201" TargetMode="External"/><Relationship Id="rId3" Type="http://schemas.openxmlformats.org/officeDocument/2006/relationships/hyperlink" Target="https://media.wizards.com/2017/dnd/downloads/UA-ElfSubraces.pdf" TargetMode="External"/><Relationship Id="rId4" Type="http://schemas.openxmlformats.org/officeDocument/2006/relationships/hyperlink" Target="https://media.wizards.com/2017/dnd/downloads/UA-ElfSubraces.pdf" TargetMode="External"/><Relationship Id="rId5" Type="http://schemas.openxmlformats.org/officeDocument/2006/relationships/drawing" Target="../drawings/drawing6.xml"/><Relationship Id="rId6" Type="http://schemas.openxmlformats.org/officeDocument/2006/relationships/vmlDrawing" Target="../drawings/vmlDrawing1.vml"/><Relationship Id="rId8"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40" Type="http://schemas.openxmlformats.org/officeDocument/2006/relationships/hyperlink" Target="https://www.aidedd.org/dnd/dons.php?vo=keen-mind" TargetMode="External"/><Relationship Id="rId42" Type="http://schemas.openxmlformats.org/officeDocument/2006/relationships/hyperlink" Target="https://www.aidedd.org/dnd/dons.php?vo=lightly-armored" TargetMode="External"/><Relationship Id="rId41" Type="http://schemas.openxmlformats.org/officeDocument/2006/relationships/hyperlink" Target="https://www.aidedd.org/dnd/dons.php?vo=keenness-of-the-stone-giant" TargetMode="External"/><Relationship Id="rId44" Type="http://schemas.openxmlformats.org/officeDocument/2006/relationships/hyperlink" Target="https://www.aidedd.org/dnd/dons.php?vo=lucky" TargetMode="External"/><Relationship Id="rId43" Type="http://schemas.openxmlformats.org/officeDocument/2006/relationships/hyperlink" Target="https://www.aidedd.org/dnd/dons.php?vo=linguist" TargetMode="External"/><Relationship Id="rId46" Type="http://schemas.openxmlformats.org/officeDocument/2006/relationships/hyperlink" Target="https://www.aidedd.org/dnd/dons.php?vo=magic-initiate" TargetMode="External"/><Relationship Id="rId45" Type="http://schemas.openxmlformats.org/officeDocument/2006/relationships/hyperlink" Target="https://www.aidedd.org/dnd/dons.php?vo=mage-slayer" TargetMode="External"/><Relationship Id="rId48" Type="http://schemas.openxmlformats.org/officeDocument/2006/relationships/hyperlink" Target="https://www.aidedd.org/dnd/dons.php?vo=medium-armor-master" TargetMode="External"/><Relationship Id="rId47" Type="http://schemas.openxmlformats.org/officeDocument/2006/relationships/hyperlink" Target="https://www.aidedd.org/dnd/dons.php?vo=martial-adept" TargetMode="External"/><Relationship Id="rId49" Type="http://schemas.openxmlformats.org/officeDocument/2006/relationships/hyperlink" Target="https://www.aidedd.org/dnd/dons.php?vo=metamagic-adept" TargetMode="External"/><Relationship Id="rId31" Type="http://schemas.openxmlformats.org/officeDocument/2006/relationships/hyperlink" Target="https://www.aidedd.org/dnd/dons.php?vo=grappler" TargetMode="External"/><Relationship Id="rId30" Type="http://schemas.openxmlformats.org/officeDocument/2006/relationships/hyperlink" Target="https://www.aidedd.org/dnd/dons.php?vo=gift-of-the-metallic-dragon" TargetMode="External"/><Relationship Id="rId33" Type="http://schemas.openxmlformats.org/officeDocument/2006/relationships/hyperlink" Target="https://www.aidedd.org/dnd/dons.php?vo=guile-of-the-cloud-giant" TargetMode="External"/><Relationship Id="rId32" Type="http://schemas.openxmlformats.org/officeDocument/2006/relationships/hyperlink" Target="https://www.aidedd.org/dnd/dons.php?vo=great-weapon-master" TargetMode="External"/><Relationship Id="rId35" Type="http://schemas.openxmlformats.org/officeDocument/2006/relationships/hyperlink" Target="https://www.aidedd.org/dnd/dons.php?vo=healer" TargetMode="External"/><Relationship Id="rId34" Type="http://schemas.openxmlformats.org/officeDocument/2006/relationships/hyperlink" Target="https://www.aidedd.org/dnd/dons.php?vo=gunner" TargetMode="External"/><Relationship Id="rId37" Type="http://schemas.openxmlformats.org/officeDocument/2006/relationships/hyperlink" Target="https://www.aidedd.org/dnd/dons.php?vo=heavy-armor-master" TargetMode="External"/><Relationship Id="rId36" Type="http://schemas.openxmlformats.org/officeDocument/2006/relationships/hyperlink" Target="https://www.aidedd.org/dnd/dons.php?vo=heavily-armored" TargetMode="External"/><Relationship Id="rId39" Type="http://schemas.openxmlformats.org/officeDocument/2006/relationships/hyperlink" Target="https://www.aidedd.org/dnd/dons.php?vo=inspiring-leader" TargetMode="External"/><Relationship Id="rId38" Type="http://schemas.openxmlformats.org/officeDocument/2006/relationships/hyperlink" Target="https://www.aidedd.org/dnd/dons.php?vo=infernal-constitution" TargetMode="External"/><Relationship Id="rId20" Type="http://schemas.openxmlformats.org/officeDocument/2006/relationships/hyperlink" Target="https://www.aidedd.org/dnd/dons.php?vo=elven-accuracy" TargetMode="External"/><Relationship Id="rId22" Type="http://schemas.openxmlformats.org/officeDocument/2006/relationships/hyperlink" Target="https://www.aidedd.org/dnd/dons.php?vo=fade-away" TargetMode="External"/><Relationship Id="rId21" Type="http://schemas.openxmlformats.org/officeDocument/2006/relationships/hyperlink" Target="https://www.aidedd.org/dnd/dons.php?vo=ember-of-the-fire-giant" TargetMode="External"/><Relationship Id="rId24" Type="http://schemas.openxmlformats.org/officeDocument/2006/relationships/hyperlink" Target="https://www.aidedd.org/dnd/dons.php?vo=fey-touched" TargetMode="External"/><Relationship Id="rId23" Type="http://schemas.openxmlformats.org/officeDocument/2006/relationships/hyperlink" Target="https://www.aidedd.org/dnd/dons.php?vo=fey-teleportation" TargetMode="External"/><Relationship Id="rId26" Type="http://schemas.openxmlformats.org/officeDocument/2006/relationships/hyperlink" Target="https://www.aidedd.org/dnd/dons.php?vo=flames-of-phlegethos" TargetMode="External"/><Relationship Id="rId25" Type="http://schemas.openxmlformats.org/officeDocument/2006/relationships/hyperlink" Target="https://www.aidedd.org/dnd/dons.php?vo=fighting-initiate" TargetMode="External"/><Relationship Id="rId28" Type="http://schemas.openxmlformats.org/officeDocument/2006/relationships/hyperlink" Target="https://www.aidedd.org/dnd/dons.php?vo=gift-of-the-chromatic-dragon" TargetMode="External"/><Relationship Id="rId27" Type="http://schemas.openxmlformats.org/officeDocument/2006/relationships/hyperlink" Target="https://www.aidedd.org/dnd/dons.php?vo=fury-of-the-frost-giant" TargetMode="External"/><Relationship Id="rId29" Type="http://schemas.openxmlformats.org/officeDocument/2006/relationships/hyperlink" Target="https://www.aidedd.org/dnd/dons.php?vo=gift-of-the-gem-dragon" TargetMode="External"/><Relationship Id="rId11" Type="http://schemas.openxmlformats.org/officeDocument/2006/relationships/hyperlink" Target="https://www.aidedd.org/dnd/dons.php?vo=dragon-fear" TargetMode="External"/><Relationship Id="rId10" Type="http://schemas.openxmlformats.org/officeDocument/2006/relationships/hyperlink" Target="https://www.aidedd.org/dnd/dons.php?vo=defensive-duelist" TargetMode="External"/><Relationship Id="rId13" Type="http://schemas.openxmlformats.org/officeDocument/2006/relationships/hyperlink" Target="https://www.aidedd.org/dnd/dons.php?vo=drow-high-magic" TargetMode="External"/><Relationship Id="rId12" Type="http://schemas.openxmlformats.org/officeDocument/2006/relationships/hyperlink" Target="https://www.aidedd.org/dnd/dons.php?vo=dragon-hide" TargetMode="External"/><Relationship Id="rId15" Type="http://schemas.openxmlformats.org/officeDocument/2006/relationships/hyperlink" Target="https://www.aidedd.org/dnd/dons.php?vo=dungeon-delver" TargetMode="External"/><Relationship Id="rId14" Type="http://schemas.openxmlformats.org/officeDocument/2006/relationships/hyperlink" Target="https://www.aidedd.org/dnd/dons.php?vo=dual-wielder" TargetMode="External"/><Relationship Id="rId17" Type="http://schemas.openxmlformats.org/officeDocument/2006/relationships/hyperlink" Target="https://www.aidedd.org/dnd/dons.php?vo=dwarf-fortitude" TargetMode="External"/><Relationship Id="rId16" Type="http://schemas.openxmlformats.org/officeDocument/2006/relationships/hyperlink" Target="https://www.aidedd.org/dnd/dons.php?vo=durable" TargetMode="External"/><Relationship Id="rId19" Type="http://schemas.openxmlformats.org/officeDocument/2006/relationships/hyperlink" Target="https://www.aidedd.org/dnd/dons.php?vo=elemental-adept" TargetMode="External"/><Relationship Id="rId18" Type="http://schemas.openxmlformats.org/officeDocument/2006/relationships/hyperlink" Target="https://www.aidedd.org/dnd/dons.php?vo=eldritch-adept" TargetMode="External"/><Relationship Id="rId84" Type="http://schemas.openxmlformats.org/officeDocument/2006/relationships/drawing" Target="../drawings/drawing8.xml"/><Relationship Id="rId83" Type="http://schemas.openxmlformats.org/officeDocument/2006/relationships/hyperlink" Target="https://www.aidedd.org/dnd/dons.php?vo=wood-elf-magic" TargetMode="External"/><Relationship Id="rId80" Type="http://schemas.openxmlformats.org/officeDocument/2006/relationships/hyperlink" Target="https://www.aidedd.org/dnd/dons.php?vo=vigor-of-the-hill-giant" TargetMode="External"/><Relationship Id="rId82" Type="http://schemas.openxmlformats.org/officeDocument/2006/relationships/hyperlink" Target="https://www.aidedd.org/dnd/dons.php?vo=weapon-master" TargetMode="External"/><Relationship Id="rId81" Type="http://schemas.openxmlformats.org/officeDocument/2006/relationships/hyperlink" Target="https://www.aidedd.org/dnd/dons.php?vo=war-caster" TargetMode="External"/><Relationship Id="rId1" Type="http://schemas.openxmlformats.org/officeDocument/2006/relationships/hyperlink" Target="https://www.aidedd.org/dnd/dons.php?vo=actor" TargetMode="External"/><Relationship Id="rId2" Type="http://schemas.openxmlformats.org/officeDocument/2006/relationships/hyperlink" Target="https://www.aidedd.org/dnd/dons.php?vo=alert" TargetMode="External"/><Relationship Id="rId3" Type="http://schemas.openxmlformats.org/officeDocument/2006/relationships/hyperlink" Target="https://www.aidedd.org/dnd/dons.php?vo=artificer-initiate" TargetMode="External"/><Relationship Id="rId4" Type="http://schemas.openxmlformats.org/officeDocument/2006/relationships/hyperlink" Target="https://www.aidedd.org/dnd/dons.php?vo=athlete" TargetMode="External"/><Relationship Id="rId9" Type="http://schemas.openxmlformats.org/officeDocument/2006/relationships/hyperlink" Target="https://www.aidedd.org/dnd/dons.php?vo=crusher" TargetMode="External"/><Relationship Id="rId5" Type="http://schemas.openxmlformats.org/officeDocument/2006/relationships/hyperlink" Target="https://www.aidedd.org/dnd/dons.php?vo=bountiful-luck" TargetMode="External"/><Relationship Id="rId6" Type="http://schemas.openxmlformats.org/officeDocument/2006/relationships/hyperlink" Target="https://www.aidedd.org/dnd/dons.php?vo=charger" TargetMode="External"/><Relationship Id="rId7" Type="http://schemas.openxmlformats.org/officeDocument/2006/relationships/hyperlink" Target="https://www.aidedd.org/dnd/dons.php?vo=chef" TargetMode="External"/><Relationship Id="rId8" Type="http://schemas.openxmlformats.org/officeDocument/2006/relationships/hyperlink" Target="https://www.aidedd.org/dnd/dons.php?vo=crossbow-expert" TargetMode="External"/><Relationship Id="rId73" Type="http://schemas.openxmlformats.org/officeDocument/2006/relationships/hyperlink" Target="https://www.aidedd.org/dnd/dons.php?vo=spell-sniper" TargetMode="External"/><Relationship Id="rId72" Type="http://schemas.openxmlformats.org/officeDocument/2006/relationships/hyperlink" Target="https://www.aidedd.org/dnd/dons.php?vo=soul-of-the-storm-giant" TargetMode="External"/><Relationship Id="rId75" Type="http://schemas.openxmlformats.org/officeDocument/2006/relationships/hyperlink" Target="https://www.aidedd.org/dnd/dons.php?vo=strike-of-the-giants" TargetMode="External"/><Relationship Id="rId74" Type="http://schemas.openxmlformats.org/officeDocument/2006/relationships/hyperlink" Target="https://www.aidedd.org/dnd/dons.php?vo=squat-nimbleness" TargetMode="External"/><Relationship Id="rId77" Type="http://schemas.openxmlformats.org/officeDocument/2006/relationships/hyperlink" Target="https://www.aidedd.org/dnd/dons.php?vo=telekinetic" TargetMode="External"/><Relationship Id="rId76" Type="http://schemas.openxmlformats.org/officeDocument/2006/relationships/hyperlink" Target="https://www.aidedd.org/dnd/dons.php?vo=tavern-brawler" TargetMode="External"/><Relationship Id="rId79" Type="http://schemas.openxmlformats.org/officeDocument/2006/relationships/hyperlink" Target="https://www.aidedd.org/dnd/dons.php?vo=tough" TargetMode="External"/><Relationship Id="rId78" Type="http://schemas.openxmlformats.org/officeDocument/2006/relationships/hyperlink" Target="https://www.aidedd.org/dnd/dons.php?vo=telepathic" TargetMode="External"/><Relationship Id="rId71" Type="http://schemas.openxmlformats.org/officeDocument/2006/relationships/hyperlink" Target="https://www.aidedd.org/dnd/dons.php?vo=slasher" TargetMode="External"/><Relationship Id="rId70" Type="http://schemas.openxmlformats.org/officeDocument/2006/relationships/hyperlink" Target="https://www.aidedd.org/dnd/dons.php?vo=skulker" TargetMode="External"/><Relationship Id="rId62" Type="http://schemas.openxmlformats.org/officeDocument/2006/relationships/hyperlink" Target="https://www.aidedd.org/dnd/dons.php?vo=savage-attacker" TargetMode="External"/><Relationship Id="rId61" Type="http://schemas.openxmlformats.org/officeDocument/2006/relationships/hyperlink" Target="https://www.aidedd.org/dnd/dons.php?vo=rune-shaper" TargetMode="External"/><Relationship Id="rId64" Type="http://schemas.openxmlformats.org/officeDocument/2006/relationships/hyperlink" Target="https://www.aidedd.org/dnd/dons.php?vo=sentinel" TargetMode="External"/><Relationship Id="rId63" Type="http://schemas.openxmlformats.org/officeDocument/2006/relationships/hyperlink" Target="https://www.aidedd.org/dnd/dons.php?vo=second-chance" TargetMode="External"/><Relationship Id="rId66" Type="http://schemas.openxmlformats.org/officeDocument/2006/relationships/hyperlink" Target="https://www.aidedd.org/dnd/dons.php?vo=sharpshooter" TargetMode="External"/><Relationship Id="rId65" Type="http://schemas.openxmlformats.org/officeDocument/2006/relationships/hyperlink" Target="https://www.aidedd.org/dnd/dons.php?vo=shadow-touched" TargetMode="External"/><Relationship Id="rId68" Type="http://schemas.openxmlformats.org/officeDocument/2006/relationships/hyperlink" Target="https://www.aidedd.org/dnd/dons.php?vo=skill-expert" TargetMode="External"/><Relationship Id="rId67" Type="http://schemas.openxmlformats.org/officeDocument/2006/relationships/hyperlink" Target="https://www.aidedd.org/dnd/dons.php?vo=shield-master" TargetMode="External"/><Relationship Id="rId60" Type="http://schemas.openxmlformats.org/officeDocument/2006/relationships/hyperlink" Target="https://www.aidedd.org/dnd/dons.php?vo=ritual-caster" TargetMode="External"/><Relationship Id="rId69" Type="http://schemas.openxmlformats.org/officeDocument/2006/relationships/hyperlink" Target="https://www.aidedd.org/dnd/dons.php?vo=skilled" TargetMode="External"/><Relationship Id="rId51" Type="http://schemas.openxmlformats.org/officeDocument/2006/relationships/hyperlink" Target="https://www.aidedd.org/dnd/dons.php?vo=moderately-armored" TargetMode="External"/><Relationship Id="rId50" Type="http://schemas.openxmlformats.org/officeDocument/2006/relationships/hyperlink" Target="https://www.aidedd.org/dnd/dons.php?vo=mobile" TargetMode="External"/><Relationship Id="rId53" Type="http://schemas.openxmlformats.org/officeDocument/2006/relationships/hyperlink" Target="https://www.aidedd.org/dnd/dons.php?vo=observant" TargetMode="External"/><Relationship Id="rId52" Type="http://schemas.openxmlformats.org/officeDocument/2006/relationships/hyperlink" Target="https://www.aidedd.org/dnd/dons.php?vo=mounted-combatant" TargetMode="External"/><Relationship Id="rId55" Type="http://schemas.openxmlformats.org/officeDocument/2006/relationships/hyperlink" Target="https://www.aidedd.org/dnd/dons.php?vo=piercer" TargetMode="External"/><Relationship Id="rId54" Type="http://schemas.openxmlformats.org/officeDocument/2006/relationships/hyperlink" Target="https://www.aidedd.org/dnd/dons.php?vo=orcish-fury" TargetMode="External"/><Relationship Id="rId57" Type="http://schemas.openxmlformats.org/officeDocument/2006/relationships/hyperlink" Target="https://www.aidedd.org/dnd/dons.php?vo=polearm-master" TargetMode="External"/><Relationship Id="rId56" Type="http://schemas.openxmlformats.org/officeDocument/2006/relationships/hyperlink" Target="https://www.aidedd.org/dnd/dons.php?vo=poisoner" TargetMode="External"/><Relationship Id="rId59" Type="http://schemas.openxmlformats.org/officeDocument/2006/relationships/hyperlink" Target="https://www.aidedd.org/dnd/dons.php?vo=resilient" TargetMode="External"/><Relationship Id="rId58" Type="http://schemas.openxmlformats.org/officeDocument/2006/relationships/hyperlink" Target="https://www.aidedd.org/dnd/dons.php?vo=prodigy" TargetMode="External"/></Relationships>
</file>

<file path=xl/worksheets/_rels/sheet9.xml.rels><?xml version="1.0" encoding="UTF-8" standalone="yes"?><Relationships xmlns="http://schemas.openxmlformats.org/package/2006/relationships"><Relationship Id="rId31" Type="http://schemas.openxmlformats.org/officeDocument/2006/relationships/hyperlink" Target="https://roll20.net/compendium/dnd5e/Items:Warhammer?expansion=34047" TargetMode="External"/><Relationship Id="rId30" Type="http://schemas.openxmlformats.org/officeDocument/2006/relationships/hyperlink" Target="https://roll20.net/compendium/dnd5e/Items:War%20Pick?expansion=34047" TargetMode="External"/><Relationship Id="rId33" Type="http://schemas.openxmlformats.org/officeDocument/2006/relationships/hyperlink" Target="https://roll20.net/compendium/dnd5e/Items:Blowgun?expansion=34047" TargetMode="External"/><Relationship Id="rId32" Type="http://schemas.openxmlformats.org/officeDocument/2006/relationships/hyperlink" Target="https://roll20.net/compendium/dnd5e/Items:Whip?expansion=34047" TargetMode="External"/><Relationship Id="rId35" Type="http://schemas.openxmlformats.org/officeDocument/2006/relationships/hyperlink" Target="https://roll20.net/compendium/dnd5e/Items:heavy%20crossbow?expansion=34047" TargetMode="External"/><Relationship Id="rId34" Type="http://schemas.openxmlformats.org/officeDocument/2006/relationships/hyperlink" Target="https://roll20.net/compendium/dnd5e/Items:hand%20crossbow?expansion=34047" TargetMode="External"/><Relationship Id="rId37" Type="http://schemas.openxmlformats.org/officeDocument/2006/relationships/hyperlink" Target="https://roll20.net/compendium/dnd5e/Items:Net?expansion=34047" TargetMode="External"/><Relationship Id="rId36" Type="http://schemas.openxmlformats.org/officeDocument/2006/relationships/hyperlink" Target="https://roll20.net/compendium/dnd5e/Items:Longbow?expansion=34047" TargetMode="External"/><Relationship Id="rId38" Type="http://schemas.openxmlformats.org/officeDocument/2006/relationships/drawing" Target="../drawings/drawing9.xml"/><Relationship Id="rId20" Type="http://schemas.openxmlformats.org/officeDocument/2006/relationships/hyperlink" Target="https://roll20.net/compendium/dnd5e/Items:Halberd?expansion=34047" TargetMode="External"/><Relationship Id="rId22" Type="http://schemas.openxmlformats.org/officeDocument/2006/relationships/hyperlink" Target="https://roll20.net/compendium/dnd5e/Items:Longsword?expansion=34047" TargetMode="External"/><Relationship Id="rId21" Type="http://schemas.openxmlformats.org/officeDocument/2006/relationships/hyperlink" Target="https://roll20.net/compendium/dnd5e/Items:Lance?expansion=34047" TargetMode="External"/><Relationship Id="rId24" Type="http://schemas.openxmlformats.org/officeDocument/2006/relationships/hyperlink" Target="https://roll20.net/compendium/dnd5e/Items:Morningstar?expansion=34047" TargetMode="External"/><Relationship Id="rId23" Type="http://schemas.openxmlformats.org/officeDocument/2006/relationships/hyperlink" Target="https://roll20.net/compendium/dnd5e/Items:Maul?expansion=34047" TargetMode="External"/><Relationship Id="rId26" Type="http://schemas.openxmlformats.org/officeDocument/2006/relationships/hyperlink" Target="https://roll20.net/compendium/dnd5e/Items:Rapier?expansion=34047" TargetMode="External"/><Relationship Id="rId25" Type="http://schemas.openxmlformats.org/officeDocument/2006/relationships/hyperlink" Target="https://roll20.net/compendium/dnd5e/Items:Pike?expansion=34047" TargetMode="External"/><Relationship Id="rId28" Type="http://schemas.openxmlformats.org/officeDocument/2006/relationships/hyperlink" Target="https://roll20.net/compendium/dnd5e/Items:Shortsword?expansion=34047" TargetMode="External"/><Relationship Id="rId27" Type="http://schemas.openxmlformats.org/officeDocument/2006/relationships/hyperlink" Target="https://roll20.net/compendium/dnd5e/Items:Scimitar?expansion=34047" TargetMode="External"/><Relationship Id="rId29" Type="http://schemas.openxmlformats.org/officeDocument/2006/relationships/hyperlink" Target="https://roll20.net/compendium/dnd5e/Items:Trident?expansion=34047" TargetMode="External"/><Relationship Id="rId11" Type="http://schemas.openxmlformats.org/officeDocument/2006/relationships/hyperlink" Target="https://roll20.net/compendium/dnd5e/Items:Light%20Crossbow?expansion=34047" TargetMode="External"/><Relationship Id="rId10" Type="http://schemas.openxmlformats.org/officeDocument/2006/relationships/hyperlink" Target="https://roll20.net/compendium/dnd5e/Items:Spear?expansion=34047" TargetMode="External"/><Relationship Id="rId13" Type="http://schemas.openxmlformats.org/officeDocument/2006/relationships/hyperlink" Target="https://roll20.net/compendium/dnd5e/Items:Shortbow?expansion=34047" TargetMode="External"/><Relationship Id="rId12" Type="http://schemas.openxmlformats.org/officeDocument/2006/relationships/hyperlink" Target="https://roll20.net/compendium/dnd5e/Items:Dart?expansion=34047" TargetMode="External"/><Relationship Id="rId15" Type="http://schemas.openxmlformats.org/officeDocument/2006/relationships/hyperlink" Target="https://roll20.net/compendium/dnd5e/Items:Battleaxe?expansion=34047" TargetMode="External"/><Relationship Id="rId14" Type="http://schemas.openxmlformats.org/officeDocument/2006/relationships/hyperlink" Target="https://roll20.net/compendium/dnd5e/Items:Sling?expansion=34047" TargetMode="External"/><Relationship Id="rId17" Type="http://schemas.openxmlformats.org/officeDocument/2006/relationships/hyperlink" Target="https://roll20.net/compendium/dnd5e/Items:Glaive?expansion=34047" TargetMode="External"/><Relationship Id="rId16" Type="http://schemas.openxmlformats.org/officeDocument/2006/relationships/hyperlink" Target="https://roll20.net/compendium/dnd5e/Items:Flail?expansion=34047" TargetMode="External"/><Relationship Id="rId19" Type="http://schemas.openxmlformats.org/officeDocument/2006/relationships/hyperlink" Target="https://roll20.net/compendium/dnd5e/Items:Greatsword?expansion=34047" TargetMode="External"/><Relationship Id="rId18" Type="http://schemas.openxmlformats.org/officeDocument/2006/relationships/hyperlink" Target="https://roll20.net/compendium/dnd5e/Items:Greataxe?expansion=34047" TargetMode="External"/><Relationship Id="rId1" Type="http://schemas.openxmlformats.org/officeDocument/2006/relationships/hyperlink" Target="https://roll20.net/compendium/dnd5e/Items:Club?expansion=34047" TargetMode="External"/><Relationship Id="rId2" Type="http://schemas.openxmlformats.org/officeDocument/2006/relationships/hyperlink" Target="https://roll20.net/compendium/dnd5e/Items:Dagger?expansion=34047" TargetMode="External"/><Relationship Id="rId3" Type="http://schemas.openxmlformats.org/officeDocument/2006/relationships/hyperlink" Target="https://roll20.net/compendium/dnd5e/Items:Greatclub?expansion=34047" TargetMode="External"/><Relationship Id="rId4" Type="http://schemas.openxmlformats.org/officeDocument/2006/relationships/hyperlink" Target="https://roll20.net/compendium/dnd5e/Items:Handaxe?expansion=34047" TargetMode="External"/><Relationship Id="rId9" Type="http://schemas.openxmlformats.org/officeDocument/2006/relationships/hyperlink" Target="https://roll20.net/compendium/dnd5e/Items:Sickle?expansion=34047" TargetMode="External"/><Relationship Id="rId5" Type="http://schemas.openxmlformats.org/officeDocument/2006/relationships/hyperlink" Target="https://roll20.net/compendium/dnd5e/Items:Javelin?expansion=34047" TargetMode="External"/><Relationship Id="rId6" Type="http://schemas.openxmlformats.org/officeDocument/2006/relationships/hyperlink" Target="https://roll20.net/compendium/dnd5e/Items:Light%20Hammer?expansion=34047" TargetMode="External"/><Relationship Id="rId7" Type="http://schemas.openxmlformats.org/officeDocument/2006/relationships/hyperlink" Target="https://roll20.net/compendium/dnd5e/Items:Mace?expansion=34047" TargetMode="External"/><Relationship Id="rId8" Type="http://schemas.openxmlformats.org/officeDocument/2006/relationships/hyperlink" Target="https://roll20.net/compendium/dnd5e/Items:Quarterstaff?expansion=34047" TargetMode="External"/></Relationships>
</file>

<file path=xl/worksheets/_rels/sheet10.xml.rels><?xml version="1.0" encoding="UTF-8" standalone="yes"?><Relationships xmlns="http://schemas.openxmlformats.org/package/2006/relationships"><Relationship Id="rId11" Type="http://schemas.openxmlformats.org/officeDocument/2006/relationships/hyperlink" Target="https://roll20.net/compendium/dnd5e/Ring%20Mail" TargetMode="External"/><Relationship Id="rId10" Type="http://schemas.openxmlformats.org/officeDocument/2006/relationships/hyperlink" Target="https://roll20.net/compendium/dnd5e/Half%20Plate" TargetMode="External"/><Relationship Id="rId13" Type="http://schemas.openxmlformats.org/officeDocument/2006/relationships/hyperlink" Target="https://roll20.net/compendium/dnd5e/Rules:Ability%20Scores?expansion=34047" TargetMode="External"/><Relationship Id="rId12" Type="http://schemas.openxmlformats.org/officeDocument/2006/relationships/hyperlink" Target="https://roll20.net/compendium/dnd5e/Chain%20Mail" TargetMode="External"/><Relationship Id="rId15" Type="http://schemas.openxmlformats.org/officeDocument/2006/relationships/hyperlink" Target="https://roll20.net/compendium/dnd5e/Plate%20Armor" TargetMode="External"/><Relationship Id="rId14" Type="http://schemas.openxmlformats.org/officeDocument/2006/relationships/hyperlink" Target="https://roll20.net/compendium/dnd5e/Splint%20Armor" TargetMode="External"/><Relationship Id="rId17" Type="http://schemas.openxmlformats.org/officeDocument/2006/relationships/drawing" Target="../drawings/drawing10.xml"/><Relationship Id="rId16" Type="http://schemas.openxmlformats.org/officeDocument/2006/relationships/hyperlink" Target="https://roll20.net/compendium/dnd5e/Items:Shield/" TargetMode="External"/><Relationship Id="rId1" Type="http://schemas.openxmlformats.org/officeDocument/2006/relationships/hyperlink" Target="https://roll20.net/compendium/dnd5e/Padded%20Armor" TargetMode="External"/><Relationship Id="rId2" Type="http://schemas.openxmlformats.org/officeDocument/2006/relationships/hyperlink" Target="https://roll20.net/compendium/dnd5e/Rules:Ability%20Scores?expansion=34047" TargetMode="External"/><Relationship Id="rId3" Type="http://schemas.openxmlformats.org/officeDocument/2006/relationships/hyperlink" Target="https://roll20.net/compendium/dnd5e/Rules:Ability%20Scores?expansion=34047" TargetMode="External"/><Relationship Id="rId4" Type="http://schemas.openxmlformats.org/officeDocument/2006/relationships/hyperlink" Target="https://roll20.net/compendium/dnd5e/Leather%20Armor" TargetMode="External"/><Relationship Id="rId9" Type="http://schemas.openxmlformats.org/officeDocument/2006/relationships/hyperlink" Target="https://roll20.net/compendium/dnd5e/Breastplate" TargetMode="External"/><Relationship Id="rId5" Type="http://schemas.openxmlformats.org/officeDocument/2006/relationships/hyperlink" Target="https://roll20.net/compendium/dnd5e/Studded%20Leather%20Armor" TargetMode="External"/><Relationship Id="rId6" Type="http://schemas.openxmlformats.org/officeDocument/2006/relationships/hyperlink" Target="https://roll20.net/compendium/dnd5e/Hide%20Armor" TargetMode="External"/><Relationship Id="rId7" Type="http://schemas.openxmlformats.org/officeDocument/2006/relationships/hyperlink" Target="https://roll20.net/compendium/dnd5e/Chain%20Shirt" TargetMode="External"/><Relationship Id="rId8" Type="http://schemas.openxmlformats.org/officeDocument/2006/relationships/hyperlink" Target="https://roll20.net/compendium/dnd5e/Scale%20Mail"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dnd5e.wikidot.com/wondrous-items:potion-of-healing" TargetMode="External"/><Relationship Id="rId2"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1.29"/>
    <col customWidth="1" min="2" max="3" width="16.57"/>
    <col customWidth="1" min="4" max="4" width="20.43"/>
    <col customWidth="1" min="5" max="5" width="23.71"/>
    <col customWidth="1" min="6" max="6" width="17.57"/>
    <col customWidth="1" min="7" max="7" width="16.0"/>
    <col customWidth="1" min="8" max="8" width="17.0"/>
    <col customWidth="1" min="10" max="10" width="11.14"/>
    <col customWidth="1" min="11" max="11" width="11.0"/>
    <col customWidth="1" min="12" max="12" width="14.43"/>
    <col customWidth="1" min="13" max="13" width="12.0"/>
    <col customWidth="1" min="14" max="14" width="16.29"/>
    <col customWidth="1" min="15" max="15" width="8.57"/>
    <col customWidth="1" min="16" max="16" width="10.0"/>
    <col customWidth="1" min="17" max="17" width="12.0"/>
    <col customWidth="1" min="18" max="18" width="8.71"/>
    <col customWidth="1" min="19" max="19" width="8.0"/>
    <col customWidth="1" min="20" max="20" width="12.71"/>
    <col customWidth="1" min="21" max="21" width="11.57"/>
    <col customWidth="1" min="22" max="22" width="15.71"/>
  </cols>
  <sheetData>
    <row r="1">
      <c r="A1" s="1" t="s">
        <v>0</v>
      </c>
      <c r="B1" s="2" t="s">
        <v>1</v>
      </c>
      <c r="C1" s="3" t="s">
        <v>2</v>
      </c>
      <c r="D1" s="3" t="s">
        <v>3</v>
      </c>
      <c r="E1" s="1" t="s">
        <v>4</v>
      </c>
      <c r="F1" s="2" t="s">
        <v>5</v>
      </c>
      <c r="G1" s="4" t="s">
        <v>6</v>
      </c>
      <c r="H1" s="4" t="s">
        <v>7</v>
      </c>
      <c r="I1" s="2" t="s">
        <v>8</v>
      </c>
      <c r="K1" s="5"/>
      <c r="L1" s="5"/>
      <c r="M1" s="5"/>
      <c r="N1" s="5"/>
      <c r="O1" s="5"/>
      <c r="P1" s="5"/>
      <c r="Q1" s="1" t="s">
        <v>4</v>
      </c>
      <c r="R1" s="2" t="s">
        <v>9</v>
      </c>
      <c r="AI1" s="1" t="s">
        <v>4</v>
      </c>
      <c r="AJ1" s="2" t="s">
        <v>9</v>
      </c>
    </row>
    <row r="2" ht="19.5" customHeight="1">
      <c r="A2" s="6">
        <v>1.0</v>
      </c>
      <c r="B2" s="7">
        <v>2.0</v>
      </c>
      <c r="C2" s="8" t="s">
        <v>10</v>
      </c>
      <c r="D2" s="8" t="s">
        <v>11</v>
      </c>
      <c r="E2" s="6" t="s">
        <v>12</v>
      </c>
      <c r="F2" s="9" t="s">
        <v>13</v>
      </c>
      <c r="G2" s="10" t="s">
        <v>14</v>
      </c>
      <c r="H2" s="10" t="s">
        <v>12</v>
      </c>
      <c r="I2" s="10" t="s">
        <v>12</v>
      </c>
      <c r="K2" s="11"/>
      <c r="L2" s="11"/>
      <c r="M2" s="11"/>
      <c r="N2" s="11"/>
      <c r="O2" s="12"/>
      <c r="P2" s="12"/>
      <c r="Q2" s="6" t="s">
        <v>12</v>
      </c>
      <c r="R2" s="7" t="s">
        <v>15</v>
      </c>
      <c r="AC2" s="13"/>
      <c r="AI2" s="6" t="s">
        <v>12</v>
      </c>
      <c r="AJ2" s="7" t="s">
        <v>15</v>
      </c>
    </row>
    <row r="3" ht="17.25" customHeight="1">
      <c r="A3" s="14">
        <f t="shared" ref="A3:A21" si="1">1+A2</f>
        <v>2</v>
      </c>
      <c r="B3" s="7">
        <v>2.0</v>
      </c>
      <c r="C3" s="15" t="s">
        <v>16</v>
      </c>
      <c r="D3" s="15" t="s">
        <v>17</v>
      </c>
      <c r="E3" s="10" t="s">
        <v>18</v>
      </c>
      <c r="F3" s="16" t="s">
        <v>19</v>
      </c>
      <c r="K3" s="11"/>
      <c r="L3" s="11"/>
      <c r="M3" s="11"/>
      <c r="N3" s="11"/>
      <c r="O3" s="12"/>
      <c r="P3" s="17"/>
      <c r="Q3" s="6" t="s">
        <v>12</v>
      </c>
      <c r="R3" s="7" t="s">
        <v>20</v>
      </c>
      <c r="AC3" s="18"/>
      <c r="AG3" s="10"/>
      <c r="AI3" s="6" t="s">
        <v>12</v>
      </c>
      <c r="AJ3" s="7" t="s">
        <v>20</v>
      </c>
    </row>
    <row r="4">
      <c r="A4" s="14">
        <f t="shared" si="1"/>
        <v>3</v>
      </c>
      <c r="B4" s="7">
        <v>2.0</v>
      </c>
      <c r="C4" s="15" t="s">
        <v>21</v>
      </c>
      <c r="D4" s="15" t="s">
        <v>22</v>
      </c>
      <c r="E4" s="6" t="s">
        <v>23</v>
      </c>
      <c r="F4" s="9" t="s">
        <v>13</v>
      </c>
      <c r="G4" s="10" t="s">
        <v>24</v>
      </c>
      <c r="H4" s="10" t="s">
        <v>25</v>
      </c>
      <c r="I4" s="7">
        <v>1.0</v>
      </c>
      <c r="K4" s="11"/>
      <c r="L4" s="11"/>
      <c r="M4" s="11"/>
      <c r="N4" s="11"/>
      <c r="O4" s="12"/>
      <c r="P4" s="12"/>
      <c r="Q4" s="6" t="s">
        <v>12</v>
      </c>
      <c r="R4" s="7" t="s">
        <v>26</v>
      </c>
      <c r="AC4" s="18"/>
      <c r="AG4" s="10"/>
      <c r="AI4" s="6" t="s">
        <v>12</v>
      </c>
      <c r="AJ4" s="7" t="s">
        <v>26</v>
      </c>
    </row>
    <row r="5">
      <c r="A5" s="14">
        <f t="shared" si="1"/>
        <v>4</v>
      </c>
      <c r="B5" s="7">
        <v>2.0</v>
      </c>
      <c r="C5" s="15" t="s">
        <v>27</v>
      </c>
      <c r="D5" s="15" t="s">
        <v>28</v>
      </c>
      <c r="E5" s="6" t="s">
        <v>29</v>
      </c>
      <c r="F5" s="9" t="s">
        <v>13</v>
      </c>
      <c r="G5" s="10" t="s">
        <v>30</v>
      </c>
      <c r="H5" s="10" t="s">
        <v>31</v>
      </c>
      <c r="I5" s="7">
        <v>1.0</v>
      </c>
      <c r="K5" s="11"/>
      <c r="L5" s="11"/>
      <c r="M5" s="11"/>
      <c r="N5" s="11"/>
      <c r="O5" s="12"/>
      <c r="P5" s="12"/>
      <c r="Q5" s="6" t="s">
        <v>18</v>
      </c>
      <c r="R5" s="7" t="s">
        <v>32</v>
      </c>
      <c r="AC5" s="18"/>
      <c r="AG5" s="10"/>
      <c r="AI5" s="6" t="s">
        <v>18</v>
      </c>
      <c r="AJ5" s="7" t="s">
        <v>32</v>
      </c>
    </row>
    <row r="6" ht="13.5" customHeight="1">
      <c r="A6" s="14">
        <f t="shared" si="1"/>
        <v>5</v>
      </c>
      <c r="B6" s="7">
        <v>3.0</v>
      </c>
      <c r="C6" s="15" t="s">
        <v>33</v>
      </c>
      <c r="D6" s="15" t="s">
        <v>34</v>
      </c>
      <c r="E6" s="6" t="s">
        <v>35</v>
      </c>
      <c r="F6" s="9" t="s">
        <v>13</v>
      </c>
      <c r="G6" s="10" t="s">
        <v>30</v>
      </c>
      <c r="H6" s="10" t="s">
        <v>31</v>
      </c>
      <c r="I6" s="7">
        <v>1.0</v>
      </c>
      <c r="K6" s="11"/>
      <c r="L6" s="11"/>
      <c r="M6" s="11"/>
      <c r="N6" s="11"/>
      <c r="O6" s="11"/>
      <c r="P6" s="12"/>
      <c r="Q6" s="6" t="s">
        <v>18</v>
      </c>
      <c r="R6" s="7" t="s">
        <v>36</v>
      </c>
      <c r="AC6" s="18"/>
      <c r="AG6" s="10"/>
      <c r="AI6" s="6" t="s">
        <v>18</v>
      </c>
      <c r="AJ6" s="7" t="s">
        <v>36</v>
      </c>
    </row>
    <row r="7" ht="16.5" customHeight="1">
      <c r="A7" s="14">
        <f t="shared" si="1"/>
        <v>6</v>
      </c>
      <c r="B7" s="7">
        <v>3.0</v>
      </c>
      <c r="C7" s="15" t="s">
        <v>37</v>
      </c>
      <c r="D7" s="15" t="s">
        <v>38</v>
      </c>
      <c r="E7" s="6" t="s">
        <v>39</v>
      </c>
      <c r="F7" s="19" t="s">
        <v>40</v>
      </c>
      <c r="G7" s="10" t="s">
        <v>14</v>
      </c>
      <c r="H7" s="10" t="s">
        <v>25</v>
      </c>
      <c r="I7" s="7">
        <v>3.0</v>
      </c>
      <c r="K7" s="11"/>
      <c r="L7" s="11"/>
      <c r="M7" s="11"/>
      <c r="N7" s="11"/>
      <c r="O7" s="12"/>
      <c r="P7" s="12"/>
      <c r="Q7" s="6" t="s">
        <v>18</v>
      </c>
      <c r="R7" s="7" t="s">
        <v>41</v>
      </c>
      <c r="AC7" s="18"/>
      <c r="AG7" s="10"/>
      <c r="AI7" s="6" t="s">
        <v>18</v>
      </c>
      <c r="AJ7" s="7" t="s">
        <v>41</v>
      </c>
    </row>
    <row r="8" ht="13.5" customHeight="1">
      <c r="A8" s="14">
        <f t="shared" si="1"/>
        <v>7</v>
      </c>
      <c r="B8" s="7">
        <v>3.0</v>
      </c>
      <c r="C8" s="15" t="s">
        <v>42</v>
      </c>
      <c r="D8" s="15" t="s">
        <v>43</v>
      </c>
      <c r="E8" s="10" t="s">
        <v>44</v>
      </c>
      <c r="F8" s="9" t="s">
        <v>13</v>
      </c>
      <c r="K8" s="11"/>
      <c r="L8" s="11"/>
      <c r="M8" s="11"/>
      <c r="N8" s="11"/>
      <c r="O8" s="12"/>
      <c r="P8" s="12"/>
      <c r="Q8" s="6" t="s">
        <v>18</v>
      </c>
      <c r="R8" s="7" t="s">
        <v>45</v>
      </c>
      <c r="AC8" s="18"/>
      <c r="AG8" s="10"/>
      <c r="AI8" s="6" t="s">
        <v>18</v>
      </c>
      <c r="AJ8" s="7" t="s">
        <v>45</v>
      </c>
    </row>
    <row r="9" ht="15.0" customHeight="1">
      <c r="A9" s="14">
        <f t="shared" si="1"/>
        <v>8</v>
      </c>
      <c r="B9" s="7">
        <v>3.0</v>
      </c>
      <c r="C9" s="15" t="s">
        <v>46</v>
      </c>
      <c r="D9" s="15" t="s">
        <v>47</v>
      </c>
      <c r="E9" s="6" t="s">
        <v>48</v>
      </c>
      <c r="F9" s="20" t="s">
        <v>40</v>
      </c>
      <c r="G9" s="10" t="s">
        <v>24</v>
      </c>
      <c r="H9" s="10" t="s">
        <v>31</v>
      </c>
      <c r="I9" s="7">
        <v>2.0</v>
      </c>
      <c r="K9" s="11"/>
      <c r="L9" s="11"/>
      <c r="M9" s="11"/>
      <c r="N9" s="11"/>
      <c r="O9" s="12"/>
      <c r="P9" s="12"/>
      <c r="Q9" s="6" t="s">
        <v>18</v>
      </c>
      <c r="R9" s="7" t="s">
        <v>49</v>
      </c>
      <c r="AC9" s="18"/>
      <c r="AG9" s="10"/>
      <c r="AI9" s="6" t="s">
        <v>18</v>
      </c>
      <c r="AJ9" s="7" t="s">
        <v>49</v>
      </c>
    </row>
    <row r="10">
      <c r="A10" s="14">
        <f t="shared" si="1"/>
        <v>9</v>
      </c>
      <c r="B10" s="7">
        <v>4.0</v>
      </c>
      <c r="C10" s="15" t="s">
        <v>50</v>
      </c>
      <c r="D10" s="15" t="s">
        <v>51</v>
      </c>
      <c r="E10" s="6" t="s">
        <v>52</v>
      </c>
      <c r="F10" s="20" t="s">
        <v>40</v>
      </c>
      <c r="G10" s="10" t="s">
        <v>30</v>
      </c>
      <c r="H10" s="10" t="s">
        <v>25</v>
      </c>
      <c r="I10" s="7">
        <v>2.0</v>
      </c>
      <c r="K10" s="11"/>
      <c r="L10" s="11"/>
      <c r="M10" s="11"/>
      <c r="N10" s="11"/>
      <c r="O10" s="11"/>
      <c r="P10" s="17"/>
      <c r="Q10" s="6" t="s">
        <v>18</v>
      </c>
      <c r="R10" s="7" t="s">
        <v>53</v>
      </c>
      <c r="AC10" s="18"/>
      <c r="AI10" s="6" t="s">
        <v>18</v>
      </c>
      <c r="AJ10" s="7" t="s">
        <v>53</v>
      </c>
    </row>
    <row r="11" ht="15.0" customHeight="1">
      <c r="A11" s="14">
        <f t="shared" si="1"/>
        <v>10</v>
      </c>
      <c r="B11" s="7">
        <v>4.0</v>
      </c>
      <c r="C11" s="15" t="s">
        <v>54</v>
      </c>
      <c r="D11" s="15" t="s">
        <v>55</v>
      </c>
      <c r="E11" s="6" t="s">
        <v>56</v>
      </c>
      <c r="F11" s="9" t="s">
        <v>13</v>
      </c>
      <c r="G11" s="10" t="s">
        <v>14</v>
      </c>
      <c r="H11" s="10" t="s">
        <v>25</v>
      </c>
      <c r="I11" s="7">
        <v>3.0</v>
      </c>
      <c r="K11" s="11"/>
      <c r="L11" s="11"/>
      <c r="M11" s="11"/>
      <c r="N11" s="11"/>
      <c r="O11" s="12"/>
      <c r="P11" s="12"/>
      <c r="Q11" s="6" t="s">
        <v>23</v>
      </c>
      <c r="R11" s="7" t="s">
        <v>57</v>
      </c>
      <c r="AC11" s="18"/>
      <c r="AI11" s="6" t="s">
        <v>23</v>
      </c>
      <c r="AJ11" s="7" t="s">
        <v>57</v>
      </c>
    </row>
    <row r="12" ht="15.0" customHeight="1">
      <c r="A12" s="14">
        <f t="shared" si="1"/>
        <v>11</v>
      </c>
      <c r="B12" s="7">
        <v>4.0</v>
      </c>
      <c r="C12" s="15" t="s">
        <v>58</v>
      </c>
      <c r="D12" s="15" t="s">
        <v>59</v>
      </c>
      <c r="E12" s="6" t="s">
        <v>60</v>
      </c>
      <c r="F12" s="21" t="s">
        <v>61</v>
      </c>
      <c r="G12" s="10" t="s">
        <v>24</v>
      </c>
      <c r="H12" s="10" t="s">
        <v>25</v>
      </c>
      <c r="I12" s="7">
        <v>1.0</v>
      </c>
      <c r="Q12" s="6" t="s">
        <v>23</v>
      </c>
      <c r="R12" s="7" t="s">
        <v>62</v>
      </c>
      <c r="S12" s="18"/>
      <c r="T12" s="18"/>
      <c r="U12" s="18"/>
      <c r="V12" s="22"/>
      <c r="AC12" s="18"/>
      <c r="AI12" s="6" t="s">
        <v>23</v>
      </c>
      <c r="AJ12" s="7" t="s">
        <v>62</v>
      </c>
    </row>
    <row r="13">
      <c r="A13" s="14">
        <f t="shared" si="1"/>
        <v>12</v>
      </c>
      <c r="B13" s="7">
        <v>4.0</v>
      </c>
      <c r="C13" s="15" t="s">
        <v>63</v>
      </c>
      <c r="D13" s="15" t="s">
        <v>64</v>
      </c>
      <c r="E13" s="6" t="s">
        <v>65</v>
      </c>
      <c r="F13" s="9" t="s">
        <v>13</v>
      </c>
      <c r="G13" s="10" t="s">
        <v>24</v>
      </c>
      <c r="H13" s="10" t="s">
        <v>25</v>
      </c>
      <c r="I13" s="7" t="s">
        <v>65</v>
      </c>
      <c r="Q13" s="6" t="s">
        <v>23</v>
      </c>
      <c r="R13" s="7" t="s">
        <v>66</v>
      </c>
      <c r="S13" s="18"/>
      <c r="T13" s="18"/>
      <c r="U13" s="13"/>
      <c r="V13" s="13"/>
      <c r="AC13" s="18"/>
      <c r="AI13" s="6" t="s">
        <v>23</v>
      </c>
      <c r="AJ13" s="7" t="s">
        <v>66</v>
      </c>
    </row>
    <row r="14">
      <c r="A14" s="14">
        <f t="shared" si="1"/>
        <v>13</v>
      </c>
      <c r="B14" s="7">
        <v>5.0</v>
      </c>
      <c r="C14" s="15" t="s">
        <v>67</v>
      </c>
      <c r="D14" s="15" t="s">
        <v>68</v>
      </c>
      <c r="E14" s="23" t="s">
        <v>69</v>
      </c>
      <c r="F14" s="24" t="s">
        <v>61</v>
      </c>
      <c r="G14" s="25" t="s">
        <v>14</v>
      </c>
      <c r="H14" s="25" t="s">
        <v>31</v>
      </c>
      <c r="I14" s="26">
        <v>1.0</v>
      </c>
      <c r="Q14" s="6" t="s">
        <v>23</v>
      </c>
      <c r="R14" s="7" t="s">
        <v>70</v>
      </c>
      <c r="S14" s="18"/>
      <c r="T14" s="18"/>
      <c r="U14" s="13"/>
      <c r="V14" s="13"/>
      <c r="AC14" s="18"/>
      <c r="AI14" s="6" t="s">
        <v>23</v>
      </c>
      <c r="AJ14" s="7" t="s">
        <v>70</v>
      </c>
    </row>
    <row r="15">
      <c r="A15" s="14">
        <f t="shared" si="1"/>
        <v>14</v>
      </c>
      <c r="B15" s="7">
        <v>5.0</v>
      </c>
      <c r="C15" s="15" t="s">
        <v>71</v>
      </c>
      <c r="D15" s="15" t="s">
        <v>72</v>
      </c>
      <c r="Q15" s="6" t="s">
        <v>23</v>
      </c>
      <c r="R15" s="7" t="s">
        <v>73</v>
      </c>
      <c r="S15" s="18"/>
      <c r="T15" s="18"/>
      <c r="U15" s="13"/>
      <c r="V15" s="13"/>
      <c r="AC15" s="18"/>
      <c r="AI15" s="6" t="s">
        <v>23</v>
      </c>
      <c r="AJ15" s="7" t="s">
        <v>73</v>
      </c>
    </row>
    <row r="16">
      <c r="A16" s="14">
        <f t="shared" si="1"/>
        <v>15</v>
      </c>
      <c r="B16" s="7">
        <v>5.0</v>
      </c>
      <c r="C16" s="15" t="s">
        <v>74</v>
      </c>
      <c r="D16" s="15" t="s">
        <v>75</v>
      </c>
      <c r="Q16" s="6" t="s">
        <v>23</v>
      </c>
      <c r="R16" s="7" t="s">
        <v>76</v>
      </c>
      <c r="S16" s="18"/>
      <c r="T16" s="18"/>
      <c r="U16" s="13"/>
      <c r="V16" s="13"/>
      <c r="AC16" s="18"/>
      <c r="AI16" s="6" t="s">
        <v>23</v>
      </c>
      <c r="AJ16" s="7" t="s">
        <v>76</v>
      </c>
    </row>
    <row r="17">
      <c r="A17" s="14">
        <f t="shared" si="1"/>
        <v>16</v>
      </c>
      <c r="B17" s="7">
        <v>5.0</v>
      </c>
      <c r="C17" s="15" t="s">
        <v>77</v>
      </c>
      <c r="D17" s="15" t="s">
        <v>78</v>
      </c>
      <c r="Q17" s="6" t="s">
        <v>29</v>
      </c>
      <c r="R17" s="7" t="s">
        <v>79</v>
      </c>
      <c r="S17" s="18"/>
      <c r="T17" s="18"/>
      <c r="U17" s="13"/>
      <c r="V17" s="13"/>
      <c r="AC17" s="18"/>
      <c r="AI17" s="6" t="s">
        <v>29</v>
      </c>
      <c r="AJ17" s="7" t="s">
        <v>79</v>
      </c>
    </row>
    <row r="18" ht="15.0" customHeight="1">
      <c r="A18" s="14">
        <f t="shared" si="1"/>
        <v>17</v>
      </c>
      <c r="B18" s="7">
        <v>6.0</v>
      </c>
      <c r="C18" s="15" t="s">
        <v>80</v>
      </c>
      <c r="D18" s="15" t="s">
        <v>81</v>
      </c>
      <c r="Q18" s="6" t="s">
        <v>29</v>
      </c>
      <c r="R18" s="7" t="s">
        <v>82</v>
      </c>
      <c r="S18" s="18"/>
      <c r="T18" s="18"/>
      <c r="U18" s="13"/>
      <c r="V18" s="13"/>
      <c r="AC18" s="18"/>
      <c r="AI18" s="6" t="s">
        <v>29</v>
      </c>
      <c r="AJ18" s="7" t="s">
        <v>82</v>
      </c>
    </row>
    <row r="19" ht="15.75" customHeight="1">
      <c r="A19" s="14">
        <f t="shared" si="1"/>
        <v>18</v>
      </c>
      <c r="B19" s="7">
        <v>6.0</v>
      </c>
      <c r="C19" s="15" t="s">
        <v>83</v>
      </c>
      <c r="D19" s="15" t="s">
        <v>84</v>
      </c>
      <c r="Q19" s="6" t="s">
        <v>29</v>
      </c>
      <c r="R19" s="7" t="s">
        <v>85</v>
      </c>
      <c r="S19" s="18"/>
      <c r="T19" s="18"/>
      <c r="U19" s="13"/>
      <c r="V19" s="13"/>
      <c r="AC19" s="18"/>
      <c r="AI19" s="6" t="s">
        <v>29</v>
      </c>
      <c r="AJ19" s="7" t="s">
        <v>85</v>
      </c>
    </row>
    <row r="20" ht="17.25" customHeight="1">
      <c r="A20" s="14">
        <f t="shared" si="1"/>
        <v>19</v>
      </c>
      <c r="B20" s="7">
        <v>6.0</v>
      </c>
      <c r="C20" s="15" t="s">
        <v>86</v>
      </c>
      <c r="D20" s="15" t="s">
        <v>87</v>
      </c>
      <c r="Q20" s="6" t="s">
        <v>29</v>
      </c>
      <c r="R20" s="7" t="s">
        <v>88</v>
      </c>
      <c r="S20" s="18"/>
      <c r="T20" s="18"/>
      <c r="U20" s="13"/>
      <c r="V20" s="13"/>
      <c r="AC20" s="18"/>
      <c r="AI20" s="6" t="s">
        <v>29</v>
      </c>
      <c r="AJ20" s="7" t="s">
        <v>88</v>
      </c>
    </row>
    <row r="21">
      <c r="A21" s="27">
        <f t="shared" si="1"/>
        <v>20</v>
      </c>
      <c r="B21" s="26">
        <v>6.0</v>
      </c>
      <c r="C21" s="15" t="s">
        <v>89</v>
      </c>
      <c r="D21" s="15" t="s">
        <v>90</v>
      </c>
      <c r="Q21" s="6" t="s">
        <v>29</v>
      </c>
      <c r="R21" s="7" t="s">
        <v>91</v>
      </c>
      <c r="S21" s="18"/>
      <c r="T21" s="18"/>
      <c r="U21" s="13"/>
      <c r="V21" s="13"/>
      <c r="AC21" s="18"/>
      <c r="AI21" s="6" t="s">
        <v>29</v>
      </c>
      <c r="AJ21" s="7" t="s">
        <v>91</v>
      </c>
    </row>
    <row r="22">
      <c r="C22" s="15" t="s">
        <v>92</v>
      </c>
      <c r="D22" s="15" t="s">
        <v>93</v>
      </c>
      <c r="Q22" s="6" t="s">
        <v>29</v>
      </c>
      <c r="R22" s="7" t="s">
        <v>94</v>
      </c>
      <c r="S22" s="18"/>
      <c r="T22" s="18"/>
      <c r="U22" s="13"/>
      <c r="V22" s="13"/>
      <c r="AC22" s="18"/>
      <c r="AI22" s="6" t="s">
        <v>29</v>
      </c>
      <c r="AJ22" s="7" t="s">
        <v>94</v>
      </c>
    </row>
    <row r="23">
      <c r="C23" s="15" t="s">
        <v>95</v>
      </c>
      <c r="D23" s="15" t="s">
        <v>96</v>
      </c>
      <c r="Q23" s="6" t="s">
        <v>29</v>
      </c>
      <c r="R23" s="7" t="s">
        <v>97</v>
      </c>
      <c r="S23" s="18"/>
      <c r="T23" s="18"/>
      <c r="U23" s="13"/>
      <c r="V23" s="13"/>
      <c r="AC23" s="18"/>
      <c r="AI23" s="6" t="s">
        <v>29</v>
      </c>
      <c r="AJ23" s="7" t="s">
        <v>97</v>
      </c>
    </row>
    <row r="24" ht="13.5" customHeight="1">
      <c r="C24" s="15" t="s">
        <v>98</v>
      </c>
      <c r="D24" s="15" t="s">
        <v>99</v>
      </c>
      <c r="Q24" s="6" t="s">
        <v>29</v>
      </c>
      <c r="R24" s="7" t="s">
        <v>100</v>
      </c>
      <c r="S24" s="18"/>
      <c r="T24" s="18"/>
      <c r="U24" s="13"/>
      <c r="V24" s="13"/>
      <c r="AC24" s="13"/>
      <c r="AI24" s="6" t="s">
        <v>29</v>
      </c>
      <c r="AJ24" s="7" t="s">
        <v>100</v>
      </c>
    </row>
    <row r="25">
      <c r="C25" s="15" t="s">
        <v>101</v>
      </c>
      <c r="D25" s="15" t="s">
        <v>102</v>
      </c>
      <c r="Q25" s="6" t="s">
        <v>29</v>
      </c>
      <c r="R25" s="7" t="s">
        <v>103</v>
      </c>
      <c r="S25" s="18"/>
      <c r="T25" s="18"/>
      <c r="U25" s="13"/>
      <c r="V25" s="13"/>
      <c r="AC25" s="13"/>
      <c r="AI25" s="6" t="s">
        <v>29</v>
      </c>
      <c r="AJ25" s="7" t="s">
        <v>103</v>
      </c>
    </row>
    <row r="26">
      <c r="C26" s="15" t="s">
        <v>104</v>
      </c>
      <c r="D26" s="15" t="s">
        <v>105</v>
      </c>
      <c r="Q26" s="6" t="s">
        <v>29</v>
      </c>
      <c r="R26" s="7" t="s">
        <v>106</v>
      </c>
      <c r="S26" s="18"/>
      <c r="T26" s="18"/>
      <c r="U26" s="13"/>
      <c r="V26" s="13"/>
      <c r="AC26" s="13"/>
      <c r="AI26" s="6" t="s">
        <v>29</v>
      </c>
      <c r="AJ26" s="7" t="s">
        <v>106</v>
      </c>
    </row>
    <row r="27" ht="18.75" customHeight="1">
      <c r="C27" s="15" t="s">
        <v>107</v>
      </c>
      <c r="D27" s="15" t="s">
        <v>108</v>
      </c>
      <c r="Q27" s="6" t="s">
        <v>29</v>
      </c>
      <c r="R27" s="7" t="s">
        <v>109</v>
      </c>
      <c r="S27" s="18"/>
      <c r="T27" s="18"/>
      <c r="U27" s="13"/>
      <c r="V27" s="13"/>
      <c r="AC27" s="13"/>
      <c r="AI27" s="6" t="s">
        <v>29</v>
      </c>
      <c r="AJ27" s="7" t="s">
        <v>109</v>
      </c>
    </row>
    <row r="28">
      <c r="C28" s="15" t="s">
        <v>110</v>
      </c>
      <c r="D28" s="15" t="s">
        <v>111</v>
      </c>
      <c r="Q28" s="6" t="s">
        <v>29</v>
      </c>
      <c r="R28" s="7" t="s">
        <v>112</v>
      </c>
      <c r="S28" s="18"/>
      <c r="T28" s="18"/>
      <c r="U28" s="18"/>
      <c r="V28" s="13"/>
      <c r="AC28" s="13"/>
      <c r="AI28" s="6" t="s">
        <v>29</v>
      </c>
      <c r="AJ28" s="7" t="s">
        <v>112</v>
      </c>
    </row>
    <row r="29">
      <c r="C29" s="15" t="s">
        <v>113</v>
      </c>
      <c r="D29" s="15" t="s">
        <v>114</v>
      </c>
      <c r="Q29" s="6" t="s">
        <v>29</v>
      </c>
      <c r="R29" s="7" t="s">
        <v>115</v>
      </c>
      <c r="S29" s="18"/>
      <c r="T29" s="18"/>
      <c r="U29" s="13"/>
      <c r="V29" s="13"/>
      <c r="Z29" s="10"/>
      <c r="AB29" s="10"/>
      <c r="AC29" s="18"/>
      <c r="AI29" s="6" t="s">
        <v>29</v>
      </c>
      <c r="AJ29" s="7" t="s">
        <v>115</v>
      </c>
    </row>
    <row r="30" ht="14.25" customHeight="1">
      <c r="C30" s="15" t="s">
        <v>116</v>
      </c>
      <c r="D30" s="15" t="s">
        <v>117</v>
      </c>
      <c r="Q30" s="6" t="s">
        <v>29</v>
      </c>
      <c r="R30" s="7" t="s">
        <v>118</v>
      </c>
      <c r="S30" s="18"/>
      <c r="T30" s="18"/>
      <c r="U30" s="13"/>
      <c r="V30" s="13"/>
      <c r="AC30" s="13"/>
      <c r="AI30" s="6" t="s">
        <v>29</v>
      </c>
      <c r="AJ30" s="7" t="s">
        <v>118</v>
      </c>
    </row>
    <row r="31">
      <c r="C31" s="15" t="s">
        <v>119</v>
      </c>
      <c r="D31" s="15" t="s">
        <v>120</v>
      </c>
      <c r="Q31" s="6" t="s">
        <v>29</v>
      </c>
      <c r="R31" s="7" t="s">
        <v>121</v>
      </c>
      <c r="S31" s="18"/>
      <c r="T31" s="18"/>
      <c r="U31" s="13"/>
      <c r="V31" s="22"/>
      <c r="AC31" s="13"/>
      <c r="AI31" s="6" t="s">
        <v>29</v>
      </c>
      <c r="AJ31" s="7" t="s">
        <v>121</v>
      </c>
    </row>
    <row r="32" ht="12.75" customHeight="1">
      <c r="C32" s="15" t="s">
        <v>122</v>
      </c>
      <c r="D32" s="15" t="s">
        <v>123</v>
      </c>
      <c r="Q32" s="6" t="s">
        <v>29</v>
      </c>
      <c r="R32" s="7" t="s">
        <v>124</v>
      </c>
      <c r="S32" s="18"/>
      <c r="T32" s="18"/>
      <c r="U32" s="13"/>
      <c r="V32" s="13"/>
      <c r="AD32" s="13"/>
      <c r="AI32" s="6" t="s">
        <v>29</v>
      </c>
      <c r="AJ32" s="7" t="s">
        <v>124</v>
      </c>
    </row>
    <row r="33">
      <c r="C33" s="15" t="s">
        <v>125</v>
      </c>
      <c r="D33" s="15" t="s">
        <v>126</v>
      </c>
      <c r="Q33" s="6" t="s">
        <v>29</v>
      </c>
      <c r="R33" s="7" t="s">
        <v>127</v>
      </c>
      <c r="S33" s="18"/>
      <c r="T33" s="18"/>
      <c r="U33" s="13"/>
      <c r="V33" s="13"/>
      <c r="AD33" s="13"/>
      <c r="AI33" s="6" t="s">
        <v>29</v>
      </c>
      <c r="AJ33" s="7" t="s">
        <v>127</v>
      </c>
    </row>
    <row r="34" ht="18.75" customHeight="1">
      <c r="C34" s="15" t="s">
        <v>128</v>
      </c>
      <c r="D34" s="15" t="s">
        <v>129</v>
      </c>
      <c r="Q34" s="6" t="s">
        <v>35</v>
      </c>
      <c r="R34" s="7" t="s">
        <v>130</v>
      </c>
      <c r="S34" s="18"/>
      <c r="T34" s="18"/>
      <c r="U34" s="13"/>
      <c r="V34" s="22"/>
      <c r="AD34" s="13"/>
      <c r="AI34" s="6" t="s">
        <v>35</v>
      </c>
      <c r="AJ34" s="7" t="s">
        <v>130</v>
      </c>
    </row>
    <row r="35">
      <c r="C35" s="15" t="s">
        <v>131</v>
      </c>
      <c r="D35" s="15" t="s">
        <v>132</v>
      </c>
      <c r="Q35" s="6" t="s">
        <v>35</v>
      </c>
      <c r="R35" s="7" t="s">
        <v>133</v>
      </c>
      <c r="AD35" s="13"/>
      <c r="AI35" s="6" t="s">
        <v>35</v>
      </c>
      <c r="AJ35" s="7" t="s">
        <v>133</v>
      </c>
    </row>
    <row r="36">
      <c r="C36" s="15" t="s">
        <v>134</v>
      </c>
      <c r="D36" s="15" t="s">
        <v>135</v>
      </c>
      <c r="Q36" s="6" t="s">
        <v>35</v>
      </c>
      <c r="R36" s="7" t="s">
        <v>136</v>
      </c>
      <c r="AD36" s="13"/>
      <c r="AI36" s="6" t="s">
        <v>35</v>
      </c>
      <c r="AJ36" s="7" t="s">
        <v>136</v>
      </c>
    </row>
    <row r="37">
      <c r="C37" s="15" t="s">
        <v>137</v>
      </c>
      <c r="D37" s="15" t="s">
        <v>138</v>
      </c>
      <c r="Q37" s="6" t="s">
        <v>35</v>
      </c>
      <c r="R37" s="7" t="s">
        <v>139</v>
      </c>
      <c r="AD37" s="13"/>
      <c r="AI37" s="6" t="s">
        <v>35</v>
      </c>
      <c r="AJ37" s="7" t="s">
        <v>139</v>
      </c>
    </row>
    <row r="38">
      <c r="C38" s="15" t="s">
        <v>140</v>
      </c>
      <c r="D38" s="15" t="s">
        <v>141</v>
      </c>
      <c r="Q38" s="6" t="s">
        <v>35</v>
      </c>
      <c r="R38" s="7" t="s">
        <v>142</v>
      </c>
      <c r="AD38" s="13"/>
      <c r="AI38" s="6" t="s">
        <v>35</v>
      </c>
      <c r="AJ38" s="7" t="s">
        <v>142</v>
      </c>
    </row>
    <row r="39">
      <c r="C39" s="15" t="s">
        <v>143</v>
      </c>
      <c r="D39" s="15" t="s">
        <v>144</v>
      </c>
      <c r="Q39" s="6" t="s">
        <v>35</v>
      </c>
      <c r="R39" s="7" t="s">
        <v>145</v>
      </c>
      <c r="AD39" s="13"/>
      <c r="AI39" s="6" t="s">
        <v>35</v>
      </c>
      <c r="AJ39" s="7" t="s">
        <v>145</v>
      </c>
    </row>
    <row r="40">
      <c r="C40" s="15" t="s">
        <v>146</v>
      </c>
      <c r="D40" s="15" t="s">
        <v>147</v>
      </c>
      <c r="Q40" s="6" t="s">
        <v>39</v>
      </c>
      <c r="R40" s="7" t="s">
        <v>148</v>
      </c>
      <c r="AD40" s="13"/>
      <c r="AI40" s="6" t="s">
        <v>39</v>
      </c>
      <c r="AJ40" s="7" t="s">
        <v>148</v>
      </c>
    </row>
    <row r="41">
      <c r="C41" s="15" t="s">
        <v>149</v>
      </c>
      <c r="D41" s="15" t="s">
        <v>150</v>
      </c>
      <c r="Q41" s="6" t="s">
        <v>39</v>
      </c>
      <c r="R41" s="7" t="s">
        <v>151</v>
      </c>
      <c r="AD41" s="13"/>
      <c r="AI41" s="6" t="s">
        <v>39</v>
      </c>
      <c r="AJ41" s="7" t="s">
        <v>151</v>
      </c>
    </row>
    <row r="42">
      <c r="C42" s="15" t="s">
        <v>152</v>
      </c>
      <c r="D42" s="15" t="s">
        <v>153</v>
      </c>
      <c r="Q42" s="6" t="s">
        <v>39</v>
      </c>
      <c r="R42" s="7" t="s">
        <v>154</v>
      </c>
      <c r="AD42" s="13"/>
      <c r="AI42" s="6" t="s">
        <v>39</v>
      </c>
      <c r="AJ42" s="7" t="s">
        <v>154</v>
      </c>
    </row>
    <row r="43">
      <c r="C43" s="15" t="s">
        <v>155</v>
      </c>
      <c r="D43" s="15" t="s">
        <v>156</v>
      </c>
      <c r="Q43" s="6" t="s">
        <v>39</v>
      </c>
      <c r="R43" s="7" t="s">
        <v>157</v>
      </c>
      <c r="AD43" s="13"/>
      <c r="AI43" s="6" t="s">
        <v>39</v>
      </c>
      <c r="AJ43" s="7" t="s">
        <v>157</v>
      </c>
    </row>
    <row r="44">
      <c r="C44" s="15" t="s">
        <v>158</v>
      </c>
      <c r="D44" s="15" t="s">
        <v>159</v>
      </c>
      <c r="Q44" s="6" t="s">
        <v>39</v>
      </c>
      <c r="R44" s="7" t="s">
        <v>160</v>
      </c>
      <c r="AD44" s="13"/>
      <c r="AI44" s="6" t="s">
        <v>39</v>
      </c>
      <c r="AJ44" s="7" t="s">
        <v>160</v>
      </c>
    </row>
    <row r="45">
      <c r="C45" s="15" t="s">
        <v>161</v>
      </c>
      <c r="D45" s="15" t="s">
        <v>162</v>
      </c>
      <c r="Q45" s="6" t="s">
        <v>39</v>
      </c>
      <c r="R45" s="7" t="s">
        <v>163</v>
      </c>
      <c r="AD45" s="13"/>
      <c r="AI45" s="6" t="s">
        <v>39</v>
      </c>
      <c r="AJ45" s="7" t="s">
        <v>163</v>
      </c>
    </row>
    <row r="46">
      <c r="C46" s="15" t="s">
        <v>164</v>
      </c>
      <c r="D46" s="15" t="s">
        <v>165</v>
      </c>
      <c r="Q46" s="6" t="s">
        <v>39</v>
      </c>
      <c r="R46" s="7" t="s">
        <v>166</v>
      </c>
      <c r="AD46" s="13"/>
      <c r="AI46" s="6" t="s">
        <v>39</v>
      </c>
      <c r="AJ46" s="7" t="s">
        <v>166</v>
      </c>
    </row>
    <row r="47">
      <c r="C47" s="15" t="s">
        <v>167</v>
      </c>
      <c r="D47" s="15" t="s">
        <v>168</v>
      </c>
      <c r="Q47" s="6" t="s">
        <v>39</v>
      </c>
      <c r="R47" s="7" t="s">
        <v>169</v>
      </c>
      <c r="AD47" s="13"/>
      <c r="AI47" s="6" t="s">
        <v>39</v>
      </c>
      <c r="AJ47" s="7" t="s">
        <v>169</v>
      </c>
    </row>
    <row r="48">
      <c r="C48" s="15" t="s">
        <v>170</v>
      </c>
      <c r="D48" s="15" t="s">
        <v>171</v>
      </c>
      <c r="Q48" s="6" t="s">
        <v>39</v>
      </c>
      <c r="R48" s="7" t="s">
        <v>172</v>
      </c>
      <c r="AD48" s="13"/>
      <c r="AI48" s="6" t="s">
        <v>39</v>
      </c>
      <c r="AJ48" s="7" t="s">
        <v>172</v>
      </c>
    </row>
    <row r="49">
      <c r="C49" s="15" t="s">
        <v>173</v>
      </c>
      <c r="D49" s="15" t="s">
        <v>174</v>
      </c>
      <c r="Q49" s="6" t="s">
        <v>39</v>
      </c>
      <c r="R49" s="7" t="s">
        <v>175</v>
      </c>
      <c r="AD49" s="13"/>
      <c r="AI49" s="6" t="s">
        <v>39</v>
      </c>
      <c r="AJ49" s="7" t="s">
        <v>175</v>
      </c>
    </row>
    <row r="50">
      <c r="C50" s="15" t="s">
        <v>176</v>
      </c>
      <c r="D50" s="15" t="s">
        <v>177</v>
      </c>
      <c r="Q50" s="6" t="s">
        <v>39</v>
      </c>
      <c r="R50" s="7" t="s">
        <v>178</v>
      </c>
      <c r="AD50" s="13"/>
      <c r="AI50" s="6" t="s">
        <v>39</v>
      </c>
      <c r="AJ50" s="7" t="s">
        <v>178</v>
      </c>
    </row>
    <row r="51">
      <c r="C51" s="15" t="s">
        <v>179</v>
      </c>
      <c r="D51" s="15" t="s">
        <v>180</v>
      </c>
      <c r="Q51" s="6" t="s">
        <v>39</v>
      </c>
      <c r="R51" s="7" t="s">
        <v>181</v>
      </c>
      <c r="AD51" s="13"/>
      <c r="AI51" s="6" t="s">
        <v>39</v>
      </c>
      <c r="AJ51" s="7" t="s">
        <v>181</v>
      </c>
    </row>
    <row r="52">
      <c r="C52" s="15" t="s">
        <v>182</v>
      </c>
      <c r="D52" s="15" t="s">
        <v>183</v>
      </c>
      <c r="Q52" s="6" t="s">
        <v>44</v>
      </c>
      <c r="R52" s="7" t="s">
        <v>184</v>
      </c>
      <c r="AG52" s="13"/>
      <c r="AI52" s="6" t="s">
        <v>44</v>
      </c>
      <c r="AJ52" s="7" t="s">
        <v>184</v>
      </c>
    </row>
    <row r="53">
      <c r="C53" s="15" t="s">
        <v>185</v>
      </c>
      <c r="D53" s="15" t="s">
        <v>186</v>
      </c>
      <c r="Q53" s="6" t="s">
        <v>44</v>
      </c>
      <c r="R53" s="7" t="s">
        <v>187</v>
      </c>
      <c r="AI53" s="6" t="s">
        <v>44</v>
      </c>
      <c r="AJ53" s="7" t="s">
        <v>187</v>
      </c>
    </row>
    <row r="54">
      <c r="C54" s="15" t="s">
        <v>188</v>
      </c>
      <c r="D54" s="15" t="s">
        <v>189</v>
      </c>
      <c r="Q54" s="6" t="s">
        <v>44</v>
      </c>
      <c r="R54" s="7" t="s">
        <v>190</v>
      </c>
      <c r="AI54" s="6" t="s">
        <v>44</v>
      </c>
      <c r="AJ54" s="7" t="s">
        <v>190</v>
      </c>
    </row>
    <row r="55">
      <c r="C55" s="15" t="s">
        <v>191</v>
      </c>
      <c r="D55" s="15" t="s">
        <v>192</v>
      </c>
      <c r="Q55" s="6" t="s">
        <v>44</v>
      </c>
      <c r="R55" s="7" t="s">
        <v>193</v>
      </c>
      <c r="AI55" s="6" t="s">
        <v>44</v>
      </c>
      <c r="AJ55" s="7" t="s">
        <v>193</v>
      </c>
    </row>
    <row r="56">
      <c r="C56" s="15" t="s">
        <v>194</v>
      </c>
      <c r="D56" s="15" t="s">
        <v>195</v>
      </c>
      <c r="Q56" s="6" t="s">
        <v>44</v>
      </c>
      <c r="R56" s="7" t="s">
        <v>196</v>
      </c>
      <c r="AI56" s="6" t="s">
        <v>44</v>
      </c>
      <c r="AJ56" s="7" t="s">
        <v>196</v>
      </c>
    </row>
    <row r="57">
      <c r="C57" s="15" t="s">
        <v>197</v>
      </c>
      <c r="D57" s="15" t="s">
        <v>198</v>
      </c>
      <c r="Q57" s="6" t="s">
        <v>44</v>
      </c>
      <c r="R57" s="7" t="s">
        <v>199</v>
      </c>
      <c r="AI57" s="6" t="s">
        <v>44</v>
      </c>
      <c r="AJ57" s="7" t="s">
        <v>199</v>
      </c>
    </row>
    <row r="58">
      <c r="C58" s="15" t="s">
        <v>200</v>
      </c>
      <c r="D58" s="15" t="s">
        <v>201</v>
      </c>
      <c r="Q58" s="6" t="s">
        <v>44</v>
      </c>
      <c r="R58" s="7" t="s">
        <v>202</v>
      </c>
      <c r="AI58" s="6" t="s">
        <v>44</v>
      </c>
      <c r="AJ58" s="7" t="s">
        <v>202</v>
      </c>
    </row>
    <row r="59">
      <c r="C59" s="15" t="s">
        <v>203</v>
      </c>
      <c r="D59" s="15" t="s">
        <v>204</v>
      </c>
      <c r="Q59" s="6" t="s">
        <v>44</v>
      </c>
      <c r="R59" s="7" t="s">
        <v>205</v>
      </c>
      <c r="AI59" s="6" t="s">
        <v>44</v>
      </c>
      <c r="AJ59" s="7" t="s">
        <v>205</v>
      </c>
    </row>
    <row r="60">
      <c r="C60" s="15" t="s">
        <v>206</v>
      </c>
      <c r="D60" s="15" t="s">
        <v>207</v>
      </c>
      <c r="Q60" s="6" t="s">
        <v>44</v>
      </c>
      <c r="R60" s="7" t="s">
        <v>208</v>
      </c>
      <c r="AI60" s="6" t="s">
        <v>44</v>
      </c>
      <c r="AJ60" s="7" t="s">
        <v>208</v>
      </c>
    </row>
    <row r="61">
      <c r="C61" s="15" t="s">
        <v>209</v>
      </c>
      <c r="D61" s="15" t="s">
        <v>210</v>
      </c>
      <c r="Q61" s="6" t="s">
        <v>48</v>
      </c>
      <c r="R61" s="7" t="s">
        <v>211</v>
      </c>
      <c r="AI61" s="6" t="s">
        <v>48</v>
      </c>
      <c r="AJ61" s="7" t="s">
        <v>211</v>
      </c>
    </row>
    <row r="62">
      <c r="C62" s="15" t="s">
        <v>212</v>
      </c>
      <c r="D62" s="15" t="s">
        <v>213</v>
      </c>
      <c r="Q62" s="6" t="s">
        <v>48</v>
      </c>
      <c r="R62" s="7" t="s">
        <v>214</v>
      </c>
      <c r="AI62" s="6" t="s">
        <v>48</v>
      </c>
      <c r="AJ62" s="7" t="s">
        <v>214</v>
      </c>
    </row>
    <row r="63">
      <c r="C63" s="15" t="s">
        <v>215</v>
      </c>
      <c r="D63" s="15" t="s">
        <v>216</v>
      </c>
      <c r="Q63" s="6" t="s">
        <v>48</v>
      </c>
      <c r="R63" s="7" t="s">
        <v>217</v>
      </c>
      <c r="AI63" s="6" t="s">
        <v>48</v>
      </c>
      <c r="AJ63" s="7" t="s">
        <v>217</v>
      </c>
    </row>
    <row r="64">
      <c r="C64" s="15" t="s">
        <v>218</v>
      </c>
      <c r="D64" s="15" t="s">
        <v>219</v>
      </c>
      <c r="Q64" s="6" t="s">
        <v>48</v>
      </c>
      <c r="R64" s="7" t="s">
        <v>220</v>
      </c>
      <c r="AI64" s="6" t="s">
        <v>48</v>
      </c>
      <c r="AJ64" s="7" t="s">
        <v>220</v>
      </c>
    </row>
    <row r="65">
      <c r="C65" s="15" t="s">
        <v>221</v>
      </c>
      <c r="D65" s="15" t="s">
        <v>222</v>
      </c>
      <c r="Q65" s="6" t="s">
        <v>48</v>
      </c>
      <c r="R65" s="7" t="s">
        <v>223</v>
      </c>
      <c r="AI65" s="6" t="s">
        <v>48</v>
      </c>
      <c r="AJ65" s="7" t="s">
        <v>223</v>
      </c>
    </row>
    <row r="66">
      <c r="C66" s="15" t="s">
        <v>224</v>
      </c>
      <c r="D66" s="15" t="s">
        <v>225</v>
      </c>
      <c r="Q66" s="6" t="s">
        <v>48</v>
      </c>
      <c r="R66" s="7" t="s">
        <v>226</v>
      </c>
      <c r="AI66" s="6" t="s">
        <v>48</v>
      </c>
      <c r="AJ66" s="7" t="s">
        <v>226</v>
      </c>
    </row>
    <row r="67">
      <c r="C67" s="15" t="s">
        <v>227</v>
      </c>
      <c r="D67" s="15" t="s">
        <v>228</v>
      </c>
      <c r="Q67" s="6" t="s">
        <v>48</v>
      </c>
      <c r="R67" s="7" t="s">
        <v>229</v>
      </c>
      <c r="AI67" s="6" t="s">
        <v>48</v>
      </c>
      <c r="AJ67" s="7" t="s">
        <v>229</v>
      </c>
    </row>
    <row r="68">
      <c r="C68" s="15" t="s">
        <v>230</v>
      </c>
      <c r="D68" s="15" t="s">
        <v>231</v>
      </c>
      <c r="Q68" s="6" t="s">
        <v>48</v>
      </c>
      <c r="R68" s="7" t="s">
        <v>232</v>
      </c>
      <c r="AI68" s="6" t="s">
        <v>48</v>
      </c>
      <c r="AJ68" s="7" t="s">
        <v>232</v>
      </c>
    </row>
    <row r="69">
      <c r="C69" s="15" t="s">
        <v>233</v>
      </c>
      <c r="D69" s="15" t="s">
        <v>234</v>
      </c>
      <c r="Q69" s="6" t="s">
        <v>52</v>
      </c>
      <c r="R69" s="7" t="s">
        <v>235</v>
      </c>
      <c r="AI69" s="6" t="s">
        <v>52</v>
      </c>
      <c r="AJ69" s="7" t="s">
        <v>235</v>
      </c>
    </row>
    <row r="70">
      <c r="C70" s="15" t="s">
        <v>236</v>
      </c>
      <c r="D70" s="15" t="s">
        <v>237</v>
      </c>
      <c r="Q70" s="6" t="s">
        <v>52</v>
      </c>
      <c r="R70" s="7" t="s">
        <v>238</v>
      </c>
      <c r="AI70" s="6" t="s">
        <v>52</v>
      </c>
      <c r="AJ70" s="7" t="s">
        <v>238</v>
      </c>
    </row>
    <row r="71">
      <c r="C71" s="15" t="s">
        <v>239</v>
      </c>
      <c r="D71" s="15" t="s">
        <v>240</v>
      </c>
      <c r="Q71" s="6" t="s">
        <v>52</v>
      </c>
      <c r="R71" s="7" t="s">
        <v>241</v>
      </c>
      <c r="AI71" s="6" t="s">
        <v>52</v>
      </c>
      <c r="AJ71" s="7" t="s">
        <v>241</v>
      </c>
    </row>
    <row r="72">
      <c r="C72" s="15" t="s">
        <v>242</v>
      </c>
      <c r="D72" s="15" t="s">
        <v>243</v>
      </c>
      <c r="F72" s="1"/>
      <c r="G72" s="4"/>
      <c r="H72" s="28"/>
      <c r="I72" s="28"/>
      <c r="J72" s="28"/>
      <c r="K72" s="28"/>
      <c r="L72" s="28"/>
      <c r="M72" s="28"/>
      <c r="N72" s="28"/>
      <c r="O72" s="29"/>
      <c r="Q72" s="6" t="s">
        <v>52</v>
      </c>
      <c r="R72" s="7" t="s">
        <v>244</v>
      </c>
      <c r="AI72" s="6" t="s">
        <v>52</v>
      </c>
      <c r="AJ72" s="7" t="s">
        <v>244</v>
      </c>
    </row>
    <row r="73">
      <c r="C73" s="15" t="s">
        <v>245</v>
      </c>
      <c r="D73" s="15" t="s">
        <v>246</v>
      </c>
      <c r="F73" s="30"/>
      <c r="G73" s="31"/>
      <c r="H73" s="31"/>
      <c r="I73" s="31"/>
      <c r="J73" s="31"/>
      <c r="K73" s="31"/>
      <c r="L73" s="31"/>
      <c r="M73" s="31"/>
      <c r="N73" s="31"/>
      <c r="O73" s="32"/>
      <c r="Q73" s="6" t="s">
        <v>52</v>
      </c>
      <c r="R73" s="7" t="s">
        <v>247</v>
      </c>
      <c r="AI73" s="6" t="s">
        <v>52</v>
      </c>
      <c r="AJ73" s="7" t="s">
        <v>247</v>
      </c>
    </row>
    <row r="74">
      <c r="C74" s="15" t="s">
        <v>248</v>
      </c>
      <c r="D74" s="15" t="s">
        <v>249</v>
      </c>
      <c r="F74" s="6"/>
      <c r="O74" s="7"/>
      <c r="Q74" s="6" t="s">
        <v>52</v>
      </c>
      <c r="R74" s="7" t="s">
        <v>250</v>
      </c>
      <c r="AI74" s="6" t="s">
        <v>52</v>
      </c>
      <c r="AJ74" s="7" t="s">
        <v>250</v>
      </c>
    </row>
    <row r="75">
      <c r="C75" s="15" t="s">
        <v>251</v>
      </c>
      <c r="D75" s="15" t="s">
        <v>252</v>
      </c>
      <c r="F75" s="14"/>
      <c r="O75" s="7"/>
      <c r="Q75" s="6" t="s">
        <v>56</v>
      </c>
      <c r="R75" s="7" t="s">
        <v>253</v>
      </c>
      <c r="AI75" s="6" t="s">
        <v>56</v>
      </c>
      <c r="AJ75" s="7" t="s">
        <v>253</v>
      </c>
    </row>
    <row r="76">
      <c r="C76" s="15" t="s">
        <v>254</v>
      </c>
      <c r="D76" s="15" t="s">
        <v>255</v>
      </c>
      <c r="F76" s="14"/>
      <c r="O76" s="7"/>
      <c r="Q76" s="6" t="s">
        <v>56</v>
      </c>
      <c r="R76" s="7" t="s">
        <v>256</v>
      </c>
      <c r="AI76" s="6" t="s">
        <v>56</v>
      </c>
      <c r="AJ76" s="7" t="s">
        <v>256</v>
      </c>
    </row>
    <row r="77">
      <c r="C77" s="15" t="s">
        <v>257</v>
      </c>
      <c r="D77" s="15" t="s">
        <v>258</v>
      </c>
      <c r="F77" s="14"/>
      <c r="O77" s="7"/>
      <c r="Q77" s="6" t="s">
        <v>56</v>
      </c>
      <c r="R77" s="7" t="s">
        <v>259</v>
      </c>
      <c r="AI77" s="6" t="s">
        <v>56</v>
      </c>
      <c r="AJ77" s="7" t="s">
        <v>259</v>
      </c>
    </row>
    <row r="78">
      <c r="C78" s="15" t="s">
        <v>260</v>
      </c>
      <c r="D78" s="15" t="s">
        <v>261</v>
      </c>
      <c r="F78" s="14"/>
      <c r="O78" s="7"/>
      <c r="Q78" s="6" t="s">
        <v>56</v>
      </c>
      <c r="R78" s="7" t="s">
        <v>262</v>
      </c>
      <c r="AI78" s="6" t="s">
        <v>56</v>
      </c>
      <c r="AJ78" s="7" t="s">
        <v>262</v>
      </c>
    </row>
    <row r="79">
      <c r="C79" s="15" t="s">
        <v>263</v>
      </c>
      <c r="D79" s="15" t="s">
        <v>264</v>
      </c>
      <c r="F79" s="14"/>
      <c r="O79" s="7"/>
      <c r="Q79" s="6" t="s">
        <v>56</v>
      </c>
      <c r="R79" s="7" t="s">
        <v>178</v>
      </c>
      <c r="AI79" s="6" t="s">
        <v>56</v>
      </c>
      <c r="AJ79" s="7" t="s">
        <v>178</v>
      </c>
    </row>
    <row r="80">
      <c r="C80" s="15" t="s">
        <v>265</v>
      </c>
      <c r="D80" s="15" t="s">
        <v>266</v>
      </c>
      <c r="F80" s="14"/>
      <c r="O80" s="7"/>
      <c r="Q80" s="6" t="s">
        <v>56</v>
      </c>
      <c r="R80" s="7" t="s">
        <v>267</v>
      </c>
      <c r="AI80" s="6" t="s">
        <v>56</v>
      </c>
      <c r="AJ80" s="7" t="s">
        <v>267</v>
      </c>
    </row>
    <row r="81">
      <c r="C81" s="15" t="s">
        <v>268</v>
      </c>
      <c r="D81" s="15" t="s">
        <v>269</v>
      </c>
      <c r="F81" s="14"/>
      <c r="O81" s="7"/>
      <c r="Q81" s="6" t="s">
        <v>56</v>
      </c>
      <c r="R81" s="7" t="s">
        <v>270</v>
      </c>
      <c r="AI81" s="6" t="s">
        <v>56</v>
      </c>
      <c r="AJ81" s="7" t="s">
        <v>270</v>
      </c>
    </row>
    <row r="82">
      <c r="C82" s="15" t="s">
        <v>271</v>
      </c>
      <c r="D82" s="15" t="s">
        <v>272</v>
      </c>
      <c r="F82" s="14"/>
      <c r="O82" s="7"/>
      <c r="Q82" s="6" t="s">
        <v>60</v>
      </c>
      <c r="R82" s="7" t="s">
        <v>273</v>
      </c>
      <c r="AI82" s="6" t="s">
        <v>60</v>
      </c>
      <c r="AJ82" s="7" t="s">
        <v>273</v>
      </c>
    </row>
    <row r="83">
      <c r="C83" s="15" t="s">
        <v>274</v>
      </c>
      <c r="D83" s="15" t="s">
        <v>275</v>
      </c>
      <c r="F83" s="14"/>
      <c r="O83" s="7"/>
      <c r="Q83" s="6" t="s">
        <v>60</v>
      </c>
      <c r="R83" s="7" t="s">
        <v>276</v>
      </c>
      <c r="AI83" s="6" t="s">
        <v>60</v>
      </c>
      <c r="AJ83" s="7" t="s">
        <v>276</v>
      </c>
    </row>
    <row r="84">
      <c r="C84" s="33" t="s">
        <v>277</v>
      </c>
      <c r="D84" s="15" t="s">
        <v>278</v>
      </c>
      <c r="F84" s="14"/>
      <c r="O84" s="7"/>
      <c r="Q84" s="6" t="s">
        <v>60</v>
      </c>
      <c r="R84" s="7" t="s">
        <v>279</v>
      </c>
      <c r="AI84" s="6" t="s">
        <v>60</v>
      </c>
      <c r="AJ84" s="7" t="s">
        <v>279</v>
      </c>
    </row>
    <row r="85">
      <c r="D85" s="15" t="s">
        <v>280</v>
      </c>
      <c r="F85" s="14"/>
      <c r="O85" s="7"/>
      <c r="Q85" s="6" t="s">
        <v>60</v>
      </c>
      <c r="R85" s="7" t="s">
        <v>281</v>
      </c>
      <c r="AI85" s="6" t="s">
        <v>60</v>
      </c>
      <c r="AJ85" s="7" t="s">
        <v>281</v>
      </c>
    </row>
    <row r="86">
      <c r="D86" s="15" t="s">
        <v>282</v>
      </c>
      <c r="F86" s="14"/>
      <c r="O86" s="7"/>
      <c r="Q86" s="6" t="s">
        <v>60</v>
      </c>
      <c r="R86" s="7" t="s">
        <v>283</v>
      </c>
      <c r="AI86" s="6" t="s">
        <v>60</v>
      </c>
      <c r="AJ86" s="7" t="s">
        <v>283</v>
      </c>
    </row>
    <row r="87">
      <c r="D87" s="33" t="s">
        <v>284</v>
      </c>
      <c r="F87" s="14"/>
      <c r="O87" s="7"/>
      <c r="Q87" s="6" t="s">
        <v>60</v>
      </c>
      <c r="R87" s="7" t="s">
        <v>285</v>
      </c>
      <c r="AI87" s="6" t="s">
        <v>60</v>
      </c>
      <c r="AJ87" s="7" t="s">
        <v>285</v>
      </c>
    </row>
    <row r="88">
      <c r="F88" s="14"/>
      <c r="O88" s="7"/>
      <c r="Q88" s="6" t="s">
        <v>60</v>
      </c>
      <c r="R88" s="7" t="s">
        <v>286</v>
      </c>
      <c r="AI88" s="6" t="s">
        <v>60</v>
      </c>
      <c r="AJ88" s="7" t="s">
        <v>286</v>
      </c>
    </row>
    <row r="89">
      <c r="F89" s="14"/>
      <c r="O89" s="7"/>
      <c r="Q89" s="6" t="s">
        <v>60</v>
      </c>
      <c r="R89" s="7" t="s">
        <v>287</v>
      </c>
      <c r="AI89" s="6" t="s">
        <v>60</v>
      </c>
      <c r="AJ89" s="7" t="s">
        <v>287</v>
      </c>
    </row>
    <row r="90">
      <c r="F90" s="14"/>
      <c r="O90" s="7"/>
      <c r="Q90" s="6" t="s">
        <v>60</v>
      </c>
      <c r="R90" s="7" t="s">
        <v>288</v>
      </c>
      <c r="AI90" s="6" t="s">
        <v>60</v>
      </c>
      <c r="AJ90" s="7" t="s">
        <v>288</v>
      </c>
    </row>
    <row r="91">
      <c r="F91" s="14"/>
      <c r="O91" s="7"/>
      <c r="Q91" s="6" t="s">
        <v>60</v>
      </c>
      <c r="R91" s="7" t="s">
        <v>289</v>
      </c>
      <c r="AI91" s="6" t="s">
        <v>60</v>
      </c>
      <c r="AJ91" s="7" t="s">
        <v>289</v>
      </c>
    </row>
    <row r="92">
      <c r="F92" s="14"/>
      <c r="O92" s="7"/>
      <c r="Q92" s="6" t="s">
        <v>65</v>
      </c>
      <c r="R92" s="7" t="s">
        <v>290</v>
      </c>
      <c r="AI92" s="6" t="s">
        <v>65</v>
      </c>
      <c r="AJ92" s="7" t="s">
        <v>290</v>
      </c>
    </row>
    <row r="93">
      <c r="F93" s="27"/>
      <c r="G93" s="25"/>
      <c r="H93" s="25"/>
      <c r="I93" s="25"/>
      <c r="J93" s="25"/>
      <c r="K93" s="25"/>
      <c r="L93" s="25"/>
      <c r="M93" s="25"/>
      <c r="N93" s="25"/>
      <c r="O93" s="26"/>
      <c r="Q93" s="6" t="s">
        <v>65</v>
      </c>
      <c r="R93" s="7" t="s">
        <v>291</v>
      </c>
      <c r="AI93" s="6" t="s">
        <v>65</v>
      </c>
      <c r="AJ93" s="7" t="s">
        <v>291</v>
      </c>
    </row>
    <row r="94">
      <c r="Q94" s="6" t="s">
        <v>65</v>
      </c>
      <c r="R94" s="7" t="s">
        <v>292</v>
      </c>
      <c r="AI94" s="6" t="s">
        <v>65</v>
      </c>
      <c r="AJ94" s="7" t="s">
        <v>292</v>
      </c>
    </row>
    <row r="95">
      <c r="Q95" s="6" t="s">
        <v>65</v>
      </c>
      <c r="R95" s="7" t="s">
        <v>293</v>
      </c>
      <c r="AI95" s="6" t="s">
        <v>65</v>
      </c>
      <c r="AJ95" s="7" t="s">
        <v>293</v>
      </c>
    </row>
    <row r="96">
      <c r="Q96" s="6" t="s">
        <v>65</v>
      </c>
      <c r="R96" s="7" t="s">
        <v>294</v>
      </c>
      <c r="AI96" s="6" t="s">
        <v>65</v>
      </c>
      <c r="AJ96" s="7" t="s">
        <v>294</v>
      </c>
    </row>
    <row r="97">
      <c r="Q97" s="6" t="s">
        <v>65</v>
      </c>
      <c r="R97" s="7" t="s">
        <v>295</v>
      </c>
      <c r="AI97" s="6" t="s">
        <v>65</v>
      </c>
      <c r="AJ97" s="7" t="s">
        <v>295</v>
      </c>
    </row>
    <row r="98">
      <c r="Q98" s="6" t="s">
        <v>65</v>
      </c>
      <c r="R98" s="7" t="s">
        <v>296</v>
      </c>
      <c r="AI98" s="6" t="s">
        <v>65</v>
      </c>
      <c r="AJ98" s="7" t="s">
        <v>296</v>
      </c>
    </row>
    <row r="99">
      <c r="A99" s="1"/>
      <c r="B99" s="4"/>
      <c r="C99" s="28"/>
      <c r="D99" s="28"/>
      <c r="E99" s="28"/>
      <c r="F99" s="29"/>
      <c r="H99" s="1"/>
      <c r="I99" s="4"/>
      <c r="J99" s="28"/>
      <c r="K99" s="28"/>
      <c r="L99" s="29"/>
      <c r="N99" s="1"/>
      <c r="O99" s="4"/>
      <c r="P99" s="28"/>
      <c r="Q99" s="6" t="s">
        <v>65</v>
      </c>
      <c r="R99" s="7" t="s">
        <v>297</v>
      </c>
      <c r="S99" s="29"/>
      <c r="W99" s="1"/>
      <c r="X99" s="28"/>
      <c r="Y99" s="28"/>
      <c r="Z99" s="28"/>
      <c r="AA99" s="28"/>
      <c r="AB99" s="28"/>
      <c r="AC99" s="28"/>
      <c r="AD99" s="29"/>
      <c r="AI99" s="6" t="s">
        <v>65</v>
      </c>
      <c r="AJ99" s="7" t="s">
        <v>297</v>
      </c>
    </row>
    <row r="100">
      <c r="A100" s="30"/>
      <c r="B100" s="31"/>
      <c r="C100" s="31"/>
      <c r="D100" s="31"/>
      <c r="E100" s="31"/>
      <c r="F100" s="32"/>
      <c r="H100" s="30"/>
      <c r="I100" s="31"/>
      <c r="J100" s="31"/>
      <c r="K100" s="31"/>
      <c r="L100" s="32"/>
      <c r="N100" s="30"/>
      <c r="O100" s="31"/>
      <c r="P100" s="31"/>
      <c r="Q100" s="6" t="s">
        <v>65</v>
      </c>
      <c r="R100" s="7" t="s">
        <v>298</v>
      </c>
      <c r="S100" s="32"/>
      <c r="W100" s="30"/>
      <c r="X100" s="34"/>
      <c r="Y100" s="35"/>
      <c r="Z100" s="35"/>
      <c r="AA100" s="35"/>
      <c r="AB100" s="35"/>
      <c r="AC100" s="35"/>
      <c r="AD100" s="36"/>
      <c r="AI100" s="6" t="s">
        <v>65</v>
      </c>
      <c r="AJ100" s="7" t="s">
        <v>298</v>
      </c>
    </row>
    <row r="101">
      <c r="A101" s="6"/>
      <c r="F101" s="7"/>
      <c r="H101" s="6"/>
      <c r="L101" s="7"/>
      <c r="N101" s="6"/>
      <c r="Q101" s="6" t="s">
        <v>69</v>
      </c>
      <c r="R101" s="7" t="s">
        <v>299</v>
      </c>
      <c r="S101" s="7"/>
      <c r="W101" s="6"/>
      <c r="AD101" s="7"/>
      <c r="AI101" s="6" t="s">
        <v>69</v>
      </c>
      <c r="AJ101" s="7" t="s">
        <v>299</v>
      </c>
    </row>
    <row r="102">
      <c r="A102" s="14"/>
      <c r="F102" s="7"/>
      <c r="H102" s="14"/>
      <c r="L102" s="7"/>
      <c r="N102" s="14"/>
      <c r="Q102" s="6" t="s">
        <v>69</v>
      </c>
      <c r="R102" s="7" t="s">
        <v>300</v>
      </c>
      <c r="S102" s="7"/>
      <c r="W102" s="14"/>
      <c r="AD102" s="7"/>
      <c r="AI102" s="6" t="s">
        <v>69</v>
      </c>
      <c r="AJ102" s="7" t="s">
        <v>300</v>
      </c>
    </row>
    <row r="103">
      <c r="A103" s="14"/>
      <c r="F103" s="7"/>
      <c r="H103" s="14"/>
      <c r="L103" s="7"/>
      <c r="N103" s="14"/>
      <c r="Q103" s="6" t="s">
        <v>69</v>
      </c>
      <c r="R103" s="7" t="s">
        <v>301</v>
      </c>
      <c r="S103" s="7"/>
      <c r="W103" s="14"/>
      <c r="AD103" s="7"/>
      <c r="AI103" s="6" t="s">
        <v>69</v>
      </c>
      <c r="AJ103" s="7" t="s">
        <v>301</v>
      </c>
    </row>
    <row r="104">
      <c r="A104" s="14"/>
      <c r="F104" s="7"/>
      <c r="H104" s="14"/>
      <c r="L104" s="7"/>
      <c r="N104" s="14"/>
      <c r="Q104" s="6" t="s">
        <v>69</v>
      </c>
      <c r="R104" s="7" t="s">
        <v>302</v>
      </c>
      <c r="S104" s="7"/>
      <c r="W104" s="14"/>
      <c r="AD104" s="7"/>
      <c r="AI104" s="6" t="s">
        <v>69</v>
      </c>
      <c r="AJ104" s="7" t="s">
        <v>302</v>
      </c>
    </row>
    <row r="105">
      <c r="A105" s="14"/>
      <c r="F105" s="7"/>
      <c r="H105" s="14"/>
      <c r="L105" s="7"/>
      <c r="N105" s="14"/>
      <c r="Q105" s="6" t="s">
        <v>69</v>
      </c>
      <c r="R105" s="7" t="s">
        <v>303</v>
      </c>
      <c r="S105" s="7"/>
      <c r="W105" s="14"/>
      <c r="AD105" s="7"/>
      <c r="AI105" s="6" t="s">
        <v>69</v>
      </c>
      <c r="AJ105" s="7" t="s">
        <v>303</v>
      </c>
    </row>
    <row r="106">
      <c r="A106" s="14"/>
      <c r="F106" s="7"/>
      <c r="H106" s="14"/>
      <c r="L106" s="7"/>
      <c r="N106" s="14"/>
      <c r="Q106" s="6" t="s">
        <v>69</v>
      </c>
      <c r="R106" s="7" t="s">
        <v>304</v>
      </c>
      <c r="S106" s="7"/>
      <c r="W106" s="14"/>
      <c r="AD106" s="7"/>
      <c r="AI106" s="6" t="s">
        <v>69</v>
      </c>
      <c r="AJ106" s="7" t="s">
        <v>304</v>
      </c>
    </row>
    <row r="107">
      <c r="A107" s="14"/>
      <c r="F107" s="7"/>
      <c r="H107" s="14"/>
      <c r="L107" s="7"/>
      <c r="N107" s="14"/>
      <c r="Q107" s="6" t="s">
        <v>69</v>
      </c>
      <c r="R107" s="7" t="s">
        <v>305</v>
      </c>
      <c r="S107" s="7"/>
      <c r="W107" s="14"/>
      <c r="AD107" s="7"/>
      <c r="AI107" s="6" t="s">
        <v>69</v>
      </c>
      <c r="AJ107" s="7" t="s">
        <v>305</v>
      </c>
    </row>
    <row r="108">
      <c r="A108" s="14"/>
      <c r="F108" s="7"/>
      <c r="H108" s="14"/>
      <c r="L108" s="7"/>
      <c r="N108" s="14"/>
      <c r="Q108" s="6" t="s">
        <v>69</v>
      </c>
      <c r="R108" s="7" t="s">
        <v>306</v>
      </c>
      <c r="S108" s="7"/>
      <c r="W108" s="14"/>
      <c r="AD108" s="7"/>
      <c r="AI108" s="6" t="s">
        <v>69</v>
      </c>
      <c r="AJ108" s="7" t="s">
        <v>306</v>
      </c>
    </row>
    <row r="109">
      <c r="A109" s="14"/>
      <c r="F109" s="7"/>
      <c r="H109" s="14"/>
      <c r="L109" s="7"/>
      <c r="N109" s="14"/>
      <c r="Q109" s="6" t="s">
        <v>69</v>
      </c>
      <c r="R109" s="7" t="s">
        <v>307</v>
      </c>
      <c r="S109" s="7"/>
      <c r="W109" s="14"/>
      <c r="AD109" s="7"/>
      <c r="AI109" s="6" t="s">
        <v>69</v>
      </c>
      <c r="AJ109" s="7" t="s">
        <v>307</v>
      </c>
    </row>
    <row r="110">
      <c r="A110" s="14"/>
      <c r="F110" s="7"/>
      <c r="H110" s="14"/>
      <c r="L110" s="7"/>
      <c r="N110" s="14"/>
      <c r="Q110" s="6" t="s">
        <v>69</v>
      </c>
      <c r="R110" s="7" t="s">
        <v>308</v>
      </c>
      <c r="S110" s="7"/>
      <c r="W110" s="14"/>
      <c r="AD110" s="7"/>
      <c r="AI110" s="6" t="s">
        <v>69</v>
      </c>
      <c r="AJ110" s="7" t="s">
        <v>308</v>
      </c>
    </row>
    <row r="111">
      <c r="A111" s="14"/>
      <c r="F111" s="7"/>
      <c r="H111" s="14"/>
      <c r="L111" s="7"/>
      <c r="N111" s="14"/>
      <c r="Q111" s="6" t="s">
        <v>69</v>
      </c>
      <c r="R111" s="7" t="s">
        <v>309</v>
      </c>
      <c r="S111" s="7"/>
      <c r="W111" s="14"/>
      <c r="AD111" s="7"/>
      <c r="AI111" s="6" t="s">
        <v>69</v>
      </c>
      <c r="AJ111" s="7" t="s">
        <v>309</v>
      </c>
    </row>
    <row r="112">
      <c r="A112" s="14"/>
      <c r="F112" s="7"/>
      <c r="H112" s="14"/>
      <c r="L112" s="7"/>
      <c r="N112" s="14"/>
      <c r="Q112" s="6" t="s">
        <v>69</v>
      </c>
      <c r="R112" s="7" t="s">
        <v>310</v>
      </c>
      <c r="S112" s="7"/>
      <c r="W112" s="14"/>
      <c r="AD112" s="7"/>
      <c r="AI112" s="6" t="s">
        <v>69</v>
      </c>
      <c r="AJ112" s="7" t="s">
        <v>310</v>
      </c>
    </row>
    <row r="113">
      <c r="A113" s="14"/>
      <c r="F113" s="7"/>
      <c r="H113" s="14"/>
      <c r="L113" s="7"/>
      <c r="N113" s="14"/>
      <c r="Q113" s="23" t="s">
        <v>69</v>
      </c>
      <c r="R113" s="26" t="s">
        <v>311</v>
      </c>
      <c r="S113" s="7"/>
      <c r="W113" s="14"/>
      <c r="AD113" s="7"/>
      <c r="AI113" s="23" t="s">
        <v>69</v>
      </c>
      <c r="AJ113" s="26" t="s">
        <v>311</v>
      </c>
    </row>
    <row r="114">
      <c r="A114" s="14"/>
      <c r="F114" s="7"/>
      <c r="H114" s="14"/>
      <c r="L114" s="7"/>
      <c r="N114" s="14"/>
      <c r="S114" s="7"/>
      <c r="W114" s="14"/>
      <c r="AD114" s="7"/>
      <c r="AI114" s="10" t="s">
        <v>312</v>
      </c>
      <c r="AJ114" s="10" t="s">
        <v>313</v>
      </c>
    </row>
    <row r="115">
      <c r="A115" s="14"/>
      <c r="F115" s="7"/>
      <c r="H115" s="14"/>
      <c r="L115" s="7"/>
      <c r="N115" s="14"/>
      <c r="S115" s="7"/>
      <c r="W115" s="14"/>
      <c r="AD115" s="7"/>
    </row>
    <row r="116">
      <c r="A116" s="14"/>
      <c r="F116" s="7"/>
      <c r="H116" s="14"/>
      <c r="L116" s="7"/>
      <c r="N116" s="14"/>
      <c r="S116" s="7"/>
      <c r="W116" s="14"/>
      <c r="AD116" s="7"/>
    </row>
    <row r="117">
      <c r="A117" s="14"/>
      <c r="F117" s="7"/>
      <c r="H117" s="14"/>
      <c r="L117" s="7"/>
      <c r="N117" s="14"/>
      <c r="S117" s="7"/>
      <c r="W117" s="14"/>
      <c r="AD117" s="7"/>
    </row>
    <row r="118">
      <c r="A118" s="14"/>
      <c r="F118" s="7"/>
      <c r="H118" s="14"/>
      <c r="L118" s="7"/>
      <c r="N118" s="14"/>
      <c r="S118" s="7"/>
      <c r="W118" s="14"/>
      <c r="AD118" s="7"/>
    </row>
    <row r="119">
      <c r="A119" s="14"/>
      <c r="F119" s="7"/>
      <c r="H119" s="14"/>
      <c r="L119" s="7"/>
      <c r="N119" s="14"/>
      <c r="S119" s="7"/>
      <c r="W119" s="14"/>
      <c r="AD119" s="7"/>
    </row>
    <row r="120">
      <c r="A120" s="27"/>
      <c r="B120" s="25"/>
      <c r="C120" s="25"/>
      <c r="D120" s="25"/>
      <c r="E120" s="25"/>
      <c r="F120" s="26"/>
      <c r="H120" s="27"/>
      <c r="I120" s="25"/>
      <c r="J120" s="25"/>
      <c r="K120" s="25"/>
      <c r="L120" s="26"/>
      <c r="N120" s="27"/>
      <c r="O120" s="25"/>
      <c r="P120" s="25"/>
      <c r="Q120" s="25"/>
      <c r="R120" s="25"/>
      <c r="S120" s="26"/>
      <c r="W120" s="27"/>
      <c r="X120" s="25"/>
      <c r="Y120" s="25"/>
      <c r="Z120" s="25"/>
      <c r="AA120" s="25"/>
      <c r="AB120" s="25"/>
      <c r="AC120" s="25"/>
      <c r="AD120" s="26"/>
    </row>
    <row r="125">
      <c r="E125" s="10" t="s">
        <v>314</v>
      </c>
      <c r="L125" s="10" t="s">
        <v>315</v>
      </c>
    </row>
    <row r="126" ht="15.0" customHeight="1">
      <c r="H126" s="3" t="s">
        <v>9</v>
      </c>
      <c r="I126" s="3" t="s">
        <v>316</v>
      </c>
      <c r="J126" s="3" t="s">
        <v>317</v>
      </c>
      <c r="K126" s="3" t="s">
        <v>318</v>
      </c>
      <c r="L126" s="3" t="s">
        <v>319</v>
      </c>
      <c r="M126" s="3" t="s">
        <v>320</v>
      </c>
    </row>
    <row r="127" ht="15.0" customHeight="1"/>
    <row r="128" ht="15.0" customHeight="1">
      <c r="G128" s="37"/>
    </row>
    <row r="129" ht="15.0" customHeight="1">
      <c r="G129" s="38"/>
    </row>
    <row r="130" ht="15.0" customHeight="1">
      <c r="G130" s="38"/>
    </row>
    <row r="131" ht="15.0" customHeight="1">
      <c r="G131" s="38"/>
    </row>
    <row r="132" ht="15.0" customHeight="1">
      <c r="G132" s="38"/>
    </row>
    <row r="133" ht="15.0" customHeight="1">
      <c r="G133" s="38"/>
    </row>
    <row r="134" ht="15.0" customHeight="1">
      <c r="G134" s="38"/>
    </row>
    <row r="135" ht="15.0" customHeight="1">
      <c r="G135" s="38"/>
    </row>
    <row r="136" ht="15.0" customHeight="1">
      <c r="G136" s="38"/>
    </row>
    <row r="137" ht="15.0" customHeight="1">
      <c r="D137" s="18"/>
      <c r="F137" s="39"/>
      <c r="G137" s="38"/>
    </row>
    <row r="138" ht="15.0" customHeight="1">
      <c r="D138" s="18"/>
      <c r="G138" s="38"/>
    </row>
    <row r="139" ht="15.0" customHeight="1">
      <c r="D139" s="18"/>
      <c r="G139" s="38"/>
    </row>
    <row r="140" ht="15.0" customHeight="1">
      <c r="D140" s="18"/>
      <c r="G140" s="38"/>
    </row>
    <row r="141" ht="15.0" customHeight="1">
      <c r="D141" s="18"/>
      <c r="G141" s="38"/>
    </row>
    <row r="142" ht="15.0" customHeight="1">
      <c r="D142" s="18"/>
      <c r="G142" s="38"/>
    </row>
    <row r="143" ht="15.0" customHeight="1">
      <c r="D143" s="18"/>
      <c r="G143" s="38"/>
    </row>
    <row r="144" ht="15.0" customHeight="1">
      <c r="D144" s="18"/>
      <c r="G144" s="38"/>
    </row>
    <row r="145" ht="15.0" customHeight="1">
      <c r="D145" s="18"/>
      <c r="G145" s="38"/>
    </row>
    <row r="146" ht="15.0" customHeight="1">
      <c r="D146" s="18"/>
      <c r="G146" s="38"/>
    </row>
    <row r="147" ht="15.0" customHeight="1">
      <c r="D147" s="18"/>
      <c r="G147" s="38"/>
    </row>
    <row r="148" ht="15.0" customHeight="1">
      <c r="D148" s="18"/>
      <c r="G148" s="38"/>
    </row>
    <row r="149" ht="15.0" customHeight="1">
      <c r="D149" s="18"/>
      <c r="G149" s="38"/>
    </row>
    <row r="150" ht="15.0" customHeight="1">
      <c r="D150" s="18"/>
      <c r="G150" s="38"/>
    </row>
    <row r="151" ht="15.0" customHeight="1">
      <c r="D151" s="18"/>
      <c r="G151" s="38"/>
      <c r="K151" s="18"/>
    </row>
    <row r="152" ht="15.0" customHeight="1">
      <c r="D152" s="18"/>
      <c r="G152" s="38"/>
    </row>
    <row r="153" ht="15.0" customHeight="1">
      <c r="D153" s="18"/>
      <c r="G153" s="38"/>
    </row>
    <row r="154" ht="15.0" customHeight="1">
      <c r="D154" s="18"/>
      <c r="G154" s="38"/>
    </row>
    <row r="155" ht="15.0" customHeight="1">
      <c r="D155" s="18"/>
      <c r="G155" s="38"/>
    </row>
    <row r="156" ht="15.0" customHeight="1">
      <c r="D156" s="18"/>
      <c r="F156" s="39"/>
      <c r="G156" s="38"/>
    </row>
    <row r="157" ht="15.0" customHeight="1">
      <c r="D157" s="18"/>
      <c r="F157" s="39"/>
      <c r="G157" s="38"/>
    </row>
    <row r="158" ht="15.0" customHeight="1">
      <c r="D158" s="18"/>
      <c r="G158" s="38"/>
    </row>
    <row r="159" ht="15.0" customHeight="1">
      <c r="D159" s="18"/>
      <c r="G159" s="38"/>
    </row>
    <row r="160" ht="15.0" customHeight="1">
      <c r="D160" s="18"/>
      <c r="F160" s="39"/>
      <c r="G160" s="38"/>
    </row>
    <row r="161" ht="15.0" customHeight="1">
      <c r="D161" s="18"/>
      <c r="G161" s="38"/>
    </row>
    <row r="162" ht="15.0" customHeight="1">
      <c r="D162" s="18"/>
      <c r="G162" s="38"/>
    </row>
    <row r="163" ht="15.0" customHeight="1">
      <c r="D163" s="18"/>
      <c r="G163" s="38"/>
    </row>
    <row r="164" ht="15.0" customHeight="1">
      <c r="D164" s="18"/>
      <c r="E164" s="13"/>
      <c r="F164" s="13"/>
      <c r="G164" s="40"/>
      <c r="V164" s="1"/>
      <c r="W164" s="28"/>
      <c r="X164" s="28"/>
      <c r="Y164" s="28"/>
      <c r="Z164" s="28"/>
      <c r="AA164" s="28"/>
      <c r="AB164" s="28"/>
      <c r="AC164" s="28"/>
      <c r="AD164" s="28"/>
      <c r="AE164" s="29"/>
    </row>
    <row r="165" ht="15.0" customHeight="1">
      <c r="D165" s="18"/>
      <c r="E165" s="13"/>
      <c r="F165" s="13"/>
      <c r="G165" s="40"/>
      <c r="V165" s="30"/>
      <c r="W165" s="31"/>
      <c r="X165" s="31"/>
      <c r="Y165" s="31"/>
      <c r="Z165" s="31"/>
      <c r="AA165" s="31"/>
      <c r="AB165" s="31"/>
      <c r="AC165" s="31"/>
      <c r="AD165" s="31"/>
      <c r="AE165" s="32"/>
    </row>
    <row r="166" ht="15.0" customHeight="1">
      <c r="D166" s="18"/>
      <c r="E166" s="13"/>
      <c r="F166" s="13"/>
      <c r="G166" s="40"/>
      <c r="V166" s="6"/>
      <c r="AE166" s="7"/>
    </row>
    <row r="167" ht="15.0" customHeight="1">
      <c r="D167" s="18"/>
      <c r="E167" s="13"/>
      <c r="F167" s="13"/>
      <c r="G167" s="40"/>
      <c r="V167" s="14"/>
      <c r="AE167" s="7"/>
    </row>
    <row r="168" ht="15.0" customHeight="1">
      <c r="D168" s="18"/>
      <c r="E168" s="13"/>
      <c r="F168" s="13"/>
      <c r="G168" s="40"/>
      <c r="V168" s="14"/>
      <c r="AE168" s="7"/>
    </row>
    <row r="169" ht="15.0" customHeight="1">
      <c r="D169" s="18"/>
      <c r="E169" s="13"/>
      <c r="F169" s="13"/>
      <c r="G169" s="40"/>
      <c r="V169" s="14"/>
      <c r="AE169" s="7"/>
    </row>
    <row r="170" ht="15.0" customHeight="1">
      <c r="G170" s="40"/>
      <c r="V170" s="14"/>
      <c r="AE170" s="7"/>
    </row>
    <row r="171" ht="15.0" customHeight="1">
      <c r="G171" s="40"/>
      <c r="V171" s="14"/>
      <c r="AE171" s="7"/>
    </row>
    <row r="172" ht="15.0" customHeight="1">
      <c r="G172" s="40"/>
      <c r="V172" s="14"/>
      <c r="AE172" s="7"/>
    </row>
    <row r="173" ht="15.0" customHeight="1">
      <c r="G173" s="40"/>
      <c r="V173" s="14"/>
      <c r="AE173" s="7"/>
    </row>
    <row r="174" ht="14.25" customHeight="1">
      <c r="G174" s="40"/>
      <c r="V174" s="14"/>
      <c r="AE174" s="7"/>
    </row>
    <row r="175" ht="15.0" customHeight="1">
      <c r="F175" s="13"/>
      <c r="G175" s="40"/>
      <c r="V175" s="14"/>
      <c r="AE175" s="7"/>
    </row>
    <row r="176" ht="15.0" customHeight="1">
      <c r="F176" s="13"/>
      <c r="G176" s="40"/>
      <c r="V176" s="14"/>
      <c r="AE176" s="7"/>
    </row>
    <row r="177" ht="15.0" customHeight="1">
      <c r="F177" s="13"/>
      <c r="G177" s="40"/>
      <c r="V177" s="14"/>
      <c r="AE177" s="7"/>
    </row>
    <row r="178" ht="15.0" customHeight="1">
      <c r="F178" s="13"/>
      <c r="G178" s="40"/>
      <c r="V178" s="14"/>
      <c r="AE178" s="7"/>
    </row>
    <row r="179" ht="15.0" customHeight="1">
      <c r="F179" s="13"/>
      <c r="G179" s="40"/>
      <c r="V179" s="14"/>
      <c r="AE179" s="7"/>
    </row>
    <row r="180" ht="15.0" customHeight="1">
      <c r="F180" s="13"/>
      <c r="G180" s="40"/>
      <c r="V180" s="14"/>
      <c r="AE180" s="7"/>
    </row>
    <row r="181" ht="15.0" customHeight="1">
      <c r="F181" s="13"/>
      <c r="G181" s="40"/>
      <c r="V181" s="14"/>
      <c r="AE181" s="7"/>
    </row>
    <row r="182" ht="15.0" customHeight="1">
      <c r="F182" s="13"/>
      <c r="G182" s="40"/>
      <c r="V182" s="14"/>
      <c r="AE182" s="7"/>
    </row>
    <row r="183" ht="15.0" customHeight="1">
      <c r="F183" s="13"/>
      <c r="G183" s="40"/>
      <c r="V183" s="14"/>
      <c r="AE183" s="7"/>
    </row>
    <row r="184" ht="15.0" customHeight="1">
      <c r="F184" s="13"/>
      <c r="G184" s="40"/>
      <c r="V184" s="14"/>
      <c r="AE184" s="7"/>
    </row>
    <row r="185" ht="15.0" customHeight="1">
      <c r="F185" s="13"/>
      <c r="G185" s="40"/>
      <c r="V185" s="27"/>
      <c r="W185" s="25"/>
      <c r="X185" s="25"/>
      <c r="Y185" s="25"/>
      <c r="Z185" s="25"/>
      <c r="AA185" s="25"/>
      <c r="AB185" s="25"/>
      <c r="AC185" s="25"/>
      <c r="AD185" s="25"/>
      <c r="AE185" s="26"/>
    </row>
    <row r="186" ht="15.0" customHeight="1">
      <c r="F186" s="13"/>
      <c r="G186" s="40"/>
    </row>
    <row r="187" ht="15.0" customHeight="1">
      <c r="D187" s="18"/>
      <c r="E187" s="13"/>
      <c r="F187" s="13"/>
      <c r="G187" s="40"/>
    </row>
    <row r="188" ht="15.0" customHeight="1">
      <c r="D188" s="18"/>
      <c r="E188" s="13"/>
      <c r="F188" s="13"/>
      <c r="G188" s="40"/>
    </row>
    <row r="189" ht="15.0" customHeight="1">
      <c r="D189" s="18"/>
      <c r="E189" s="13"/>
      <c r="F189" s="13"/>
      <c r="G189" s="40"/>
    </row>
    <row r="190" ht="15.0" customHeight="1">
      <c r="D190" s="18"/>
      <c r="E190" s="13"/>
      <c r="F190" s="13"/>
      <c r="G190" s="40"/>
    </row>
    <row r="191" ht="15.0" customHeight="1">
      <c r="D191" s="18"/>
      <c r="E191" s="13"/>
      <c r="F191" s="13"/>
      <c r="G191" s="40"/>
    </row>
    <row r="192" ht="15.0" customHeight="1">
      <c r="F192" s="13"/>
      <c r="G192" s="40"/>
    </row>
    <row r="193" ht="15.0" customHeight="1">
      <c r="F193" s="13"/>
      <c r="G193" s="40"/>
    </row>
    <row r="194" ht="15.0" customHeight="1">
      <c r="F194" s="13"/>
      <c r="G194" s="40"/>
    </row>
    <row r="195" ht="15.0" customHeight="1">
      <c r="F195" s="13"/>
      <c r="G195" s="40"/>
    </row>
    <row r="196" ht="15.0" customHeight="1">
      <c r="F196" s="13"/>
      <c r="G196" s="40"/>
    </row>
    <row r="197" ht="15.0" customHeight="1">
      <c r="F197" s="13"/>
      <c r="G197" s="40"/>
    </row>
    <row r="198" ht="15.0" customHeight="1">
      <c r="F198" s="13"/>
      <c r="G198" s="40"/>
    </row>
    <row r="199" ht="15.0" customHeight="1">
      <c r="F199" s="13"/>
      <c r="G199" s="40"/>
    </row>
    <row r="200" ht="15.0" customHeight="1">
      <c r="F200" s="13"/>
      <c r="G200" s="40"/>
    </row>
    <row r="201" ht="15.0" customHeight="1">
      <c r="F201" s="13"/>
      <c r="G201" s="40"/>
    </row>
    <row r="202" ht="15.0" customHeight="1">
      <c r="F202" s="13"/>
      <c r="G202" s="40"/>
    </row>
    <row r="203" ht="15.0" customHeight="1">
      <c r="F203" s="13"/>
      <c r="G203" s="40"/>
    </row>
    <row r="204" ht="15.0" customHeight="1">
      <c r="F204" s="13"/>
      <c r="G204" s="40"/>
    </row>
    <row r="205" ht="15.0" customHeight="1">
      <c r="G205" s="40"/>
    </row>
    <row r="206" ht="15.0" customHeight="1">
      <c r="G206" s="40"/>
    </row>
    <row r="207" ht="15.0" customHeight="1">
      <c r="G207" s="40"/>
    </row>
    <row r="208" ht="15.0" customHeight="1">
      <c r="G208" s="40"/>
    </row>
    <row r="209" ht="15.0" customHeight="1">
      <c r="G209" s="40"/>
    </row>
    <row r="210" ht="15.0" customHeight="1">
      <c r="G210" s="40"/>
    </row>
    <row r="211" ht="15.0" customHeight="1">
      <c r="F211" s="13"/>
      <c r="G211" s="40"/>
    </row>
    <row r="212" ht="15.0" customHeight="1">
      <c r="F212" s="13"/>
      <c r="G212" s="40"/>
    </row>
    <row r="213" ht="15.0" customHeight="1">
      <c r="F213" s="13"/>
      <c r="G213" s="40"/>
    </row>
    <row r="214" ht="15.0" customHeight="1">
      <c r="G214" s="40"/>
    </row>
    <row r="215" ht="15.0" customHeight="1">
      <c r="G215" s="40"/>
    </row>
    <row r="216" ht="15.0" customHeight="1">
      <c r="G216" s="40"/>
    </row>
    <row r="217" ht="15.0" customHeight="1">
      <c r="G217" s="40"/>
    </row>
    <row r="218" ht="15.0" customHeight="1">
      <c r="F218" s="13"/>
      <c r="G218" s="40"/>
    </row>
    <row r="219" ht="15.0" customHeight="1">
      <c r="F219" s="13"/>
      <c r="G219" s="40"/>
    </row>
    <row r="220" ht="15.0" customHeight="1">
      <c r="G220" s="40"/>
    </row>
    <row r="221" ht="15.0" customHeight="1">
      <c r="F221" s="13"/>
      <c r="G221" s="40"/>
    </row>
    <row r="222" ht="15.0" customHeight="1">
      <c r="F222" s="13"/>
      <c r="G222" s="40"/>
    </row>
    <row r="223" ht="15.0" customHeight="1">
      <c r="F223" s="13"/>
      <c r="G223" s="40"/>
    </row>
    <row r="224" ht="15.0" customHeight="1">
      <c r="F224" s="13"/>
      <c r="G224" s="40"/>
    </row>
    <row r="225" ht="15.0" customHeight="1">
      <c r="G225" s="40"/>
    </row>
    <row r="226" ht="15.0" customHeight="1">
      <c r="G226" s="40"/>
    </row>
    <row r="227" ht="15.0" customHeight="1">
      <c r="G227" s="40"/>
    </row>
    <row r="228" ht="15.0" customHeight="1">
      <c r="A228" s="41" t="s">
        <v>321</v>
      </c>
      <c r="B228" s="41" t="s">
        <v>322</v>
      </c>
      <c r="C228" s="41" t="s">
        <v>323</v>
      </c>
      <c r="D228" s="42" t="s">
        <v>324</v>
      </c>
      <c r="E228" s="13"/>
      <c r="F228" s="13"/>
      <c r="G228" s="13"/>
      <c r="M228" s="41"/>
    </row>
    <row r="229" ht="15.0" customHeight="1">
      <c r="D229" s="13"/>
      <c r="E229" s="13"/>
      <c r="F229" s="13"/>
      <c r="G229" s="13"/>
    </row>
    <row r="230" ht="15.0" customHeight="1">
      <c r="D230" s="13"/>
    </row>
    <row r="231" ht="15.0" customHeight="1">
      <c r="D231" s="13"/>
    </row>
    <row r="232" ht="15.0" customHeight="1">
      <c r="D232" s="13"/>
    </row>
    <row r="233" ht="15.0" customHeight="1">
      <c r="D233" s="13"/>
    </row>
    <row r="234" ht="15.0" customHeight="1"/>
    <row r="235" ht="15.0" customHeight="1"/>
    <row r="236" ht="15.0" customHeight="1"/>
    <row r="237" ht="15.0" customHeight="1">
      <c r="D237" s="13"/>
    </row>
    <row r="238" ht="15.0" customHeight="1">
      <c r="D238" s="13"/>
    </row>
    <row r="239" ht="15.0" customHeight="1">
      <c r="D239" s="13"/>
    </row>
    <row r="240" ht="15.0" customHeight="1">
      <c r="D240" s="13"/>
    </row>
    <row r="241" ht="15.0" customHeight="1">
      <c r="D241" s="13"/>
    </row>
    <row r="242" ht="15.0" customHeight="1">
      <c r="D242" s="13"/>
    </row>
    <row r="243" ht="15.0" customHeight="1">
      <c r="D243" s="13"/>
    </row>
    <row r="244" ht="15.0" customHeight="1">
      <c r="D244" s="13"/>
    </row>
    <row r="245" ht="15.0" customHeight="1">
      <c r="D245" s="13"/>
    </row>
    <row r="246" ht="15.0" customHeight="1">
      <c r="D246" s="13"/>
    </row>
    <row r="247" ht="15.0" customHeight="1">
      <c r="D247" s="13"/>
    </row>
    <row r="248" ht="15.0" customHeight="1">
      <c r="D248" s="13"/>
    </row>
    <row r="249" ht="15.0" customHeight="1">
      <c r="D249" s="13"/>
    </row>
    <row r="250" ht="15.0" customHeight="1">
      <c r="D250" s="13"/>
    </row>
    <row r="251" ht="15.0" customHeight="1">
      <c r="D251" s="13"/>
    </row>
    <row r="252" ht="15.0" customHeight="1">
      <c r="D252" s="13"/>
    </row>
    <row r="253" ht="15.0" customHeight="1">
      <c r="D253" s="13"/>
    </row>
    <row r="254" ht="15.0" customHeight="1"/>
    <row r="255" ht="15.0" customHeight="1"/>
    <row r="256" ht="15.0" customHeight="1"/>
    <row r="257" ht="15.0" customHeight="1">
      <c r="M257" s="10" t="b">
        <v>0</v>
      </c>
    </row>
    <row r="258" ht="15.0" customHeight="1">
      <c r="M258" s="10" t="b">
        <v>0</v>
      </c>
    </row>
    <row r="259" ht="15.0" customHeight="1">
      <c r="M259" s="10" t="b">
        <v>0</v>
      </c>
    </row>
    <row r="260" ht="15.0" customHeight="1">
      <c r="M260" s="10" t="b">
        <v>0</v>
      </c>
    </row>
    <row r="261" ht="15.0" customHeight="1">
      <c r="M261" t="b">
        <v>0</v>
      </c>
    </row>
    <row r="262" ht="15.0" customHeight="1">
      <c r="M262" s="10" t="b">
        <v>0</v>
      </c>
    </row>
    <row r="263" ht="15.0" customHeight="1">
      <c r="M263" s="10" t="b">
        <v>0</v>
      </c>
    </row>
    <row r="264" ht="15.0" customHeight="1">
      <c r="M264" s="10" t="b">
        <v>0</v>
      </c>
    </row>
    <row r="265" ht="15.0" customHeight="1">
      <c r="M265" s="10" t="b">
        <v>0</v>
      </c>
    </row>
    <row r="266" ht="15.0" customHeight="1">
      <c r="M266" s="10" t="b">
        <v>0</v>
      </c>
    </row>
    <row r="267" ht="15.0" customHeight="1">
      <c r="M267" s="10" t="b">
        <v>0</v>
      </c>
    </row>
    <row r="268" ht="15.0" customHeight="1">
      <c r="M268" s="10" t="b">
        <v>0</v>
      </c>
    </row>
    <row r="269" ht="15.0" customHeight="1">
      <c r="M269" s="10" t="b">
        <v>0</v>
      </c>
    </row>
    <row r="270" ht="15.0" customHeight="1">
      <c r="M270" s="10" t="b">
        <v>0</v>
      </c>
    </row>
    <row r="271" ht="15.0" customHeight="1">
      <c r="M271" s="10" t="b">
        <v>0</v>
      </c>
    </row>
    <row r="272" ht="15.0" customHeight="1">
      <c r="M272" s="10" t="b">
        <v>0</v>
      </c>
    </row>
    <row r="273" ht="15.0" customHeight="1">
      <c r="M273" s="10" t="b">
        <v>0</v>
      </c>
    </row>
    <row r="274" ht="15.0" customHeight="1">
      <c r="M274" s="10" t="b">
        <v>0</v>
      </c>
    </row>
    <row r="275" ht="15.0" customHeight="1">
      <c r="M275" s="10" t="b">
        <v>0</v>
      </c>
    </row>
    <row r="276" ht="15.0" customHeight="1">
      <c r="M276" s="10" t="b">
        <v>0</v>
      </c>
    </row>
    <row r="277" ht="15.0" customHeight="1">
      <c r="M277" s="10" t="b">
        <v>0</v>
      </c>
    </row>
    <row r="278" ht="15.0" customHeight="1"/>
    <row r="279" ht="15.0" customHeight="1"/>
    <row r="280" ht="15.0" customHeight="1">
      <c r="M280" s="10" t="b">
        <v>0</v>
      </c>
    </row>
    <row r="281" ht="15.0" customHeight="1">
      <c r="M281" s="10" t="b">
        <v>0</v>
      </c>
    </row>
    <row r="282" ht="15.0" customHeight="1"/>
    <row r="283" ht="15.0" customHeight="1"/>
    <row r="284" ht="15.0" customHeight="1"/>
    <row r="285" ht="15.0" customHeight="1"/>
    <row r="286" ht="15.0" customHeight="1"/>
    <row r="287" ht="15.0" customHeight="1"/>
    <row r="288" ht="15.0" customHeight="1"/>
    <row r="289" ht="15.0" customHeight="1"/>
    <row r="290" ht="15.0" customHeight="1"/>
    <row r="291" ht="15.0" customHeight="1"/>
    <row r="292" ht="15.0" customHeight="1"/>
    <row r="293" ht="15.0" customHeight="1"/>
    <row r="294" ht="15.0" customHeight="1"/>
    <row r="295" ht="15.0" customHeight="1"/>
    <row r="296" ht="15.0" customHeight="1"/>
    <row r="297" ht="15.0" customHeight="1"/>
    <row r="298" ht="15.0" customHeight="1"/>
    <row r="299" ht="15.0" customHeight="1"/>
    <row r="300" ht="15.0" customHeight="1"/>
    <row r="301" ht="15.0" customHeight="1"/>
    <row r="302" ht="15.0" customHeight="1"/>
    <row r="303" ht="15.0" customHeight="1"/>
    <row r="304" ht="15.0" customHeight="1"/>
    <row r="305" ht="15.0" customHeight="1"/>
    <row r="306" ht="15.0" customHeight="1"/>
    <row r="307" ht="15.0" customHeight="1"/>
    <row r="308" ht="15.0" customHeight="1"/>
    <row r="309" ht="15.0" customHeight="1"/>
    <row r="310" ht="15.0" customHeight="1"/>
    <row r="311" ht="15.0" customHeight="1"/>
    <row r="312" ht="15.0" customHeight="1"/>
    <row r="313" ht="15.0" customHeight="1"/>
    <row r="314" ht="15.0" customHeight="1"/>
    <row r="315" ht="15.0" customHeight="1"/>
    <row r="316" ht="15.0" customHeight="1"/>
    <row r="317" ht="15.0" customHeight="1"/>
    <row r="318" ht="15.0" customHeight="1"/>
    <row r="319" ht="15.0" customHeight="1"/>
    <row r="320" ht="15.0" customHeight="1"/>
    <row r="321" ht="15.0" customHeight="1"/>
    <row r="322" ht="15.0" customHeight="1"/>
    <row r="323" ht="15.0" customHeight="1"/>
    <row r="324" ht="15.0" customHeight="1"/>
    <row r="325" ht="15.0" customHeight="1"/>
    <row r="326" ht="15.0" customHeight="1"/>
    <row r="327" ht="15.0" customHeight="1"/>
    <row r="328" ht="15.0" customHeight="1"/>
    <row r="329" ht="15.0" customHeight="1"/>
    <row r="330" ht="15.0" customHeight="1"/>
    <row r="331" ht="15.0" customHeight="1"/>
    <row r="332" ht="15.0" customHeight="1"/>
    <row r="333" ht="15.0" customHeight="1"/>
    <row r="334" ht="15.0" customHeight="1"/>
    <row r="335" ht="15.0" customHeight="1"/>
    <row r="336" ht="15.0" customHeight="1"/>
    <row r="337" ht="15.0" customHeight="1"/>
    <row r="338" ht="15.0" customHeight="1"/>
    <row r="339" ht="15.0" customHeight="1"/>
    <row r="340" ht="15.0" customHeight="1"/>
    <row r="341" ht="15.0" customHeight="1"/>
    <row r="342" ht="15.0" customHeight="1"/>
    <row r="343" ht="15.0" customHeight="1"/>
    <row r="344" ht="15.0" customHeight="1"/>
    <row r="345" ht="15.0" customHeight="1"/>
    <row r="346" ht="15.0" customHeight="1"/>
    <row r="347" ht="15.0" customHeight="1"/>
    <row r="348" ht="15.0" customHeight="1"/>
    <row r="349" ht="15.0" customHeight="1"/>
    <row r="350" ht="15.0" customHeight="1"/>
    <row r="351" ht="15.0" customHeight="1"/>
    <row r="352" ht="15.0" customHeight="1"/>
    <row r="353" ht="15.0" customHeight="1"/>
    <row r="354" ht="15.0" customHeight="1"/>
    <row r="355" ht="15.0" customHeight="1"/>
    <row r="356" ht="15.0" customHeight="1"/>
    <row r="357" ht="15.0" customHeight="1"/>
    <row r="358" ht="15.0" customHeight="1"/>
    <row r="359" ht="15.0" customHeight="1"/>
    <row r="360" ht="15.0" customHeight="1"/>
    <row r="361" ht="15.0" customHeight="1"/>
    <row r="362" ht="15.0" customHeight="1"/>
    <row r="363" ht="15.0" customHeight="1"/>
    <row r="364" ht="15.0" customHeight="1"/>
    <row r="365" ht="15.0" customHeight="1"/>
    <row r="366" ht="15.0" customHeight="1"/>
    <row r="367" ht="15.0" customHeight="1"/>
    <row r="368" ht="15.0" customHeight="1"/>
    <row r="369" ht="15.0" customHeight="1"/>
    <row r="370" ht="15.0" customHeight="1"/>
    <row r="371" ht="15.0" customHeight="1"/>
    <row r="372" ht="15.0" customHeight="1"/>
    <row r="373" ht="15.0" customHeight="1"/>
    <row r="374" ht="15.0" customHeight="1"/>
    <row r="375" ht="15.0" customHeight="1"/>
    <row r="376" ht="15.0" customHeight="1"/>
    <row r="377" ht="15.0" customHeight="1"/>
    <row r="378" ht="15.0" customHeight="1"/>
    <row r="379" ht="15.0" customHeight="1"/>
    <row r="380" ht="15.0" customHeight="1"/>
    <row r="381" ht="15.0" customHeight="1"/>
    <row r="382" ht="15.0" customHeight="1"/>
    <row r="383" ht="15.0" customHeight="1"/>
    <row r="384" ht="15.0" customHeight="1"/>
    <row r="385" ht="15.0" customHeight="1"/>
    <row r="386" ht="15.0" customHeight="1"/>
    <row r="387" ht="15.0" customHeight="1"/>
    <row r="388" ht="15.0" customHeight="1"/>
    <row r="389" ht="15.0" customHeight="1"/>
    <row r="390" ht="15.0" customHeight="1"/>
    <row r="391" ht="15.0" customHeight="1"/>
    <row r="392" ht="15.0" customHeight="1"/>
    <row r="393" ht="15.0" customHeight="1"/>
    <row r="394" ht="15.0" customHeight="1"/>
    <row r="395" ht="15.0" customHeight="1"/>
    <row r="396" ht="15.0" customHeight="1"/>
    <row r="397" ht="15.0" customHeight="1"/>
    <row r="398" ht="15.0" customHeight="1"/>
    <row r="399" ht="15.0" customHeight="1"/>
    <row r="400" ht="15.0" customHeight="1"/>
    <row r="401" ht="15.0" customHeight="1"/>
    <row r="402" ht="15.0" customHeight="1"/>
    <row r="403" ht="15.0" customHeight="1"/>
    <row r="404" ht="15.0" customHeight="1"/>
    <row r="405" ht="15.0" customHeight="1"/>
    <row r="406" ht="15.0" customHeight="1"/>
    <row r="407" ht="15.0" customHeight="1"/>
    <row r="408" ht="15.0" customHeight="1"/>
    <row r="409" ht="15.0" customHeight="1"/>
    <row r="410" ht="15.0" customHeight="1"/>
    <row r="411" ht="15.0" customHeight="1"/>
    <row r="412" ht="15.0" customHeight="1"/>
    <row r="413" ht="15.0" customHeight="1"/>
    <row r="414" ht="15.0" customHeight="1"/>
    <row r="415" ht="15.0" customHeight="1"/>
    <row r="416" ht="15.0" customHeight="1"/>
    <row r="417" ht="15.0" customHeight="1"/>
    <row r="418" ht="15.0" customHeight="1"/>
    <row r="419" ht="15.0" customHeight="1"/>
    <row r="420" ht="15.0" customHeight="1"/>
    <row r="421" ht="15.0" customHeight="1"/>
    <row r="422" ht="15.0" customHeight="1"/>
    <row r="423" ht="15.0" customHeight="1"/>
    <row r="424" ht="15.0" customHeight="1"/>
    <row r="425" ht="15.0" customHeight="1"/>
    <row r="426" ht="15.0" customHeight="1"/>
    <row r="427" ht="15.0" customHeight="1"/>
    <row r="428" ht="15.0" customHeight="1"/>
    <row r="429" ht="15.0" customHeight="1"/>
    <row r="430" ht="15.0" customHeight="1"/>
    <row r="431" ht="15.0" customHeight="1"/>
    <row r="432" ht="15.0" customHeight="1"/>
    <row r="433" ht="15.0" customHeight="1"/>
    <row r="434" ht="15.0" customHeight="1"/>
    <row r="435" ht="15.0" customHeight="1"/>
    <row r="436" ht="15.0" customHeight="1"/>
    <row r="437" ht="15.0" customHeight="1"/>
    <row r="438" ht="15.0" customHeight="1"/>
    <row r="439" ht="15.0" customHeight="1"/>
    <row r="440" ht="15.0" customHeight="1"/>
    <row r="441" ht="15.0" customHeight="1"/>
    <row r="442" ht="15.0" customHeight="1"/>
    <row r="443" ht="15.0" customHeight="1"/>
    <row r="444" ht="15.0" customHeight="1"/>
    <row r="445" ht="15.0" customHeight="1"/>
    <row r="446" ht="15.0" customHeight="1"/>
    <row r="447" ht="15.0" customHeight="1"/>
    <row r="448" ht="15.0" customHeight="1"/>
    <row r="449" ht="15.0" customHeight="1"/>
    <row r="450" ht="15.0" customHeight="1"/>
    <row r="451" ht="15.0" customHeight="1"/>
    <row r="452" ht="15.0" customHeight="1"/>
    <row r="453" ht="15.0" customHeight="1"/>
    <row r="454" ht="15.0" customHeight="1"/>
    <row r="455" ht="15.0" customHeight="1"/>
    <row r="456" ht="15.0" customHeight="1"/>
    <row r="457" ht="15.0" customHeight="1"/>
    <row r="458" ht="15.0" customHeight="1"/>
    <row r="459" ht="15.0" customHeight="1"/>
    <row r="460" ht="15.0" customHeight="1"/>
    <row r="461" ht="15.0" customHeight="1"/>
    <row r="462" ht="15.0" customHeight="1">
      <c r="N462" s="39"/>
    </row>
    <row r="463" ht="15.0" customHeight="1"/>
    <row r="464" ht="15.0" customHeight="1"/>
    <row r="465" ht="15.0" customHeight="1"/>
    <row r="466" ht="15.0" customHeight="1"/>
    <row r="467" ht="15.0" customHeight="1"/>
    <row r="468" ht="15.0" customHeight="1"/>
    <row r="469" ht="15.0" customHeight="1"/>
    <row r="470" ht="15.0" customHeight="1"/>
    <row r="471" ht="15.0" customHeight="1"/>
    <row r="472" ht="15.0" customHeight="1"/>
    <row r="473" ht="15.0" customHeight="1"/>
    <row r="474" ht="15.0" customHeight="1"/>
    <row r="475" ht="15.0" customHeight="1"/>
    <row r="476" ht="15.0" customHeight="1"/>
    <row r="477" ht="15.0" customHeight="1"/>
    <row r="478" ht="15.0" customHeight="1"/>
    <row r="479" ht="15.0" customHeight="1"/>
    <row r="480" ht="15.0" customHeight="1"/>
    <row r="481" ht="15.0" customHeight="1"/>
    <row r="482" ht="15.0" customHeight="1"/>
    <row r="483" ht="15.0" customHeight="1"/>
    <row r="484" ht="15.0" customHeight="1"/>
    <row r="485" ht="15.0" customHeight="1"/>
    <row r="486" ht="15.0" customHeight="1"/>
    <row r="487" ht="15.0" customHeight="1"/>
    <row r="488" ht="15.0" customHeight="1"/>
    <row r="489" ht="15.0" customHeight="1"/>
    <row r="490" ht="15.0" customHeight="1"/>
    <row r="491" ht="15.0" customHeight="1"/>
    <row r="492" ht="15.0" customHeight="1"/>
    <row r="493" ht="15.0" customHeight="1"/>
    <row r="494" ht="15.0" customHeight="1"/>
    <row r="495" ht="15.0" customHeight="1"/>
    <row r="496" ht="15.0" customHeight="1"/>
    <row r="497" ht="15.0" customHeight="1"/>
    <row r="498" ht="15.0" customHeight="1"/>
    <row r="499" ht="15.0" customHeight="1"/>
    <row r="500" ht="15.0" customHeight="1"/>
    <row r="501" ht="15.0" customHeight="1"/>
    <row r="502" ht="15.0" customHeight="1"/>
    <row r="503" ht="15.0" customHeight="1"/>
    <row r="504" ht="15.0" customHeight="1"/>
    <row r="505" ht="15.0" customHeight="1"/>
    <row r="506" ht="15.0" customHeight="1"/>
    <row r="507" ht="15.0" customHeight="1"/>
    <row r="508" ht="15.0" customHeight="1"/>
    <row r="509" ht="15.0" customHeight="1"/>
    <row r="510" ht="15.0" customHeight="1"/>
    <row r="511" ht="15.0" customHeight="1"/>
    <row r="512" ht="15.0" customHeight="1"/>
    <row r="513" ht="15.0" customHeight="1"/>
    <row r="514" ht="15.0" customHeight="1"/>
    <row r="515" ht="15.0" customHeight="1"/>
    <row r="516" ht="15.0" customHeight="1"/>
    <row r="517" ht="15.0" customHeight="1"/>
    <row r="518" ht="15.0" customHeight="1"/>
    <row r="519" ht="15.0" customHeight="1"/>
    <row r="520" ht="15.0" customHeight="1"/>
    <row r="521" ht="15.0" customHeight="1"/>
    <row r="522" ht="15.0" customHeight="1"/>
    <row r="523" ht="15.0" customHeight="1"/>
    <row r="524" ht="15.0" customHeight="1"/>
    <row r="525" ht="15.0" customHeight="1"/>
    <row r="526" ht="15.0" customHeight="1"/>
    <row r="527" ht="15.0" customHeight="1"/>
    <row r="528" ht="15.0" customHeight="1"/>
    <row r="529" ht="15.0" customHeight="1"/>
    <row r="530" ht="15.0" customHeight="1"/>
    <row r="531" ht="15.0" customHeight="1"/>
    <row r="532" ht="15.0" customHeight="1"/>
    <row r="533" ht="15.0" customHeight="1"/>
    <row r="534" ht="15.0" customHeight="1"/>
    <row r="535" ht="15.0" customHeight="1"/>
    <row r="536" ht="15.0" customHeight="1"/>
    <row r="537" ht="15.0" customHeight="1"/>
    <row r="538" ht="15.0" customHeight="1"/>
    <row r="539" ht="15.0" customHeight="1"/>
    <row r="540" ht="15.0" customHeight="1"/>
    <row r="541" ht="15.0" customHeight="1"/>
    <row r="542" ht="15.0" customHeight="1"/>
    <row r="543" ht="15.0" customHeight="1"/>
    <row r="544" ht="15.0" customHeight="1"/>
    <row r="545" ht="15.0" customHeight="1"/>
    <row r="546" ht="15.0" customHeight="1"/>
    <row r="547" ht="15.0" customHeight="1"/>
    <row r="548" ht="15.0" customHeight="1"/>
    <row r="549" ht="15.0" customHeight="1"/>
    <row r="550" ht="15.0" customHeight="1"/>
    <row r="551" ht="15.0" customHeight="1"/>
    <row r="552" ht="15.0" customHeight="1"/>
    <row r="553" ht="15.0" customHeight="1"/>
    <row r="554" ht="15.0" customHeight="1"/>
    <row r="555" ht="15.0" customHeight="1"/>
    <row r="556" ht="15.0" customHeight="1"/>
    <row r="557" ht="15.0" customHeight="1"/>
    <row r="558" ht="15.0" customHeight="1"/>
    <row r="559" ht="15.0" customHeight="1"/>
    <row r="560" ht="15.0" customHeight="1"/>
    <row r="561" ht="15.0" customHeight="1"/>
    <row r="562" ht="15.0" customHeight="1"/>
    <row r="563" ht="15.0" customHeight="1"/>
    <row r="564" ht="15.0" customHeight="1"/>
    <row r="565" ht="15.0" customHeight="1"/>
    <row r="566" ht="15.0" customHeight="1"/>
    <row r="567" ht="15.0" customHeight="1"/>
    <row r="568" ht="15.0" customHeight="1"/>
    <row r="569" ht="15.0" customHeight="1"/>
    <row r="570" ht="15.0" customHeight="1"/>
    <row r="571" ht="15.0" customHeight="1"/>
    <row r="572" ht="15.0" customHeight="1"/>
    <row r="573" ht="15.0" customHeight="1"/>
    <row r="574" ht="15.0" customHeight="1"/>
    <row r="575" ht="15.0" customHeight="1"/>
    <row r="576" ht="15.0" customHeight="1"/>
    <row r="577" ht="15.0" customHeight="1"/>
    <row r="578" ht="15.0" customHeight="1"/>
    <row r="579" ht="15.0" customHeight="1"/>
    <row r="580" ht="15.0" customHeight="1"/>
    <row r="581" ht="15.0" customHeight="1"/>
    <row r="582" ht="15.0" customHeight="1"/>
    <row r="583" ht="15.0" customHeight="1"/>
    <row r="584" ht="15.0" customHeight="1"/>
    <row r="585" ht="15.0" customHeight="1"/>
    <row r="586" ht="15.0" customHeight="1"/>
    <row r="587" ht="15.0" customHeight="1"/>
    <row r="588" ht="15.0" customHeight="1"/>
    <row r="589" ht="15.0" customHeight="1"/>
    <row r="590" ht="15.0" customHeight="1"/>
    <row r="591" ht="15.0" customHeight="1"/>
    <row r="592" ht="15.0" customHeight="1"/>
    <row r="593" ht="15.0" customHeight="1"/>
    <row r="594" ht="15.0" customHeight="1"/>
    <row r="595" ht="15.0" customHeight="1"/>
    <row r="596" ht="15.0" customHeight="1"/>
    <row r="597" ht="15.0" customHeight="1"/>
    <row r="598" ht="15.0" customHeight="1"/>
    <row r="599" ht="15.0" customHeight="1"/>
    <row r="600" ht="15.0" customHeight="1"/>
    <row r="601" ht="15.0" customHeight="1"/>
    <row r="602" ht="15.0" customHeight="1"/>
    <row r="603" ht="15.0" customHeight="1"/>
    <row r="604" ht="15.0" customHeight="1"/>
    <row r="605" ht="15.0" customHeight="1"/>
    <row r="606" ht="15.0" customHeight="1"/>
    <row r="607" ht="15.0" customHeight="1"/>
    <row r="608" ht="15.0" customHeight="1"/>
    <row r="609" ht="15.0" customHeight="1"/>
    <row r="610" ht="15.0" customHeight="1"/>
    <row r="611" ht="15.0" customHeight="1"/>
    <row r="612" ht="15.0" customHeight="1"/>
    <row r="613" ht="15.0" customHeight="1"/>
    <row r="614" ht="15.0" customHeight="1"/>
    <row r="615" ht="15.0" customHeight="1"/>
    <row r="616" ht="15.0" customHeight="1"/>
    <row r="617" ht="15.0" customHeight="1"/>
    <row r="618" ht="15.0" customHeight="1"/>
    <row r="619" ht="15.0" customHeight="1"/>
    <row r="620" ht="15.0" customHeight="1"/>
    <row r="621" ht="15.0" customHeight="1"/>
    <row r="622" ht="15.0" customHeight="1"/>
    <row r="623" ht="15.0" customHeight="1"/>
    <row r="624" ht="15.0" customHeight="1"/>
    <row r="625" ht="15.0" customHeight="1"/>
    <row r="626" ht="15.0" customHeight="1"/>
    <row r="627" ht="15.0" customHeight="1"/>
    <row r="628" ht="15.0" customHeight="1"/>
    <row r="629" ht="15.0" customHeight="1"/>
    <row r="630" ht="15.0" customHeight="1"/>
    <row r="631" ht="15.0" customHeight="1"/>
    <row r="632" ht="15.0" customHeight="1"/>
    <row r="633" ht="15.0" customHeight="1"/>
    <row r="634" ht="15.0" customHeight="1"/>
    <row r="635" ht="15.0" customHeight="1"/>
    <row r="636" ht="15.0" customHeight="1"/>
    <row r="637" ht="15.0" customHeight="1"/>
    <row r="638" ht="15.0" customHeight="1"/>
    <row r="639" ht="15.0" customHeight="1"/>
    <row r="640" ht="15.0" customHeight="1"/>
    <row r="641" ht="15.0" customHeight="1"/>
    <row r="642" ht="15.0" customHeight="1"/>
    <row r="643" ht="15.0" customHeight="1"/>
    <row r="644" ht="15.0" customHeight="1"/>
    <row r="645" ht="15.0" customHeight="1"/>
    <row r="646" ht="15.0" customHeight="1"/>
    <row r="647" ht="15.0" customHeight="1"/>
    <row r="648" ht="15.0" customHeight="1"/>
    <row r="649" ht="15.0" customHeight="1"/>
    <row r="650" ht="15.0" customHeight="1"/>
    <row r="651" ht="15.0" customHeight="1"/>
    <row r="652" ht="15.0" customHeight="1"/>
    <row r="653" ht="15.0" customHeight="1"/>
    <row r="654" ht="15.0" customHeight="1"/>
    <row r="655" ht="15.0" customHeight="1"/>
    <row r="656" ht="15.0" customHeight="1"/>
    <row r="657" ht="15.0" customHeight="1"/>
    <row r="658" ht="15.0" customHeight="1"/>
    <row r="659" ht="15.0" customHeight="1"/>
    <row r="660" ht="15.0" customHeight="1"/>
    <row r="661" ht="15.0" customHeight="1"/>
    <row r="662" ht="15.0" customHeight="1"/>
    <row r="663" ht="15.0" customHeight="1"/>
    <row r="664" ht="15.0" customHeight="1"/>
    <row r="665" ht="15.0" customHeight="1"/>
    <row r="666" ht="15.0" customHeight="1"/>
    <row r="667" ht="15.0" customHeight="1"/>
    <row r="668" ht="15.0" customHeight="1"/>
    <row r="669" ht="15.0" customHeight="1"/>
    <row r="670" ht="15.0" customHeight="1"/>
    <row r="671" ht="15.0" customHeight="1"/>
    <row r="672" ht="15.0" customHeight="1"/>
    <row r="673" ht="15.0" customHeight="1"/>
    <row r="674" ht="15.0" customHeight="1"/>
    <row r="675" ht="15.0" customHeight="1"/>
    <row r="676" ht="15.0" customHeight="1"/>
    <row r="677" ht="15.0" customHeight="1"/>
    <row r="678" ht="15.0" customHeight="1"/>
    <row r="679" ht="15.0" customHeight="1"/>
    <row r="680" ht="15.0" customHeight="1"/>
    <row r="681" ht="15.0" customHeight="1"/>
    <row r="682" ht="15.0" customHeight="1"/>
    <row r="683" ht="15.0" customHeight="1"/>
    <row r="684" ht="15.0" customHeight="1"/>
    <row r="685" ht="15.0" customHeight="1"/>
    <row r="686" ht="15.0" customHeight="1"/>
    <row r="687" ht="15.0" customHeight="1"/>
    <row r="688" ht="15.0" customHeight="1"/>
    <row r="689" ht="15.0" customHeight="1"/>
    <row r="690" ht="15.0" customHeight="1"/>
    <row r="691" ht="15.0" customHeight="1"/>
    <row r="692" ht="15.0" customHeight="1"/>
    <row r="693" ht="15.0" customHeight="1"/>
    <row r="694" ht="15.0" customHeight="1"/>
    <row r="695" ht="15.0" customHeight="1"/>
    <row r="696" ht="15.0" customHeight="1"/>
    <row r="697" ht="15.0" customHeight="1"/>
    <row r="698" ht="15.0" customHeight="1"/>
    <row r="699" ht="15.0" customHeight="1"/>
    <row r="700" ht="15.0" customHeight="1"/>
    <row r="701" ht="15.0" customHeight="1"/>
    <row r="702" ht="15.0" customHeight="1"/>
    <row r="703" ht="15.0" customHeight="1"/>
    <row r="704" ht="15.0" customHeight="1"/>
    <row r="705" ht="15.0" customHeight="1"/>
    <row r="706" ht="15.0" customHeight="1"/>
    <row r="707" ht="15.0" customHeight="1"/>
    <row r="708" ht="15.0" customHeight="1"/>
    <row r="711">
      <c r="K711" s="13"/>
    </row>
    <row r="712">
      <c r="K712" s="13"/>
    </row>
    <row r="713">
      <c r="K713" s="13"/>
    </row>
    <row r="714">
      <c r="K714" s="13"/>
    </row>
    <row r="715">
      <c r="K715" s="13"/>
    </row>
    <row r="716">
      <c r="K716" s="13"/>
    </row>
    <row r="717">
      <c r="K717" s="13"/>
    </row>
    <row r="718">
      <c r="K718" s="13"/>
    </row>
    <row r="719">
      <c r="K719" s="13"/>
    </row>
    <row r="720">
      <c r="K720" s="13"/>
    </row>
    <row r="721">
      <c r="K721" s="13"/>
    </row>
    <row r="722">
      <c r="K722" s="13"/>
    </row>
    <row r="723">
      <c r="K723" s="13"/>
    </row>
    <row r="724">
      <c r="K724" s="13"/>
    </row>
    <row r="725">
      <c r="K725" s="13"/>
    </row>
    <row r="726">
      <c r="K726" s="13"/>
    </row>
    <row r="727">
      <c r="K727" s="13"/>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3" max="3" width="17.29"/>
    <col customWidth="1" min="4" max="4" width="16.43"/>
    <col customWidth="1" min="5" max="6" width="18.29"/>
    <col customWidth="1" min="7" max="7" width="34.71"/>
    <col customWidth="1" min="8" max="8" width="14.86"/>
    <col customWidth="1" min="9" max="9" width="18.29"/>
    <col customWidth="1" min="11" max="11" width="14.86"/>
  </cols>
  <sheetData>
    <row r="1" ht="22.5" customHeight="1">
      <c r="A1" s="43" t="s">
        <v>325</v>
      </c>
      <c r="B1" s="43" t="s">
        <v>326</v>
      </c>
      <c r="C1" s="43" t="s">
        <v>327</v>
      </c>
      <c r="D1" s="43" t="s">
        <v>328</v>
      </c>
      <c r="E1" s="43" t="s">
        <v>329</v>
      </c>
      <c r="F1" s="43" t="s">
        <v>330</v>
      </c>
      <c r="G1" s="43" t="s">
        <v>331</v>
      </c>
      <c r="H1" s="43" t="s">
        <v>332</v>
      </c>
      <c r="I1" s="43" t="s">
        <v>333</v>
      </c>
      <c r="J1" s="43" t="s">
        <v>334</v>
      </c>
      <c r="K1" s="43" t="s">
        <v>335</v>
      </c>
      <c r="L1" s="43" t="s">
        <v>336</v>
      </c>
    </row>
    <row r="2" ht="14.25" customHeight="1">
      <c r="A2" s="10" t="s">
        <v>337</v>
      </c>
      <c r="B2" s="11" t="s">
        <v>12</v>
      </c>
      <c r="C2" s="10"/>
      <c r="D2" s="10">
        <v>0.0</v>
      </c>
      <c r="E2" s="10" t="s">
        <v>338</v>
      </c>
      <c r="F2" s="10"/>
      <c r="G2" s="44" t="s">
        <v>339</v>
      </c>
      <c r="H2" s="10" t="b">
        <v>1</v>
      </c>
      <c r="I2" s="45" t="s">
        <v>340</v>
      </c>
      <c r="J2" s="10"/>
      <c r="K2" s="10"/>
      <c r="L2" s="10"/>
    </row>
    <row r="3" ht="15.0" customHeight="1">
      <c r="A3" s="10" t="s">
        <v>341</v>
      </c>
      <c r="B3" s="11" t="s">
        <v>12</v>
      </c>
      <c r="D3" s="11">
        <v>1.0</v>
      </c>
      <c r="E3" s="11" t="s">
        <v>342</v>
      </c>
      <c r="F3" s="11"/>
      <c r="G3" s="11" t="s">
        <v>343</v>
      </c>
      <c r="H3" s="12" t="b">
        <v>0</v>
      </c>
      <c r="I3" s="12"/>
      <c r="J3" s="10">
        <v>2.0</v>
      </c>
      <c r="K3" s="46">
        <v>2.0</v>
      </c>
    </row>
    <row r="4" ht="15.0" customHeight="1">
      <c r="A4" s="10" t="s">
        <v>341</v>
      </c>
      <c r="B4" s="11" t="s">
        <v>12</v>
      </c>
      <c r="D4" s="11">
        <v>2.0</v>
      </c>
      <c r="E4" s="11" t="s">
        <v>344</v>
      </c>
      <c r="F4" s="11"/>
      <c r="G4" s="11" t="s">
        <v>345</v>
      </c>
      <c r="H4" s="12" t="b">
        <v>1</v>
      </c>
      <c r="I4" s="47" t="s">
        <v>346</v>
      </c>
      <c r="J4" s="10">
        <v>2.0</v>
      </c>
      <c r="K4" s="46">
        <v>2.0</v>
      </c>
    </row>
    <row r="5" ht="15.0" customHeight="1">
      <c r="A5" s="10" t="s">
        <v>341</v>
      </c>
      <c r="B5" s="11" t="s">
        <v>12</v>
      </c>
      <c r="D5" s="11">
        <v>3.0</v>
      </c>
      <c r="E5" s="11" t="s">
        <v>347</v>
      </c>
      <c r="F5" s="11"/>
      <c r="G5" s="11" t="s">
        <v>348</v>
      </c>
      <c r="H5" s="12" t="b">
        <v>0</v>
      </c>
      <c r="J5" s="10">
        <v>2.0</v>
      </c>
      <c r="K5" s="46">
        <v>2.0</v>
      </c>
    </row>
    <row r="6" ht="15.0" customHeight="1">
      <c r="A6" s="10" t="s">
        <v>349</v>
      </c>
      <c r="B6" s="11" t="s">
        <v>12</v>
      </c>
      <c r="C6" s="10" t="s">
        <v>15</v>
      </c>
      <c r="D6" s="10">
        <v>3.0</v>
      </c>
      <c r="E6" s="10" t="s">
        <v>350</v>
      </c>
      <c r="G6" s="18" t="s">
        <v>351</v>
      </c>
      <c r="H6" s="10" t="b">
        <v>1</v>
      </c>
      <c r="I6" s="48" t="s">
        <v>352</v>
      </c>
      <c r="J6" s="10">
        <v>2.0</v>
      </c>
      <c r="K6" s="46">
        <v>2.0</v>
      </c>
    </row>
    <row r="7" ht="15.0" customHeight="1">
      <c r="A7" s="10" t="s">
        <v>349</v>
      </c>
      <c r="B7" s="11" t="s">
        <v>12</v>
      </c>
      <c r="C7" s="10" t="s">
        <v>15</v>
      </c>
      <c r="D7" s="10">
        <v>3.0</v>
      </c>
      <c r="E7" s="10" t="s">
        <v>353</v>
      </c>
      <c r="G7" s="18" t="s">
        <v>354</v>
      </c>
      <c r="H7" t="b">
        <v>0</v>
      </c>
      <c r="J7" s="10">
        <v>2.0</v>
      </c>
      <c r="K7" s="46">
        <v>2.0</v>
      </c>
    </row>
    <row r="8" ht="15.0" customHeight="1">
      <c r="A8" s="10" t="s">
        <v>349</v>
      </c>
      <c r="B8" s="11" t="s">
        <v>12</v>
      </c>
      <c r="C8" s="10" t="s">
        <v>15</v>
      </c>
      <c r="D8" s="10">
        <v>3.0</v>
      </c>
      <c r="E8" s="10" t="s">
        <v>355</v>
      </c>
      <c r="G8" s="18" t="s">
        <v>356</v>
      </c>
      <c r="H8" s="10" t="b">
        <v>1</v>
      </c>
      <c r="I8" s="48" t="s">
        <v>357</v>
      </c>
      <c r="J8" s="10">
        <v>2.0</v>
      </c>
      <c r="K8" s="46">
        <v>2.0</v>
      </c>
    </row>
    <row r="9" ht="15.0" customHeight="1">
      <c r="A9" s="10" t="s">
        <v>349</v>
      </c>
      <c r="B9" s="11" t="s">
        <v>12</v>
      </c>
      <c r="C9" s="10" t="s">
        <v>20</v>
      </c>
      <c r="D9" s="10">
        <v>3.0</v>
      </c>
      <c r="E9" s="10" t="s">
        <v>358</v>
      </c>
      <c r="G9" s="18" t="s">
        <v>359</v>
      </c>
      <c r="H9" s="10" t="b">
        <v>1</v>
      </c>
      <c r="I9" s="48" t="s">
        <v>360</v>
      </c>
      <c r="J9" s="10">
        <v>2.0</v>
      </c>
      <c r="K9" s="46">
        <v>2.0</v>
      </c>
    </row>
    <row r="10" ht="15.0" customHeight="1">
      <c r="A10" s="10" t="s">
        <v>349</v>
      </c>
      <c r="B10" s="11" t="s">
        <v>12</v>
      </c>
      <c r="C10" s="10" t="s">
        <v>20</v>
      </c>
      <c r="D10" s="10">
        <v>3.0</v>
      </c>
      <c r="E10" s="10" t="s">
        <v>353</v>
      </c>
      <c r="G10" s="18" t="s">
        <v>361</v>
      </c>
      <c r="H10" t="b">
        <v>0</v>
      </c>
      <c r="J10" s="10">
        <v>2.0</v>
      </c>
      <c r="K10" s="46">
        <v>2.0</v>
      </c>
    </row>
    <row r="11" ht="15.0" customHeight="1">
      <c r="A11" s="10" t="s">
        <v>349</v>
      </c>
      <c r="B11" s="11" t="s">
        <v>12</v>
      </c>
      <c r="C11" s="10" t="s">
        <v>20</v>
      </c>
      <c r="D11" s="10">
        <v>3.0</v>
      </c>
      <c r="E11" s="10" t="s">
        <v>362</v>
      </c>
      <c r="G11" s="18" t="s">
        <v>363</v>
      </c>
      <c r="H11" t="b">
        <v>1</v>
      </c>
      <c r="I11" s="48" t="s">
        <v>364</v>
      </c>
      <c r="J11" s="10">
        <v>2.0</v>
      </c>
      <c r="K11" s="46">
        <v>2.0</v>
      </c>
    </row>
    <row r="12" ht="15.0" customHeight="1">
      <c r="A12" s="10" t="s">
        <v>349</v>
      </c>
      <c r="B12" s="11" t="s">
        <v>12</v>
      </c>
      <c r="C12" s="10" t="s">
        <v>26</v>
      </c>
      <c r="D12" s="10">
        <v>3.0</v>
      </c>
      <c r="E12" s="10" t="s">
        <v>353</v>
      </c>
      <c r="G12" s="18" t="s">
        <v>365</v>
      </c>
      <c r="H12" s="10" t="b">
        <v>0</v>
      </c>
      <c r="J12" s="10">
        <v>2.0</v>
      </c>
      <c r="K12" s="46">
        <v>2.0</v>
      </c>
    </row>
    <row r="13" ht="15.0" customHeight="1">
      <c r="A13" s="10" t="s">
        <v>349</v>
      </c>
      <c r="B13" s="11" t="s">
        <v>12</v>
      </c>
      <c r="C13" s="10" t="s">
        <v>26</v>
      </c>
      <c r="D13" s="10">
        <v>3.0</v>
      </c>
      <c r="E13" s="10" t="s">
        <v>366</v>
      </c>
      <c r="G13" s="18" t="s">
        <v>367</v>
      </c>
      <c r="H13" s="10" t="b">
        <v>1</v>
      </c>
      <c r="I13" s="48" t="s">
        <v>368</v>
      </c>
      <c r="J13" s="10">
        <v>2.0</v>
      </c>
      <c r="K13" s="46">
        <v>2.0</v>
      </c>
    </row>
    <row r="14" ht="15.0" customHeight="1">
      <c r="A14" s="10" t="s">
        <v>349</v>
      </c>
      <c r="B14" s="11" t="s">
        <v>12</v>
      </c>
      <c r="C14" s="10" t="s">
        <v>26</v>
      </c>
      <c r="D14" s="10">
        <v>3.0</v>
      </c>
      <c r="E14" s="10" t="s">
        <v>313</v>
      </c>
      <c r="G14" s="18" t="s">
        <v>369</v>
      </c>
      <c r="H14" s="10" t="b">
        <v>0</v>
      </c>
      <c r="J14" s="10">
        <v>2.0</v>
      </c>
      <c r="K14" s="46">
        <v>2.0</v>
      </c>
    </row>
    <row r="15" ht="15.0" customHeight="1">
      <c r="A15" s="10" t="s">
        <v>349</v>
      </c>
      <c r="B15" s="11" t="s">
        <v>12</v>
      </c>
      <c r="C15" s="10" t="s">
        <v>26</v>
      </c>
      <c r="D15" s="10">
        <v>3.0</v>
      </c>
      <c r="E15" s="10" t="s">
        <v>370</v>
      </c>
      <c r="G15" s="18" t="s">
        <v>371</v>
      </c>
      <c r="H15" s="10" t="b">
        <v>0</v>
      </c>
      <c r="J15" s="10">
        <v>2.0</v>
      </c>
      <c r="K15" s="46">
        <v>2.0</v>
      </c>
    </row>
    <row r="16" ht="15.0" customHeight="1">
      <c r="A16" s="10" t="s">
        <v>337</v>
      </c>
      <c r="B16" s="11" t="s">
        <v>12</v>
      </c>
      <c r="D16" s="18">
        <v>4.0</v>
      </c>
      <c r="E16" s="10" t="s">
        <v>372</v>
      </c>
      <c r="F16" s="18"/>
      <c r="G16" s="10" t="s">
        <v>373</v>
      </c>
      <c r="H16" s="49" t="b">
        <v>1</v>
      </c>
      <c r="I16" s="45" t="s">
        <v>374</v>
      </c>
      <c r="J16" s="10">
        <v>2.0</v>
      </c>
      <c r="K16" s="46">
        <v>2.0</v>
      </c>
    </row>
    <row r="17" ht="15.0" customHeight="1">
      <c r="A17" s="50" t="s">
        <v>349</v>
      </c>
      <c r="B17" s="11" t="s">
        <v>12</v>
      </c>
      <c r="C17" s="41" t="s">
        <v>15</v>
      </c>
      <c r="D17" s="51">
        <v>5.0</v>
      </c>
      <c r="E17" s="50" t="s">
        <v>375</v>
      </c>
      <c r="F17" s="50"/>
      <c r="G17" s="52" t="s">
        <v>376</v>
      </c>
      <c r="H17" s="53" t="b">
        <v>0</v>
      </c>
      <c r="J17" s="10">
        <v>2.0</v>
      </c>
      <c r="K17" s="46">
        <v>2.0</v>
      </c>
    </row>
    <row r="18" ht="15.0" customHeight="1">
      <c r="A18" s="50" t="s">
        <v>349</v>
      </c>
      <c r="B18" s="11" t="s">
        <v>12</v>
      </c>
      <c r="C18" s="41" t="s">
        <v>20</v>
      </c>
      <c r="D18" s="51">
        <v>5.0</v>
      </c>
      <c r="E18" s="50" t="s">
        <v>377</v>
      </c>
      <c r="F18" s="50"/>
      <c r="G18" s="52" t="s">
        <v>378</v>
      </c>
      <c r="H18" s="53" t="b">
        <v>0</v>
      </c>
      <c r="J18" s="10">
        <v>2.0</v>
      </c>
      <c r="K18" s="46">
        <v>2.0</v>
      </c>
    </row>
    <row r="19" ht="15.0" customHeight="1">
      <c r="A19" s="50" t="s">
        <v>349</v>
      </c>
      <c r="B19" s="11" t="s">
        <v>12</v>
      </c>
      <c r="C19" s="41" t="s">
        <v>26</v>
      </c>
      <c r="D19" s="51">
        <v>5.0</v>
      </c>
      <c r="E19" s="50" t="s">
        <v>379</v>
      </c>
      <c r="F19" s="50"/>
      <c r="G19" s="52" t="s">
        <v>380</v>
      </c>
      <c r="H19" s="53" t="b">
        <v>0</v>
      </c>
      <c r="J19" s="10">
        <v>2.0</v>
      </c>
      <c r="K19" s="46">
        <v>2.0</v>
      </c>
    </row>
    <row r="20" ht="15.0" customHeight="1">
      <c r="A20" s="10" t="s">
        <v>341</v>
      </c>
      <c r="B20" s="11" t="s">
        <v>12</v>
      </c>
      <c r="D20" s="11">
        <v>6.0</v>
      </c>
      <c r="E20" s="11" t="s">
        <v>381</v>
      </c>
      <c r="F20" s="11"/>
      <c r="G20" s="11" t="s">
        <v>382</v>
      </c>
      <c r="H20" s="10" t="b">
        <v>0</v>
      </c>
      <c r="J20" s="10">
        <v>2.0</v>
      </c>
      <c r="K20" s="46">
        <v>3.0</v>
      </c>
    </row>
    <row r="21" ht="15.0" customHeight="1">
      <c r="A21" s="10" t="s">
        <v>341</v>
      </c>
      <c r="B21" s="11" t="s">
        <v>12</v>
      </c>
      <c r="D21" s="11">
        <v>7.0</v>
      </c>
      <c r="E21" s="11" t="s">
        <v>383</v>
      </c>
      <c r="F21" s="11"/>
      <c r="G21" s="11" t="s">
        <v>384</v>
      </c>
      <c r="H21" s="53" t="b">
        <v>0</v>
      </c>
      <c r="J21" s="10">
        <v>2.0</v>
      </c>
      <c r="K21" s="46">
        <v>3.0</v>
      </c>
    </row>
    <row r="22" ht="15.0" customHeight="1">
      <c r="A22" s="10" t="s">
        <v>337</v>
      </c>
      <c r="B22" s="11" t="s">
        <v>12</v>
      </c>
      <c r="D22" s="18">
        <v>8.0</v>
      </c>
      <c r="E22" s="10" t="s">
        <v>372</v>
      </c>
      <c r="F22" s="18"/>
      <c r="G22" s="10" t="s">
        <v>373</v>
      </c>
      <c r="H22" s="49" t="b">
        <v>1</v>
      </c>
      <c r="I22" s="45" t="s">
        <v>374</v>
      </c>
      <c r="J22" s="10">
        <v>2.0</v>
      </c>
      <c r="K22" s="46">
        <v>3.0</v>
      </c>
    </row>
    <row r="23" ht="15.0" customHeight="1">
      <c r="A23" s="41" t="s">
        <v>349</v>
      </c>
      <c r="B23" s="11" t="s">
        <v>12</v>
      </c>
      <c r="C23" s="41" t="s">
        <v>15</v>
      </c>
      <c r="D23" s="54">
        <v>9.0</v>
      </c>
      <c r="E23" s="41" t="s">
        <v>385</v>
      </c>
      <c r="F23" s="41"/>
      <c r="G23" s="42" t="s">
        <v>386</v>
      </c>
      <c r="H23" s="53" t="b">
        <v>0</v>
      </c>
      <c r="J23" s="10">
        <v>2.0</v>
      </c>
      <c r="K23" s="46">
        <v>3.0</v>
      </c>
    </row>
    <row r="24" ht="15.0" customHeight="1">
      <c r="A24" s="41" t="s">
        <v>349</v>
      </c>
      <c r="B24" s="11" t="s">
        <v>12</v>
      </c>
      <c r="C24" s="41" t="s">
        <v>20</v>
      </c>
      <c r="D24" s="54">
        <v>9.0</v>
      </c>
      <c r="E24" s="41" t="s">
        <v>387</v>
      </c>
      <c r="F24" s="41"/>
      <c r="G24" s="42" t="s">
        <v>388</v>
      </c>
      <c r="H24" s="53" t="b">
        <v>0</v>
      </c>
      <c r="J24" s="10">
        <v>2.0</v>
      </c>
      <c r="K24" s="46">
        <v>3.0</v>
      </c>
    </row>
    <row r="25" ht="15.0" customHeight="1">
      <c r="A25" s="41" t="s">
        <v>349</v>
      </c>
      <c r="B25" s="11" t="s">
        <v>12</v>
      </c>
      <c r="C25" s="41" t="s">
        <v>26</v>
      </c>
      <c r="D25" s="54">
        <v>9.0</v>
      </c>
      <c r="E25" s="41" t="s">
        <v>389</v>
      </c>
      <c r="F25" s="41"/>
      <c r="G25" s="42" t="s">
        <v>390</v>
      </c>
      <c r="H25" s="53" t="b">
        <v>0</v>
      </c>
      <c r="J25" s="10">
        <v>2.0</v>
      </c>
      <c r="K25" s="46">
        <v>3.0</v>
      </c>
    </row>
    <row r="26" ht="15.0" customHeight="1">
      <c r="A26" s="10" t="s">
        <v>341</v>
      </c>
      <c r="B26" s="11" t="s">
        <v>12</v>
      </c>
      <c r="D26" s="11">
        <v>10.0</v>
      </c>
      <c r="E26" s="11" t="s">
        <v>391</v>
      </c>
      <c r="F26" s="11"/>
      <c r="G26" s="11" t="s">
        <v>392</v>
      </c>
      <c r="H26" s="53" t="b">
        <v>0</v>
      </c>
      <c r="J26" s="10">
        <v>3.0</v>
      </c>
      <c r="K26" s="46">
        <v>4.0</v>
      </c>
    </row>
    <row r="27" ht="15.0" customHeight="1">
      <c r="A27" s="10" t="s">
        <v>341</v>
      </c>
      <c r="B27" s="11" t="s">
        <v>12</v>
      </c>
      <c r="D27" s="11">
        <v>11.0</v>
      </c>
      <c r="E27" s="11" t="s">
        <v>393</v>
      </c>
      <c r="F27" s="11"/>
      <c r="G27" s="11" t="s">
        <v>394</v>
      </c>
      <c r="H27" s="10" t="b">
        <v>0</v>
      </c>
      <c r="J27" s="10">
        <v>3.0</v>
      </c>
      <c r="K27" s="46">
        <v>4.0</v>
      </c>
    </row>
    <row r="28" ht="15.0" customHeight="1">
      <c r="A28" s="10" t="s">
        <v>341</v>
      </c>
      <c r="B28" s="11" t="s">
        <v>12</v>
      </c>
      <c r="D28" s="11">
        <v>14.0</v>
      </c>
      <c r="E28" s="11" t="s">
        <v>395</v>
      </c>
      <c r="F28" s="11"/>
      <c r="G28" s="11" t="s">
        <v>396</v>
      </c>
      <c r="H28" s="53" t="b">
        <v>0</v>
      </c>
      <c r="I28" s="39"/>
      <c r="J28" s="10">
        <v>4.0</v>
      </c>
      <c r="K28" s="46">
        <v>5.0</v>
      </c>
    </row>
    <row r="29" ht="15.0" customHeight="1">
      <c r="A29" s="41" t="s">
        <v>349</v>
      </c>
      <c r="B29" s="11" t="s">
        <v>12</v>
      </c>
      <c r="C29" s="41" t="s">
        <v>15</v>
      </c>
      <c r="D29" s="54">
        <v>15.0</v>
      </c>
      <c r="E29" s="41" t="s">
        <v>397</v>
      </c>
      <c r="F29" s="41"/>
      <c r="G29" s="52" t="s">
        <v>398</v>
      </c>
      <c r="H29" s="10" t="b">
        <v>0</v>
      </c>
      <c r="I29" s="39"/>
      <c r="J29" s="10">
        <v>4.0</v>
      </c>
      <c r="K29" s="46">
        <v>5.0</v>
      </c>
    </row>
    <row r="30" ht="15.0" customHeight="1">
      <c r="A30" s="41" t="s">
        <v>349</v>
      </c>
      <c r="B30" s="11" t="s">
        <v>12</v>
      </c>
      <c r="C30" s="41" t="s">
        <v>20</v>
      </c>
      <c r="D30" s="54">
        <v>15.0</v>
      </c>
      <c r="E30" s="41" t="s">
        <v>399</v>
      </c>
      <c r="F30" s="41"/>
      <c r="G30" s="52" t="s">
        <v>400</v>
      </c>
      <c r="H30" s="10" t="b">
        <v>0</v>
      </c>
      <c r="J30" s="10">
        <v>4.0</v>
      </c>
      <c r="K30" s="46">
        <v>5.0</v>
      </c>
    </row>
    <row r="31" ht="15.0" customHeight="1">
      <c r="A31" s="41" t="s">
        <v>349</v>
      </c>
      <c r="B31" s="11" t="s">
        <v>12</v>
      </c>
      <c r="C31" s="41" t="s">
        <v>26</v>
      </c>
      <c r="D31" s="54">
        <v>15.0</v>
      </c>
      <c r="E31" s="41" t="s">
        <v>401</v>
      </c>
      <c r="F31" s="41"/>
      <c r="G31" s="42" t="s">
        <v>402</v>
      </c>
      <c r="H31" s="53" t="b">
        <v>0</v>
      </c>
      <c r="J31" s="10">
        <v>4.0</v>
      </c>
      <c r="K31" s="46">
        <v>5.0</v>
      </c>
    </row>
    <row r="32" ht="15.0" customHeight="1">
      <c r="A32" s="10" t="s">
        <v>337</v>
      </c>
      <c r="B32" s="11" t="s">
        <v>12</v>
      </c>
      <c r="D32" s="18">
        <v>16.0</v>
      </c>
      <c r="E32" s="10" t="s">
        <v>372</v>
      </c>
      <c r="F32" s="18"/>
      <c r="G32" s="10" t="s">
        <v>373</v>
      </c>
      <c r="H32" s="49" t="b">
        <v>1</v>
      </c>
      <c r="I32" s="45" t="s">
        <v>374</v>
      </c>
      <c r="J32" s="10">
        <v>4.0</v>
      </c>
      <c r="K32" s="46">
        <v>5.0</v>
      </c>
    </row>
    <row r="33" ht="15.0" customHeight="1">
      <c r="A33" s="10" t="s">
        <v>341</v>
      </c>
      <c r="B33" s="11" t="s">
        <v>12</v>
      </c>
      <c r="D33" s="11">
        <v>18.0</v>
      </c>
      <c r="E33" s="11" t="s">
        <v>403</v>
      </c>
      <c r="F33" s="11"/>
      <c r="G33" s="11" t="s">
        <v>404</v>
      </c>
      <c r="H33" s="53" t="b">
        <v>0</v>
      </c>
      <c r="I33" s="39"/>
      <c r="J33" s="10">
        <v>4.0</v>
      </c>
      <c r="K33" s="46">
        <v>6.0</v>
      </c>
    </row>
    <row r="34" ht="15.0" customHeight="1">
      <c r="A34" s="10" t="s">
        <v>337</v>
      </c>
      <c r="B34" s="11" t="s">
        <v>12</v>
      </c>
      <c r="D34" s="18">
        <v>19.0</v>
      </c>
      <c r="E34" s="10" t="s">
        <v>372</v>
      </c>
      <c r="F34" s="18"/>
      <c r="G34" s="10" t="s">
        <v>373</v>
      </c>
      <c r="H34" s="49" t="b">
        <v>1</v>
      </c>
      <c r="I34" s="45" t="s">
        <v>374</v>
      </c>
      <c r="J34" s="10"/>
      <c r="K34" s="46"/>
    </row>
    <row r="35" ht="15.0" customHeight="1">
      <c r="A35" s="10" t="s">
        <v>341</v>
      </c>
      <c r="B35" s="11" t="s">
        <v>12</v>
      </c>
      <c r="D35" s="11">
        <v>20.0</v>
      </c>
      <c r="E35" s="11" t="s">
        <v>405</v>
      </c>
      <c r="F35" s="11"/>
      <c r="G35" s="11" t="s">
        <v>406</v>
      </c>
      <c r="H35" s="53" t="b">
        <v>0</v>
      </c>
      <c r="J35" s="10">
        <v>4.0</v>
      </c>
      <c r="K35" s="46">
        <v>6.0</v>
      </c>
    </row>
    <row r="36" ht="15.0" customHeight="1">
      <c r="A36" s="10" t="s">
        <v>337</v>
      </c>
      <c r="B36" s="42" t="s">
        <v>18</v>
      </c>
      <c r="D36" s="11">
        <v>0.0</v>
      </c>
      <c r="E36" s="11" t="s">
        <v>407</v>
      </c>
      <c r="F36" s="11"/>
      <c r="G36" s="11" t="s">
        <v>408</v>
      </c>
      <c r="H36" s="10" t="b">
        <v>1</v>
      </c>
      <c r="I36" s="45" t="s">
        <v>340</v>
      </c>
      <c r="J36" s="10"/>
      <c r="K36" s="46"/>
    </row>
    <row r="37" ht="15.0" customHeight="1">
      <c r="A37" s="10" t="s">
        <v>341</v>
      </c>
      <c r="B37" s="42" t="s">
        <v>18</v>
      </c>
      <c r="D37" s="18">
        <v>1.0</v>
      </c>
      <c r="E37" s="18" t="s">
        <v>409</v>
      </c>
      <c r="F37" s="18"/>
      <c r="G37" s="18" t="s">
        <v>410</v>
      </c>
      <c r="H37" s="10" t="b">
        <v>1</v>
      </c>
      <c r="I37" s="48" t="s">
        <v>409</v>
      </c>
    </row>
    <row r="38" ht="15.0" customHeight="1">
      <c r="A38" s="10" t="s">
        <v>341</v>
      </c>
      <c r="B38" s="42" t="s">
        <v>18</v>
      </c>
      <c r="D38" s="18">
        <v>1.0</v>
      </c>
      <c r="E38" s="18" t="s">
        <v>411</v>
      </c>
      <c r="F38" s="18"/>
      <c r="G38" s="18" t="s">
        <v>412</v>
      </c>
      <c r="H38" s="10" t="b">
        <v>0</v>
      </c>
    </row>
    <row r="39" ht="15.0" customHeight="1">
      <c r="A39" s="10" t="s">
        <v>341</v>
      </c>
      <c r="B39" s="42" t="s">
        <v>18</v>
      </c>
      <c r="D39" s="18">
        <v>2.0</v>
      </c>
      <c r="E39" s="18" t="s">
        <v>413</v>
      </c>
      <c r="F39" s="18"/>
      <c r="G39" s="18" t="s">
        <v>414</v>
      </c>
      <c r="H39" s="10" t="b">
        <v>0</v>
      </c>
    </row>
    <row r="40" ht="15.0" customHeight="1">
      <c r="A40" s="10" t="s">
        <v>341</v>
      </c>
      <c r="B40" s="42" t="s">
        <v>18</v>
      </c>
      <c r="D40" s="18">
        <v>2.0</v>
      </c>
      <c r="E40" s="18" t="s">
        <v>415</v>
      </c>
      <c r="F40" s="18"/>
      <c r="G40" s="18" t="s">
        <v>416</v>
      </c>
      <c r="H40" s="10" t="b">
        <v>0</v>
      </c>
    </row>
    <row r="41" ht="15.0" customHeight="1">
      <c r="A41" s="10" t="s">
        <v>341</v>
      </c>
      <c r="B41" s="42" t="s">
        <v>18</v>
      </c>
      <c r="C41" s="10" t="s">
        <v>32</v>
      </c>
      <c r="D41" s="18">
        <v>3.0</v>
      </c>
      <c r="E41" s="10" t="s">
        <v>417</v>
      </c>
      <c r="F41" s="10"/>
      <c r="G41" s="18" t="s">
        <v>418</v>
      </c>
      <c r="H41" s="10" t="b">
        <v>0</v>
      </c>
    </row>
    <row r="42" ht="15.0" customHeight="1">
      <c r="A42" s="10" t="s">
        <v>349</v>
      </c>
      <c r="B42" s="42" t="s">
        <v>18</v>
      </c>
      <c r="C42" s="10" t="s">
        <v>36</v>
      </c>
      <c r="D42" s="18">
        <v>3.0</v>
      </c>
      <c r="E42" s="10" t="s">
        <v>419</v>
      </c>
      <c r="F42" s="10"/>
      <c r="G42" s="18" t="s">
        <v>420</v>
      </c>
      <c r="H42" s="10" t="b">
        <v>0</v>
      </c>
    </row>
    <row r="43" ht="15.0" customHeight="1">
      <c r="A43" s="10" t="s">
        <v>349</v>
      </c>
      <c r="B43" s="42" t="s">
        <v>18</v>
      </c>
      <c r="C43" s="10" t="s">
        <v>41</v>
      </c>
      <c r="D43" s="18">
        <v>3.0</v>
      </c>
      <c r="E43" s="10" t="s">
        <v>421</v>
      </c>
      <c r="F43" s="10"/>
      <c r="G43" s="18" t="s">
        <v>422</v>
      </c>
      <c r="H43" s="10" t="b">
        <v>0</v>
      </c>
    </row>
    <row r="44" ht="15.0" customHeight="1">
      <c r="A44" s="10" t="s">
        <v>349</v>
      </c>
      <c r="B44" s="42" t="s">
        <v>18</v>
      </c>
      <c r="C44" s="10" t="s">
        <v>45</v>
      </c>
      <c r="D44" s="18">
        <v>3.0</v>
      </c>
      <c r="E44" s="10" t="s">
        <v>423</v>
      </c>
      <c r="F44" s="10"/>
      <c r="G44" s="42" t="s">
        <v>424</v>
      </c>
      <c r="H44" s="10" t="b">
        <v>0</v>
      </c>
    </row>
    <row r="45" ht="15.0" customHeight="1">
      <c r="A45" s="10" t="s">
        <v>349</v>
      </c>
      <c r="B45" s="42" t="s">
        <v>18</v>
      </c>
      <c r="C45" s="10" t="s">
        <v>49</v>
      </c>
      <c r="D45" s="18">
        <v>3.0</v>
      </c>
      <c r="E45" s="10" t="s">
        <v>425</v>
      </c>
      <c r="F45" s="10"/>
      <c r="G45" s="52" t="s">
        <v>426</v>
      </c>
      <c r="H45" s="10" t="b">
        <v>0</v>
      </c>
    </row>
    <row r="46" ht="15.0" customHeight="1">
      <c r="A46" s="10" t="s">
        <v>349</v>
      </c>
      <c r="B46" s="42" t="s">
        <v>18</v>
      </c>
      <c r="C46" s="10" t="s">
        <v>49</v>
      </c>
      <c r="D46" s="18">
        <v>3.0</v>
      </c>
      <c r="E46" s="10" t="s">
        <v>427</v>
      </c>
      <c r="F46" s="10"/>
      <c r="G46" s="52" t="s">
        <v>428</v>
      </c>
      <c r="H46" s="10" t="b">
        <v>0</v>
      </c>
    </row>
    <row r="47" ht="15.0" customHeight="1">
      <c r="A47" s="10" t="s">
        <v>349</v>
      </c>
      <c r="B47" s="42" t="s">
        <v>18</v>
      </c>
      <c r="C47" s="41" t="s">
        <v>53</v>
      </c>
      <c r="D47" s="10">
        <v>3.0</v>
      </c>
      <c r="E47" s="50" t="s">
        <v>429</v>
      </c>
      <c r="F47" s="50"/>
      <c r="G47" s="42" t="s">
        <v>430</v>
      </c>
      <c r="H47" s="10" t="b">
        <v>0</v>
      </c>
    </row>
    <row r="48" ht="15.0" customHeight="1">
      <c r="A48" s="10" t="s">
        <v>349</v>
      </c>
      <c r="B48" s="42" t="s">
        <v>18</v>
      </c>
      <c r="C48" s="55" t="s">
        <v>53</v>
      </c>
      <c r="D48" s="10">
        <v>3.0</v>
      </c>
      <c r="E48" s="10" t="s">
        <v>431</v>
      </c>
      <c r="F48" s="10"/>
      <c r="G48" s="18" t="s">
        <v>432</v>
      </c>
      <c r="H48" s="10" t="b">
        <v>0</v>
      </c>
    </row>
    <row r="49" ht="15.0" customHeight="1">
      <c r="A49" s="10" t="s">
        <v>337</v>
      </c>
      <c r="B49" s="42" t="s">
        <v>18</v>
      </c>
      <c r="D49" s="18">
        <v>4.0</v>
      </c>
      <c r="E49" s="10" t="s">
        <v>372</v>
      </c>
      <c r="F49" s="18"/>
      <c r="G49" s="10" t="s">
        <v>433</v>
      </c>
      <c r="H49" s="49" t="b">
        <v>1</v>
      </c>
      <c r="I49" s="45" t="s">
        <v>374</v>
      </c>
    </row>
    <row r="50" ht="15.0" customHeight="1">
      <c r="A50" s="10" t="s">
        <v>341</v>
      </c>
      <c r="B50" s="42" t="s">
        <v>18</v>
      </c>
      <c r="D50" s="18">
        <v>5.0</v>
      </c>
      <c r="E50" s="18" t="s">
        <v>379</v>
      </c>
      <c r="F50" s="18"/>
      <c r="G50" s="42" t="s">
        <v>434</v>
      </c>
      <c r="H50" s="10" t="b">
        <v>0</v>
      </c>
    </row>
    <row r="51" ht="15.0" customHeight="1">
      <c r="A51" s="10" t="s">
        <v>341</v>
      </c>
      <c r="B51" s="42" t="s">
        <v>18</v>
      </c>
      <c r="D51" s="18">
        <v>5.0</v>
      </c>
      <c r="E51" s="18" t="s">
        <v>435</v>
      </c>
      <c r="F51" s="18"/>
      <c r="G51" s="42" t="s">
        <v>436</v>
      </c>
      <c r="H51" s="10" t="b">
        <v>0</v>
      </c>
    </row>
    <row r="52" ht="15.0" customHeight="1">
      <c r="A52" s="10" t="s">
        <v>341</v>
      </c>
      <c r="B52" s="42" t="s">
        <v>18</v>
      </c>
      <c r="C52" s="10" t="s">
        <v>32</v>
      </c>
      <c r="D52" s="10">
        <v>6.0</v>
      </c>
      <c r="E52" s="18" t="s">
        <v>437</v>
      </c>
      <c r="F52" s="18"/>
      <c r="G52" s="56" t="s">
        <v>438</v>
      </c>
      <c r="H52" s="10" t="b">
        <v>0</v>
      </c>
    </row>
    <row r="53" ht="15.0" customHeight="1">
      <c r="A53" s="10" t="s">
        <v>349</v>
      </c>
      <c r="B53" s="42" t="s">
        <v>18</v>
      </c>
      <c r="C53" s="10" t="s">
        <v>36</v>
      </c>
      <c r="D53" s="18">
        <v>6.0</v>
      </c>
      <c r="E53" s="10" t="s">
        <v>439</v>
      </c>
      <c r="F53" s="10"/>
      <c r="G53" s="18" t="s">
        <v>440</v>
      </c>
      <c r="H53" s="10" t="b">
        <v>0</v>
      </c>
    </row>
    <row r="54">
      <c r="A54" s="10" t="s">
        <v>349</v>
      </c>
      <c r="B54" s="42" t="s">
        <v>18</v>
      </c>
      <c r="C54" s="10" t="s">
        <v>41</v>
      </c>
      <c r="D54" s="18">
        <v>6.0</v>
      </c>
      <c r="E54" s="10" t="s">
        <v>441</v>
      </c>
      <c r="F54" s="10"/>
      <c r="G54" s="18" t="s">
        <v>442</v>
      </c>
      <c r="H54" s="10" t="b">
        <v>0</v>
      </c>
    </row>
    <row r="55" ht="22.5" customHeight="1">
      <c r="A55" s="10" t="s">
        <v>349</v>
      </c>
      <c r="B55" s="42" t="s">
        <v>18</v>
      </c>
      <c r="C55" s="10" t="s">
        <v>45</v>
      </c>
      <c r="D55" s="18">
        <v>6.0</v>
      </c>
      <c r="E55" s="10" t="s">
        <v>443</v>
      </c>
      <c r="F55" s="10"/>
      <c r="G55" s="18" t="s">
        <v>444</v>
      </c>
      <c r="H55" s="10" t="b">
        <v>0</v>
      </c>
    </row>
    <row r="56" ht="26.25" customHeight="1">
      <c r="A56" s="10" t="s">
        <v>349</v>
      </c>
      <c r="B56" s="42" t="s">
        <v>18</v>
      </c>
      <c r="C56" s="10" t="s">
        <v>49</v>
      </c>
      <c r="D56" s="10">
        <v>6.0</v>
      </c>
      <c r="E56" s="50" t="s">
        <v>445</v>
      </c>
      <c r="F56" s="50"/>
      <c r="G56" s="42" t="s">
        <v>446</v>
      </c>
      <c r="H56" s="10" t="b">
        <v>0</v>
      </c>
    </row>
    <row r="57">
      <c r="A57" s="10" t="s">
        <v>349</v>
      </c>
      <c r="B57" s="42" t="s">
        <v>18</v>
      </c>
      <c r="C57" s="41" t="s">
        <v>53</v>
      </c>
      <c r="D57" s="18">
        <v>6.0</v>
      </c>
      <c r="E57" s="10" t="s">
        <v>447</v>
      </c>
      <c r="F57" s="10"/>
      <c r="G57" s="18" t="s">
        <v>448</v>
      </c>
      <c r="H57" s="10" t="b">
        <v>0</v>
      </c>
    </row>
    <row r="58" ht="16.5" customHeight="1">
      <c r="A58" s="10" t="s">
        <v>341</v>
      </c>
      <c r="B58" s="42" t="s">
        <v>18</v>
      </c>
      <c r="D58" s="18">
        <v>7.0</v>
      </c>
      <c r="E58" s="18" t="s">
        <v>449</v>
      </c>
      <c r="F58" s="18"/>
      <c r="G58" s="42" t="s">
        <v>450</v>
      </c>
      <c r="H58" s="10" t="b">
        <v>0</v>
      </c>
    </row>
    <row r="59" ht="16.5" customHeight="1">
      <c r="A59" s="10" t="s">
        <v>337</v>
      </c>
      <c r="B59" s="42" t="s">
        <v>18</v>
      </c>
      <c r="D59" s="18">
        <v>8.0</v>
      </c>
      <c r="E59" s="10" t="s">
        <v>372</v>
      </c>
      <c r="F59" s="18"/>
      <c r="G59" s="10" t="s">
        <v>433</v>
      </c>
      <c r="H59" s="49" t="b">
        <v>1</v>
      </c>
      <c r="I59" s="45" t="s">
        <v>374</v>
      </c>
    </row>
    <row r="60" ht="22.5" customHeight="1">
      <c r="A60" s="10" t="s">
        <v>341</v>
      </c>
      <c r="B60" s="42" t="s">
        <v>18</v>
      </c>
      <c r="D60" s="18">
        <v>9.0</v>
      </c>
      <c r="E60" s="18" t="s">
        <v>451</v>
      </c>
      <c r="F60" s="18"/>
      <c r="G60" s="42" t="s">
        <v>452</v>
      </c>
      <c r="H60" s="10" t="b">
        <v>0</v>
      </c>
    </row>
    <row r="61" ht="13.5" customHeight="1">
      <c r="A61" s="10" t="s">
        <v>341</v>
      </c>
      <c r="B61" s="42" t="s">
        <v>18</v>
      </c>
      <c r="C61" s="10" t="s">
        <v>32</v>
      </c>
      <c r="D61" s="10">
        <v>10.0</v>
      </c>
      <c r="E61" s="10" t="s">
        <v>453</v>
      </c>
      <c r="F61" s="10"/>
      <c r="G61" s="18" t="s">
        <v>454</v>
      </c>
      <c r="H61" s="10" t="b">
        <v>0</v>
      </c>
    </row>
    <row r="62">
      <c r="A62" s="10" t="s">
        <v>349</v>
      </c>
      <c r="B62" s="42" t="s">
        <v>18</v>
      </c>
      <c r="C62" s="10" t="s">
        <v>36</v>
      </c>
      <c r="D62" s="10">
        <v>10.0</v>
      </c>
      <c r="E62" s="10" t="s">
        <v>455</v>
      </c>
      <c r="F62" s="10"/>
      <c r="G62" s="18" t="s">
        <v>456</v>
      </c>
      <c r="H62" s="10" t="b">
        <v>0</v>
      </c>
    </row>
    <row r="63" ht="17.25" customHeight="1">
      <c r="A63" s="10" t="s">
        <v>349</v>
      </c>
      <c r="B63" s="42" t="s">
        <v>18</v>
      </c>
      <c r="C63" s="10" t="s">
        <v>41</v>
      </c>
      <c r="D63" s="10">
        <v>10.0</v>
      </c>
      <c r="E63" s="10" t="s">
        <v>457</v>
      </c>
      <c r="F63" s="10"/>
      <c r="G63" s="18" t="s">
        <v>458</v>
      </c>
      <c r="H63" s="10" t="b">
        <v>0</v>
      </c>
    </row>
    <row r="64">
      <c r="A64" s="10" t="s">
        <v>349</v>
      </c>
      <c r="B64" s="42" t="s">
        <v>18</v>
      </c>
      <c r="C64" s="10" t="s">
        <v>45</v>
      </c>
      <c r="D64" s="10">
        <v>10.0</v>
      </c>
      <c r="E64" s="10" t="s">
        <v>459</v>
      </c>
      <c r="F64" s="10"/>
      <c r="G64" s="18" t="s">
        <v>460</v>
      </c>
      <c r="H64" s="10" t="b">
        <v>0</v>
      </c>
    </row>
    <row r="65">
      <c r="A65" s="10" t="s">
        <v>349</v>
      </c>
      <c r="B65" s="42" t="s">
        <v>18</v>
      </c>
      <c r="C65" s="10" t="s">
        <v>49</v>
      </c>
      <c r="D65" s="10">
        <v>10.0</v>
      </c>
      <c r="E65" s="10" t="s">
        <v>461</v>
      </c>
      <c r="F65" s="10"/>
      <c r="G65" s="18" t="s">
        <v>462</v>
      </c>
      <c r="H65" s="10" t="b">
        <v>0</v>
      </c>
    </row>
    <row r="66" ht="19.5" customHeight="1">
      <c r="A66" s="10" t="s">
        <v>349</v>
      </c>
      <c r="B66" s="42" t="s">
        <v>18</v>
      </c>
      <c r="C66" s="41" t="s">
        <v>53</v>
      </c>
      <c r="D66" s="10">
        <v>10.0</v>
      </c>
      <c r="E66" s="10" t="s">
        <v>463</v>
      </c>
      <c r="F66" s="10"/>
      <c r="G66" s="18" t="s">
        <v>464</v>
      </c>
      <c r="H66" s="10" t="b">
        <v>0</v>
      </c>
    </row>
    <row r="67" ht="19.5" customHeight="1">
      <c r="A67" s="10" t="s">
        <v>341</v>
      </c>
      <c r="B67" s="42" t="s">
        <v>18</v>
      </c>
      <c r="D67" s="18">
        <v>11.0</v>
      </c>
      <c r="E67" s="18" t="s">
        <v>465</v>
      </c>
      <c r="F67" s="18"/>
      <c r="G67" s="42" t="s">
        <v>466</v>
      </c>
      <c r="H67" s="10" t="b">
        <v>0</v>
      </c>
    </row>
    <row r="68" ht="19.5" customHeight="1">
      <c r="A68" s="10" t="s">
        <v>337</v>
      </c>
      <c r="B68" s="42" t="s">
        <v>18</v>
      </c>
      <c r="D68" s="18">
        <v>12.0</v>
      </c>
      <c r="E68" s="10" t="s">
        <v>372</v>
      </c>
      <c r="F68" s="18"/>
      <c r="G68" s="10" t="s">
        <v>433</v>
      </c>
      <c r="H68" s="49" t="b">
        <v>1</v>
      </c>
      <c r="I68" s="45" t="s">
        <v>374</v>
      </c>
    </row>
    <row r="69" ht="16.5" customHeight="1">
      <c r="A69" s="10" t="s">
        <v>349</v>
      </c>
      <c r="B69" s="42" t="s">
        <v>18</v>
      </c>
      <c r="C69" s="10" t="s">
        <v>32</v>
      </c>
      <c r="D69" s="54">
        <v>14.0</v>
      </c>
      <c r="E69" s="41" t="s">
        <v>467</v>
      </c>
      <c r="F69" s="41"/>
      <c r="G69" s="42" t="s">
        <v>468</v>
      </c>
      <c r="H69" s="10" t="b">
        <v>0</v>
      </c>
    </row>
    <row r="70">
      <c r="A70" s="10" t="s">
        <v>349</v>
      </c>
      <c r="B70" s="42" t="s">
        <v>18</v>
      </c>
      <c r="C70" s="10" t="s">
        <v>36</v>
      </c>
      <c r="D70" s="54">
        <v>14.0</v>
      </c>
      <c r="E70" s="41" t="s">
        <v>469</v>
      </c>
      <c r="F70" s="41"/>
      <c r="G70" s="42" t="s">
        <v>470</v>
      </c>
      <c r="H70" s="10" t="b">
        <v>0</v>
      </c>
    </row>
    <row r="71">
      <c r="A71" s="10" t="s">
        <v>349</v>
      </c>
      <c r="B71" s="42" t="s">
        <v>18</v>
      </c>
      <c r="C71" s="10" t="s">
        <v>41</v>
      </c>
      <c r="D71" s="54">
        <v>14.0</v>
      </c>
      <c r="E71" s="41" t="s">
        <v>471</v>
      </c>
      <c r="F71" s="41"/>
      <c r="G71" s="42" t="s">
        <v>472</v>
      </c>
      <c r="H71" s="10" t="b">
        <v>0</v>
      </c>
    </row>
    <row r="72" ht="23.25" customHeight="1">
      <c r="A72" s="10" t="s">
        <v>349</v>
      </c>
      <c r="B72" s="42" t="s">
        <v>18</v>
      </c>
      <c r="C72" s="10" t="s">
        <v>45</v>
      </c>
      <c r="D72" s="54">
        <v>14.0</v>
      </c>
      <c r="E72" s="41" t="s">
        <v>473</v>
      </c>
      <c r="F72" s="41"/>
      <c r="G72" s="42" t="s">
        <v>474</v>
      </c>
      <c r="H72" s="10" t="b">
        <v>0</v>
      </c>
    </row>
    <row r="73" ht="25.5" customHeight="1">
      <c r="A73" s="10" t="s">
        <v>349</v>
      </c>
      <c r="B73" s="42" t="s">
        <v>18</v>
      </c>
      <c r="C73" s="10" t="s">
        <v>49</v>
      </c>
      <c r="D73" s="54">
        <v>14.0</v>
      </c>
      <c r="E73" s="41" t="s">
        <v>475</v>
      </c>
      <c r="F73" s="41"/>
      <c r="G73" s="42" t="s">
        <v>476</v>
      </c>
      <c r="H73" s="10" t="b">
        <v>0</v>
      </c>
    </row>
    <row r="74" ht="23.25" customHeight="1">
      <c r="A74" s="10" t="s">
        <v>341</v>
      </c>
      <c r="B74" s="42" t="s">
        <v>18</v>
      </c>
      <c r="C74" s="41" t="s">
        <v>53</v>
      </c>
      <c r="D74" s="54">
        <v>14.0</v>
      </c>
      <c r="E74" s="41" t="s">
        <v>477</v>
      </c>
      <c r="F74" s="41"/>
      <c r="G74" s="42" t="s">
        <v>478</v>
      </c>
      <c r="H74" s="10" t="b">
        <v>0</v>
      </c>
    </row>
    <row r="75" ht="12.75" customHeight="1">
      <c r="A75" s="10" t="s">
        <v>341</v>
      </c>
      <c r="B75" s="42" t="s">
        <v>18</v>
      </c>
      <c r="D75" s="18">
        <v>15.0</v>
      </c>
      <c r="E75" s="18" t="s">
        <v>479</v>
      </c>
      <c r="F75" s="18"/>
      <c r="G75" s="42" t="s">
        <v>480</v>
      </c>
      <c r="H75" s="10" t="b">
        <v>0</v>
      </c>
    </row>
    <row r="76" ht="12.75" customHeight="1">
      <c r="A76" s="10" t="s">
        <v>337</v>
      </c>
      <c r="B76" s="42" t="s">
        <v>18</v>
      </c>
      <c r="D76" s="18">
        <v>16.0</v>
      </c>
      <c r="E76" s="10" t="s">
        <v>372</v>
      </c>
      <c r="F76" s="18"/>
      <c r="G76" s="10" t="s">
        <v>433</v>
      </c>
      <c r="H76" s="49" t="b">
        <v>1</v>
      </c>
      <c r="I76" s="45" t="s">
        <v>374</v>
      </c>
    </row>
    <row r="77" ht="12.0" customHeight="1">
      <c r="A77" s="10" t="s">
        <v>341</v>
      </c>
      <c r="B77" s="42" t="s">
        <v>18</v>
      </c>
      <c r="D77" s="18">
        <v>18.0</v>
      </c>
      <c r="E77" s="18" t="s">
        <v>481</v>
      </c>
      <c r="F77" s="18"/>
      <c r="G77" s="42" t="s">
        <v>482</v>
      </c>
      <c r="H77" s="10" t="b">
        <v>0</v>
      </c>
    </row>
    <row r="78" ht="12.0" customHeight="1">
      <c r="A78" s="10" t="s">
        <v>337</v>
      </c>
      <c r="B78" s="42" t="s">
        <v>18</v>
      </c>
      <c r="D78" s="18">
        <v>19.0</v>
      </c>
      <c r="E78" s="10" t="s">
        <v>372</v>
      </c>
      <c r="F78" s="18"/>
      <c r="G78" s="10" t="s">
        <v>433</v>
      </c>
      <c r="H78" s="49" t="b">
        <v>1</v>
      </c>
      <c r="I78" s="45" t="s">
        <v>374</v>
      </c>
    </row>
    <row r="79" ht="12.0" customHeight="1">
      <c r="A79" s="10" t="s">
        <v>341</v>
      </c>
      <c r="B79" s="42" t="s">
        <v>18</v>
      </c>
      <c r="D79" s="18">
        <v>20.0</v>
      </c>
      <c r="E79" s="18" t="s">
        <v>483</v>
      </c>
      <c r="F79" s="18"/>
      <c r="G79" s="42" t="s">
        <v>484</v>
      </c>
      <c r="H79" s="10" t="b">
        <v>0</v>
      </c>
    </row>
    <row r="80" ht="12.0" customHeight="1">
      <c r="A80" s="10" t="s">
        <v>337</v>
      </c>
      <c r="B80" s="10" t="s">
        <v>23</v>
      </c>
      <c r="D80" s="18">
        <v>0.0</v>
      </c>
      <c r="E80" s="18" t="s">
        <v>485</v>
      </c>
      <c r="F80" s="18"/>
      <c r="G80" s="57" t="s">
        <v>486</v>
      </c>
      <c r="H80" s="58" t="b">
        <v>1</v>
      </c>
      <c r="I80" s="59" t="s">
        <v>340</v>
      </c>
    </row>
    <row r="81" ht="14.25" customHeight="1">
      <c r="A81" s="10" t="s">
        <v>341</v>
      </c>
      <c r="B81" s="10" t="s">
        <v>23</v>
      </c>
      <c r="D81" s="10">
        <v>1.0</v>
      </c>
      <c r="E81" s="10" t="s">
        <v>487</v>
      </c>
      <c r="G81" s="18" t="s">
        <v>488</v>
      </c>
      <c r="H81" t="b">
        <v>0</v>
      </c>
    </row>
    <row r="82" ht="18.0" customHeight="1">
      <c r="A82" s="10" t="s">
        <v>341</v>
      </c>
      <c r="B82" s="10" t="s">
        <v>23</v>
      </c>
      <c r="D82" s="10">
        <v>2.0</v>
      </c>
      <c r="E82" s="10" t="s">
        <v>489</v>
      </c>
      <c r="G82" s="18" t="s">
        <v>490</v>
      </c>
      <c r="H82" t="b">
        <v>0</v>
      </c>
    </row>
    <row r="83" ht="14.25" customHeight="1">
      <c r="A83" s="10" t="s">
        <v>341</v>
      </c>
      <c r="B83" s="10" t="s">
        <v>23</v>
      </c>
      <c r="D83" s="10">
        <v>2.0</v>
      </c>
      <c r="E83" s="10" t="s">
        <v>491</v>
      </c>
      <c r="G83" s="18" t="s">
        <v>492</v>
      </c>
      <c r="H83" t="b">
        <v>0</v>
      </c>
    </row>
    <row r="84" ht="12.0" customHeight="1">
      <c r="A84" s="10" t="s">
        <v>341</v>
      </c>
      <c r="B84" s="10" t="s">
        <v>23</v>
      </c>
      <c r="D84" s="10">
        <v>3.0</v>
      </c>
      <c r="E84" s="10" t="s">
        <v>493</v>
      </c>
      <c r="G84" s="18" t="s">
        <v>494</v>
      </c>
      <c r="H84" t="b">
        <v>0</v>
      </c>
    </row>
    <row r="85" ht="12.0" customHeight="1">
      <c r="A85" s="10" t="s">
        <v>349</v>
      </c>
      <c r="B85" s="10" t="s">
        <v>23</v>
      </c>
      <c r="C85" s="41" t="s">
        <v>62</v>
      </c>
      <c r="D85" s="54">
        <v>3.0</v>
      </c>
      <c r="E85" s="41" t="s">
        <v>495</v>
      </c>
      <c r="G85" s="42" t="s">
        <v>496</v>
      </c>
      <c r="H85" s="53" t="b">
        <v>0</v>
      </c>
    </row>
    <row r="86" ht="15.75" customHeight="1">
      <c r="A86" s="10" t="s">
        <v>349</v>
      </c>
      <c r="B86" s="10" t="s">
        <v>23</v>
      </c>
      <c r="C86" s="41" t="s">
        <v>62</v>
      </c>
      <c r="D86" s="54">
        <v>3.0</v>
      </c>
      <c r="E86" s="41" t="s">
        <v>497</v>
      </c>
      <c r="G86" s="42" t="s">
        <v>498</v>
      </c>
      <c r="H86" s="53" t="b">
        <v>0</v>
      </c>
    </row>
    <row r="87" ht="15.75" customHeight="1">
      <c r="A87" s="10" t="s">
        <v>349</v>
      </c>
      <c r="B87" s="10" t="s">
        <v>23</v>
      </c>
      <c r="C87" s="41" t="s">
        <v>66</v>
      </c>
      <c r="D87" s="54">
        <v>3.0</v>
      </c>
      <c r="E87" s="41" t="s">
        <v>495</v>
      </c>
      <c r="G87" s="42" t="s">
        <v>499</v>
      </c>
      <c r="H87" s="53" t="b">
        <v>0</v>
      </c>
    </row>
    <row r="88" ht="15.75" customHeight="1">
      <c r="A88" s="10" t="s">
        <v>349</v>
      </c>
      <c r="B88" s="10" t="s">
        <v>23</v>
      </c>
      <c r="C88" s="41" t="s">
        <v>66</v>
      </c>
      <c r="D88" s="54">
        <v>3.0</v>
      </c>
      <c r="E88" s="41" t="s">
        <v>500</v>
      </c>
      <c r="G88" s="42" t="s">
        <v>501</v>
      </c>
      <c r="H88" s="53" t="b">
        <v>0</v>
      </c>
    </row>
    <row r="89" ht="15.75" customHeight="1">
      <c r="A89" s="10" t="s">
        <v>349</v>
      </c>
      <c r="B89" s="10" t="s">
        <v>23</v>
      </c>
      <c r="C89" s="41" t="s">
        <v>70</v>
      </c>
      <c r="D89" s="54">
        <v>3.0</v>
      </c>
      <c r="E89" s="41" t="s">
        <v>495</v>
      </c>
      <c r="G89" s="42" t="s">
        <v>502</v>
      </c>
      <c r="H89" s="53" t="b">
        <v>0</v>
      </c>
    </row>
    <row r="90" ht="15.75" customHeight="1">
      <c r="A90" s="10" t="s">
        <v>349</v>
      </c>
      <c r="B90" s="10" t="s">
        <v>23</v>
      </c>
      <c r="C90" s="41" t="s">
        <v>70</v>
      </c>
      <c r="D90" s="54">
        <v>3.0</v>
      </c>
      <c r="E90" s="41" t="s">
        <v>503</v>
      </c>
      <c r="G90" s="42" t="s">
        <v>504</v>
      </c>
      <c r="H90" s="53" t="b">
        <v>0</v>
      </c>
    </row>
    <row r="91" ht="15.75" customHeight="1">
      <c r="A91" s="10" t="s">
        <v>349</v>
      </c>
      <c r="B91" s="10" t="s">
        <v>23</v>
      </c>
      <c r="C91" s="41" t="s">
        <v>70</v>
      </c>
      <c r="D91" s="54">
        <v>3.0</v>
      </c>
      <c r="E91" s="41" t="s">
        <v>505</v>
      </c>
      <c r="G91" s="42" t="s">
        <v>506</v>
      </c>
      <c r="H91" s="53" t="b">
        <v>0</v>
      </c>
    </row>
    <row r="92" ht="15.75" customHeight="1">
      <c r="A92" s="10" t="s">
        <v>349</v>
      </c>
      <c r="B92" s="10" t="s">
        <v>23</v>
      </c>
      <c r="C92" s="41" t="s">
        <v>73</v>
      </c>
      <c r="D92" s="54">
        <v>3.0</v>
      </c>
      <c r="E92" s="41" t="s">
        <v>495</v>
      </c>
      <c r="G92" s="42" t="s">
        <v>507</v>
      </c>
      <c r="H92" s="53" t="b">
        <v>0</v>
      </c>
    </row>
    <row r="93">
      <c r="A93" s="10" t="s">
        <v>349</v>
      </c>
      <c r="B93" s="10" t="s">
        <v>23</v>
      </c>
      <c r="C93" s="41" t="s">
        <v>73</v>
      </c>
      <c r="D93" s="54">
        <v>3.0</v>
      </c>
      <c r="E93" s="41" t="s">
        <v>508</v>
      </c>
      <c r="G93" s="42" t="s">
        <v>509</v>
      </c>
      <c r="H93" s="53" t="b">
        <v>0</v>
      </c>
    </row>
    <row r="94" ht="28.5" customHeight="1">
      <c r="A94" s="10" t="s">
        <v>349</v>
      </c>
      <c r="B94" s="10" t="s">
        <v>23</v>
      </c>
      <c r="C94" s="41" t="s">
        <v>76</v>
      </c>
      <c r="D94" s="54">
        <v>3.0</v>
      </c>
      <c r="E94" s="41" t="s">
        <v>510</v>
      </c>
      <c r="G94" s="42" t="s">
        <v>511</v>
      </c>
      <c r="H94" s="53" t="b">
        <v>0</v>
      </c>
    </row>
    <row r="95" ht="27.0" customHeight="1">
      <c r="A95" s="10" t="s">
        <v>349</v>
      </c>
      <c r="B95" s="10" t="s">
        <v>23</v>
      </c>
      <c r="C95" s="41" t="s">
        <v>76</v>
      </c>
      <c r="D95" s="54">
        <v>3.0</v>
      </c>
      <c r="E95" s="41" t="s">
        <v>512</v>
      </c>
      <c r="G95" s="42" t="s">
        <v>513</v>
      </c>
      <c r="H95" s="53" t="b">
        <v>0</v>
      </c>
    </row>
    <row r="96" ht="21.0" customHeight="1">
      <c r="A96" s="10" t="s">
        <v>337</v>
      </c>
      <c r="B96" s="10" t="s">
        <v>23</v>
      </c>
      <c r="D96" s="18">
        <v>4.0</v>
      </c>
      <c r="E96" s="10" t="s">
        <v>372</v>
      </c>
      <c r="F96" s="18"/>
      <c r="G96" s="10" t="s">
        <v>433</v>
      </c>
      <c r="H96" s="49" t="b">
        <v>1</v>
      </c>
      <c r="I96" s="45" t="s">
        <v>374</v>
      </c>
    </row>
    <row r="97">
      <c r="A97" s="10" t="s">
        <v>341</v>
      </c>
      <c r="B97" s="10" t="s">
        <v>23</v>
      </c>
      <c r="D97" s="10">
        <v>5.0</v>
      </c>
      <c r="E97" s="10" t="s">
        <v>514</v>
      </c>
      <c r="G97" s="18" t="s">
        <v>515</v>
      </c>
      <c r="H97" s="10" t="b">
        <v>0</v>
      </c>
    </row>
    <row r="98" ht="17.25" customHeight="1">
      <c r="A98" s="10" t="s">
        <v>341</v>
      </c>
      <c r="B98" s="10" t="s">
        <v>23</v>
      </c>
      <c r="D98" s="10">
        <v>6.0</v>
      </c>
      <c r="E98" s="10" t="s">
        <v>516</v>
      </c>
      <c r="G98" s="18" t="s">
        <v>517</v>
      </c>
      <c r="H98" t="b">
        <v>0</v>
      </c>
    </row>
    <row r="99" ht="17.25" customHeight="1">
      <c r="A99" s="10" t="s">
        <v>349</v>
      </c>
      <c r="B99" s="10" t="s">
        <v>23</v>
      </c>
      <c r="C99" s="41" t="s">
        <v>57</v>
      </c>
      <c r="D99" s="54">
        <v>6.0</v>
      </c>
      <c r="E99" s="50" t="s">
        <v>518</v>
      </c>
      <c r="G99" s="42" t="s">
        <v>519</v>
      </c>
      <c r="H99" s="53" t="b">
        <v>0</v>
      </c>
    </row>
    <row r="100">
      <c r="A100" s="10" t="s">
        <v>349</v>
      </c>
      <c r="B100" s="10" t="s">
        <v>23</v>
      </c>
      <c r="C100" s="41" t="s">
        <v>62</v>
      </c>
      <c r="D100" s="54">
        <v>6.0</v>
      </c>
      <c r="E100" s="50" t="s">
        <v>520</v>
      </c>
      <c r="G100" s="42" t="s">
        <v>521</v>
      </c>
      <c r="H100" s="53" t="b">
        <v>0</v>
      </c>
    </row>
    <row r="101" ht="17.25" customHeight="1">
      <c r="A101" s="10" t="s">
        <v>349</v>
      </c>
      <c r="B101" s="10" t="s">
        <v>23</v>
      </c>
      <c r="C101" s="41" t="s">
        <v>66</v>
      </c>
      <c r="D101" s="54">
        <v>6.0</v>
      </c>
      <c r="E101" s="50" t="s">
        <v>522</v>
      </c>
      <c r="G101" s="42" t="s">
        <v>523</v>
      </c>
      <c r="H101" s="53" t="b">
        <v>0</v>
      </c>
    </row>
    <row r="102">
      <c r="A102" s="10" t="s">
        <v>349</v>
      </c>
      <c r="B102" s="10" t="s">
        <v>23</v>
      </c>
      <c r="C102" s="41" t="s">
        <v>70</v>
      </c>
      <c r="D102" s="54">
        <v>6.0</v>
      </c>
      <c r="E102" s="50" t="s">
        <v>379</v>
      </c>
      <c r="G102" s="42" t="s">
        <v>524</v>
      </c>
      <c r="H102" s="53" t="b">
        <v>0</v>
      </c>
    </row>
    <row r="103">
      <c r="A103" s="10" t="s">
        <v>349</v>
      </c>
      <c r="B103" s="10" t="s">
        <v>23</v>
      </c>
      <c r="C103" s="41" t="s">
        <v>73</v>
      </c>
      <c r="D103" s="54">
        <v>6.0</v>
      </c>
      <c r="E103" s="50" t="s">
        <v>379</v>
      </c>
      <c r="G103" s="42" t="s">
        <v>524</v>
      </c>
      <c r="H103" s="53" t="b">
        <v>0</v>
      </c>
    </row>
    <row r="104" ht="16.5" customHeight="1">
      <c r="A104" s="10" t="s">
        <v>349</v>
      </c>
      <c r="B104" s="10" t="s">
        <v>23</v>
      </c>
      <c r="C104" s="41" t="s">
        <v>76</v>
      </c>
      <c r="D104" s="54">
        <v>6.0</v>
      </c>
      <c r="E104" s="50" t="s">
        <v>525</v>
      </c>
      <c r="G104" s="42" t="s">
        <v>526</v>
      </c>
      <c r="H104" s="53" t="b">
        <v>0</v>
      </c>
    </row>
    <row r="105" ht="16.5" customHeight="1">
      <c r="A105" s="10" t="s">
        <v>337</v>
      </c>
      <c r="B105" s="10" t="s">
        <v>23</v>
      </c>
      <c r="D105" s="18">
        <v>8.0</v>
      </c>
      <c r="E105" s="10" t="s">
        <v>372</v>
      </c>
      <c r="F105" s="18"/>
      <c r="G105" s="10" t="s">
        <v>433</v>
      </c>
      <c r="H105" s="49" t="b">
        <v>1</v>
      </c>
      <c r="I105" s="45" t="s">
        <v>374</v>
      </c>
    </row>
    <row r="106" ht="18.75" customHeight="1">
      <c r="A106" s="10" t="s">
        <v>341</v>
      </c>
      <c r="B106" s="10" t="s">
        <v>23</v>
      </c>
      <c r="D106" s="10">
        <v>10.0</v>
      </c>
      <c r="E106" s="10" t="s">
        <v>527</v>
      </c>
      <c r="G106" s="18" t="s">
        <v>528</v>
      </c>
      <c r="H106" t="b">
        <v>0</v>
      </c>
    </row>
    <row r="107" ht="18.75" customHeight="1">
      <c r="A107" s="10" t="s">
        <v>337</v>
      </c>
      <c r="B107" s="10" t="s">
        <v>23</v>
      </c>
      <c r="D107" s="18">
        <v>12.0</v>
      </c>
      <c r="E107" s="10" t="s">
        <v>372</v>
      </c>
      <c r="F107" s="18"/>
      <c r="G107" s="10" t="s">
        <v>433</v>
      </c>
      <c r="H107" s="49" t="b">
        <v>1</v>
      </c>
      <c r="I107" s="45" t="s">
        <v>374</v>
      </c>
    </row>
    <row r="108" ht="15.75" customHeight="1">
      <c r="A108" s="10" t="s">
        <v>349</v>
      </c>
      <c r="B108" s="10" t="s">
        <v>23</v>
      </c>
      <c r="C108" s="41" t="s">
        <v>57</v>
      </c>
      <c r="D108" s="54">
        <v>14.0</v>
      </c>
      <c r="E108" s="50" t="s">
        <v>529</v>
      </c>
      <c r="G108" s="42" t="s">
        <v>530</v>
      </c>
      <c r="H108" s="53" t="b">
        <v>0</v>
      </c>
    </row>
    <row r="109">
      <c r="A109" s="10" t="s">
        <v>349</v>
      </c>
      <c r="B109" s="10" t="s">
        <v>23</v>
      </c>
      <c r="C109" s="41" t="s">
        <v>62</v>
      </c>
      <c r="D109" s="54">
        <v>14.0</v>
      </c>
      <c r="E109" s="41" t="s">
        <v>531</v>
      </c>
      <c r="G109" s="42" t="s">
        <v>532</v>
      </c>
      <c r="H109" s="53" t="b">
        <v>0</v>
      </c>
    </row>
    <row r="110" ht="14.25" customHeight="1">
      <c r="A110" s="10" t="s">
        <v>349</v>
      </c>
      <c r="B110" s="10" t="s">
        <v>23</v>
      </c>
      <c r="C110" s="41" t="s">
        <v>66</v>
      </c>
      <c r="D110" s="54">
        <v>14.0</v>
      </c>
      <c r="E110" s="41" t="s">
        <v>533</v>
      </c>
      <c r="G110" s="42" t="s">
        <v>534</v>
      </c>
      <c r="H110" s="53" t="b">
        <v>0</v>
      </c>
    </row>
    <row r="111">
      <c r="A111" s="10" t="s">
        <v>349</v>
      </c>
      <c r="B111" s="10" t="s">
        <v>23</v>
      </c>
      <c r="C111" s="41" t="s">
        <v>70</v>
      </c>
      <c r="D111" s="54">
        <v>14.0</v>
      </c>
      <c r="E111" s="41" t="s">
        <v>535</v>
      </c>
      <c r="G111" s="42" t="s">
        <v>536</v>
      </c>
      <c r="H111" s="53" t="b">
        <v>0</v>
      </c>
    </row>
    <row r="112">
      <c r="A112" s="10" t="s">
        <v>349</v>
      </c>
      <c r="B112" s="10" t="s">
        <v>23</v>
      </c>
      <c r="C112" s="41" t="s">
        <v>73</v>
      </c>
      <c r="D112" s="51">
        <v>14.0</v>
      </c>
      <c r="E112" s="50" t="s">
        <v>537</v>
      </c>
      <c r="G112" s="42" t="s">
        <v>538</v>
      </c>
      <c r="H112" s="58" t="b">
        <v>0</v>
      </c>
    </row>
    <row r="113" ht="18.75" customHeight="1">
      <c r="A113" s="10" t="s">
        <v>349</v>
      </c>
      <c r="B113" s="10" t="s">
        <v>23</v>
      </c>
      <c r="C113" s="41" t="s">
        <v>76</v>
      </c>
      <c r="D113" s="54">
        <v>14.0</v>
      </c>
      <c r="E113" s="50" t="s">
        <v>539</v>
      </c>
      <c r="G113" s="42" t="s">
        <v>540</v>
      </c>
      <c r="H113" s="53" t="b">
        <v>0</v>
      </c>
    </row>
    <row r="114" ht="18.75" customHeight="1">
      <c r="A114" s="10" t="s">
        <v>337</v>
      </c>
      <c r="B114" s="10" t="s">
        <v>23</v>
      </c>
      <c r="D114" s="18">
        <v>16.0</v>
      </c>
      <c r="E114" s="10" t="s">
        <v>372</v>
      </c>
      <c r="F114" s="18"/>
      <c r="G114" s="10" t="s">
        <v>433</v>
      </c>
      <c r="H114" s="49" t="b">
        <v>1</v>
      </c>
      <c r="I114" s="45" t="s">
        <v>374</v>
      </c>
    </row>
    <row r="115" ht="18.75" customHeight="1">
      <c r="A115" s="10" t="s">
        <v>337</v>
      </c>
      <c r="B115" s="10" t="s">
        <v>23</v>
      </c>
      <c r="D115" s="18">
        <v>19.0</v>
      </c>
      <c r="E115" s="10" t="s">
        <v>372</v>
      </c>
      <c r="F115" s="18"/>
      <c r="G115" s="10" t="s">
        <v>433</v>
      </c>
      <c r="H115" s="49" t="b">
        <v>1</v>
      </c>
      <c r="I115" s="45" t="s">
        <v>374</v>
      </c>
    </row>
    <row r="116">
      <c r="A116" s="10" t="s">
        <v>341</v>
      </c>
      <c r="B116" s="10" t="s">
        <v>23</v>
      </c>
      <c r="D116" s="10">
        <v>20.0</v>
      </c>
      <c r="E116" s="10" t="s">
        <v>541</v>
      </c>
      <c r="G116" s="18" t="s">
        <v>542</v>
      </c>
      <c r="H116" t="b">
        <v>0</v>
      </c>
    </row>
    <row r="117" ht="19.5" customHeight="1">
      <c r="A117" s="10" t="s">
        <v>337</v>
      </c>
      <c r="B117" s="42" t="s">
        <v>29</v>
      </c>
      <c r="D117" s="10">
        <v>0.0</v>
      </c>
      <c r="E117" s="10" t="s">
        <v>543</v>
      </c>
      <c r="G117" s="18" t="s">
        <v>544</v>
      </c>
      <c r="H117" s="53" t="b">
        <v>1</v>
      </c>
      <c r="I117" s="59" t="s">
        <v>340</v>
      </c>
    </row>
    <row r="118" ht="24.75" customHeight="1">
      <c r="A118" s="10" t="s">
        <v>349</v>
      </c>
      <c r="B118" s="42" t="s">
        <v>29</v>
      </c>
      <c r="C118" s="41" t="s">
        <v>82</v>
      </c>
      <c r="D118" s="54">
        <v>1.0</v>
      </c>
      <c r="E118" s="41" t="s">
        <v>545</v>
      </c>
      <c r="G118" s="42" t="s">
        <v>546</v>
      </c>
      <c r="H118" s="53" t="b">
        <v>1</v>
      </c>
    </row>
    <row r="119">
      <c r="A119" s="10" t="s">
        <v>349</v>
      </c>
      <c r="B119" s="42" t="s">
        <v>29</v>
      </c>
      <c r="C119" s="41" t="s">
        <v>82</v>
      </c>
      <c r="D119" s="54">
        <v>1.0</v>
      </c>
      <c r="E119" s="41" t="s">
        <v>547</v>
      </c>
      <c r="G119" s="42" t="s">
        <v>548</v>
      </c>
      <c r="H119" s="53" t="b">
        <v>0</v>
      </c>
    </row>
    <row r="120">
      <c r="A120" s="10" t="s">
        <v>349</v>
      </c>
      <c r="B120" s="42" t="s">
        <v>29</v>
      </c>
      <c r="C120" s="41" t="s">
        <v>85</v>
      </c>
      <c r="D120" s="54">
        <v>1.0</v>
      </c>
      <c r="E120" s="41" t="s">
        <v>549</v>
      </c>
      <c r="G120" s="42" t="s">
        <v>546</v>
      </c>
      <c r="H120" s="53" t="b">
        <v>1</v>
      </c>
    </row>
    <row r="121">
      <c r="A121" s="10" t="s">
        <v>349</v>
      </c>
      <c r="B121" s="42" t="s">
        <v>29</v>
      </c>
      <c r="C121" s="41" t="s">
        <v>85</v>
      </c>
      <c r="D121" s="54">
        <v>1.0</v>
      </c>
      <c r="E121" s="41" t="s">
        <v>550</v>
      </c>
      <c r="G121" s="42" t="s">
        <v>551</v>
      </c>
      <c r="H121" s="53" t="b">
        <v>0</v>
      </c>
    </row>
    <row r="122">
      <c r="A122" s="10" t="s">
        <v>349</v>
      </c>
      <c r="B122" s="42" t="s">
        <v>29</v>
      </c>
      <c r="C122" s="41" t="s">
        <v>85</v>
      </c>
      <c r="D122" s="54">
        <v>1.0</v>
      </c>
      <c r="E122" s="41" t="s">
        <v>552</v>
      </c>
      <c r="G122" s="42" t="s">
        <v>553</v>
      </c>
      <c r="H122" s="53" t="b">
        <v>0</v>
      </c>
    </row>
    <row r="123">
      <c r="A123" s="10" t="s">
        <v>349</v>
      </c>
      <c r="B123" s="42" t="s">
        <v>29</v>
      </c>
      <c r="C123" s="41" t="s">
        <v>88</v>
      </c>
      <c r="D123" s="54">
        <v>1.0</v>
      </c>
      <c r="E123" s="41" t="s">
        <v>554</v>
      </c>
      <c r="G123" s="42" t="s">
        <v>546</v>
      </c>
      <c r="H123" s="53" t="b">
        <v>1</v>
      </c>
    </row>
    <row r="124">
      <c r="A124" s="10" t="s">
        <v>349</v>
      </c>
      <c r="B124" s="42" t="s">
        <v>29</v>
      </c>
      <c r="C124" s="41" t="s">
        <v>88</v>
      </c>
      <c r="D124" s="54">
        <v>1.0</v>
      </c>
      <c r="E124" s="41" t="s">
        <v>495</v>
      </c>
      <c r="G124" s="42" t="s">
        <v>555</v>
      </c>
      <c r="H124" s="53" t="b">
        <v>0</v>
      </c>
    </row>
    <row r="125" ht="16.5" customHeight="1">
      <c r="A125" s="10" t="s">
        <v>349</v>
      </c>
      <c r="B125" s="42" t="s">
        <v>29</v>
      </c>
      <c r="C125" s="41" t="s">
        <v>88</v>
      </c>
      <c r="D125" s="54">
        <v>1.0</v>
      </c>
      <c r="E125" s="41" t="s">
        <v>556</v>
      </c>
      <c r="G125" s="42" t="s">
        <v>557</v>
      </c>
      <c r="H125" s="53" t="b">
        <v>0</v>
      </c>
    </row>
    <row r="126">
      <c r="A126" s="10" t="s">
        <v>349</v>
      </c>
      <c r="B126" s="42" t="s">
        <v>29</v>
      </c>
      <c r="C126" s="41" t="s">
        <v>91</v>
      </c>
      <c r="D126" s="54">
        <v>1.0</v>
      </c>
      <c r="E126" s="41" t="s">
        <v>558</v>
      </c>
      <c r="G126" s="42" t="s">
        <v>546</v>
      </c>
      <c r="H126" s="53" t="b">
        <v>1</v>
      </c>
    </row>
    <row r="127" ht="15.0" customHeight="1">
      <c r="A127" s="10" t="s">
        <v>349</v>
      </c>
      <c r="B127" s="42" t="s">
        <v>29</v>
      </c>
      <c r="C127" s="41" t="s">
        <v>91</v>
      </c>
      <c r="D127" s="54">
        <v>1.0</v>
      </c>
      <c r="E127" s="41" t="s">
        <v>559</v>
      </c>
      <c r="G127" s="42" t="s">
        <v>560</v>
      </c>
      <c r="H127" s="53" t="b">
        <v>0</v>
      </c>
    </row>
    <row r="128">
      <c r="A128" s="10" t="s">
        <v>349</v>
      </c>
      <c r="B128" s="42" t="s">
        <v>29</v>
      </c>
      <c r="C128" s="41" t="s">
        <v>91</v>
      </c>
      <c r="D128" s="54">
        <v>1.0</v>
      </c>
      <c r="E128" s="41" t="s">
        <v>561</v>
      </c>
      <c r="G128" s="42" t="s">
        <v>562</v>
      </c>
      <c r="H128" s="53" t="b">
        <v>0</v>
      </c>
    </row>
    <row r="129" ht="19.5" customHeight="1">
      <c r="A129" s="10" t="s">
        <v>349</v>
      </c>
      <c r="B129" s="42" t="s">
        <v>29</v>
      </c>
      <c r="C129" s="41" t="s">
        <v>94</v>
      </c>
      <c r="D129" s="54">
        <v>1.0</v>
      </c>
      <c r="E129" s="41" t="str">
        <f>C129 &amp; " Domain Spells"</f>
        <v>Knowledge Domain Spells</v>
      </c>
      <c r="G129" s="42" t="s">
        <v>546</v>
      </c>
      <c r="H129" s="53" t="b">
        <v>1</v>
      </c>
    </row>
    <row r="130">
      <c r="A130" s="10" t="s">
        <v>349</v>
      </c>
      <c r="B130" s="42" t="s">
        <v>29</v>
      </c>
      <c r="C130" s="41" t="s">
        <v>94</v>
      </c>
      <c r="D130" s="54">
        <v>1.0</v>
      </c>
      <c r="E130" s="41" t="s">
        <v>563</v>
      </c>
      <c r="G130" s="42" t="s">
        <v>564</v>
      </c>
      <c r="H130" s="53" t="b">
        <v>0</v>
      </c>
    </row>
    <row r="131" ht="16.5" customHeight="1">
      <c r="A131" s="10" t="s">
        <v>349</v>
      </c>
      <c r="B131" s="42" t="s">
        <v>29</v>
      </c>
      <c r="C131" s="41" t="s">
        <v>97</v>
      </c>
      <c r="D131" s="54">
        <v>1.0</v>
      </c>
      <c r="E131" s="41" t="str">
        <f>C131 &amp; " Domain Spells"</f>
        <v>Life Domain Spells</v>
      </c>
      <c r="G131" s="42" t="s">
        <v>546</v>
      </c>
      <c r="H131" s="53" t="b">
        <v>1</v>
      </c>
    </row>
    <row r="132" ht="19.5" customHeight="1">
      <c r="A132" s="10" t="s">
        <v>349</v>
      </c>
      <c r="B132" s="42" t="s">
        <v>29</v>
      </c>
      <c r="C132" s="41" t="s">
        <v>97</v>
      </c>
      <c r="D132" s="54">
        <v>1.0</v>
      </c>
      <c r="E132" s="41" t="s">
        <v>550</v>
      </c>
      <c r="G132" s="42" t="s">
        <v>565</v>
      </c>
      <c r="H132" s="53" t="b">
        <v>0</v>
      </c>
    </row>
    <row r="133">
      <c r="A133" s="10" t="s">
        <v>349</v>
      </c>
      <c r="B133" s="42" t="s">
        <v>29</v>
      </c>
      <c r="C133" s="41" t="s">
        <v>97</v>
      </c>
      <c r="D133" s="54">
        <v>1.0</v>
      </c>
      <c r="E133" s="41" t="s">
        <v>566</v>
      </c>
      <c r="G133" s="42" t="s">
        <v>567</v>
      </c>
      <c r="H133" s="53" t="b">
        <v>0</v>
      </c>
    </row>
    <row r="134" ht="22.5" customHeight="1">
      <c r="A134" s="10" t="s">
        <v>349</v>
      </c>
      <c r="B134" s="42" t="s">
        <v>29</v>
      </c>
      <c r="C134" s="41" t="s">
        <v>100</v>
      </c>
      <c r="D134" s="54">
        <v>1.0</v>
      </c>
      <c r="E134" s="41" t="str">
        <f>C134 &amp; " Domain Spells"</f>
        <v>Light Domain Spells</v>
      </c>
      <c r="G134" s="42" t="s">
        <v>546</v>
      </c>
      <c r="H134" s="53" t="b">
        <v>1</v>
      </c>
    </row>
    <row r="135">
      <c r="A135" s="10" t="s">
        <v>349</v>
      </c>
      <c r="B135" s="42" t="s">
        <v>29</v>
      </c>
      <c r="C135" s="41" t="s">
        <v>100</v>
      </c>
      <c r="D135" s="54">
        <v>1.0</v>
      </c>
      <c r="E135" s="41" t="s">
        <v>568</v>
      </c>
      <c r="G135" s="42" t="s">
        <v>569</v>
      </c>
      <c r="H135" s="53" t="b">
        <v>0</v>
      </c>
    </row>
    <row r="136" ht="18.75" customHeight="1">
      <c r="A136" s="10" t="s">
        <v>349</v>
      </c>
      <c r="B136" s="42" t="s">
        <v>29</v>
      </c>
      <c r="C136" s="41" t="s">
        <v>100</v>
      </c>
      <c r="D136" s="54">
        <v>1.0</v>
      </c>
      <c r="E136" s="41" t="s">
        <v>570</v>
      </c>
      <c r="G136" s="42" t="s">
        <v>571</v>
      </c>
      <c r="H136" s="53" t="b">
        <v>0</v>
      </c>
    </row>
    <row r="137" ht="19.5" customHeight="1">
      <c r="A137" s="10" t="s">
        <v>349</v>
      </c>
      <c r="B137" s="42" t="s">
        <v>29</v>
      </c>
      <c r="C137" s="41" t="s">
        <v>103</v>
      </c>
      <c r="D137" s="54">
        <v>1.0</v>
      </c>
      <c r="E137" s="41" t="str">
        <f>C137 &amp; " Domain Spells"</f>
        <v>Nature Domain Spells</v>
      </c>
      <c r="G137" s="42" t="s">
        <v>546</v>
      </c>
      <c r="H137" s="53" t="b">
        <v>1</v>
      </c>
    </row>
    <row r="138" ht="22.5" customHeight="1">
      <c r="A138" s="10" t="s">
        <v>349</v>
      </c>
      <c r="B138" s="42" t="s">
        <v>29</v>
      </c>
      <c r="C138" s="41" t="s">
        <v>103</v>
      </c>
      <c r="D138" s="54">
        <v>1.0</v>
      </c>
      <c r="E138" s="41" t="s">
        <v>572</v>
      </c>
      <c r="G138" s="42" t="s">
        <v>573</v>
      </c>
      <c r="H138" s="53" t="b">
        <v>0</v>
      </c>
    </row>
    <row r="139" ht="24.75" customHeight="1">
      <c r="A139" s="10" t="s">
        <v>349</v>
      </c>
      <c r="B139" s="42" t="s">
        <v>29</v>
      </c>
      <c r="C139" s="41" t="s">
        <v>103</v>
      </c>
      <c r="D139" s="54">
        <v>1.0</v>
      </c>
      <c r="E139" s="41" t="s">
        <v>550</v>
      </c>
      <c r="G139" s="42" t="s">
        <v>574</v>
      </c>
      <c r="H139" s="53" t="b">
        <v>0</v>
      </c>
    </row>
    <row r="140" ht="15.75" customHeight="1">
      <c r="A140" s="10" t="s">
        <v>349</v>
      </c>
      <c r="B140" s="42" t="s">
        <v>29</v>
      </c>
      <c r="C140" s="41" t="s">
        <v>106</v>
      </c>
      <c r="D140" s="54">
        <v>1.0</v>
      </c>
      <c r="E140" s="41" t="str">
        <f>C140 &amp; " Domain Spells"</f>
        <v>Order Domain Spells</v>
      </c>
      <c r="F140" s="41"/>
      <c r="G140" s="42" t="s">
        <v>546</v>
      </c>
      <c r="H140" s="53" t="b">
        <v>1</v>
      </c>
    </row>
    <row r="141" ht="18.75" customHeight="1">
      <c r="A141" s="10" t="s">
        <v>349</v>
      </c>
      <c r="B141" s="42" t="s">
        <v>29</v>
      </c>
      <c r="C141" s="41" t="s">
        <v>106</v>
      </c>
      <c r="D141" s="54">
        <v>1.0</v>
      </c>
      <c r="E141" s="41" t="s">
        <v>575</v>
      </c>
      <c r="F141" s="41"/>
      <c r="G141" s="42" t="s">
        <v>576</v>
      </c>
      <c r="H141" s="53" t="b">
        <v>0</v>
      </c>
    </row>
    <row r="142" ht="15.0" customHeight="1">
      <c r="A142" s="10" t="s">
        <v>349</v>
      </c>
      <c r="B142" s="42" t="s">
        <v>29</v>
      </c>
      <c r="C142" s="41" t="s">
        <v>106</v>
      </c>
      <c r="D142" s="54">
        <v>1.0</v>
      </c>
      <c r="E142" s="41" t="s">
        <v>577</v>
      </c>
      <c r="F142" s="41"/>
      <c r="G142" s="42" t="s">
        <v>578</v>
      </c>
      <c r="H142" s="53" t="b">
        <v>0</v>
      </c>
    </row>
    <row r="143" ht="18.75" customHeight="1">
      <c r="A143" s="10" t="s">
        <v>349</v>
      </c>
      <c r="B143" s="42" t="s">
        <v>29</v>
      </c>
      <c r="C143" s="41" t="s">
        <v>109</v>
      </c>
      <c r="D143" s="54">
        <v>1.0</v>
      </c>
      <c r="E143" s="41" t="str">
        <f>C143 &amp; " Domain Spells"</f>
        <v>Protection Domain Spells</v>
      </c>
      <c r="G143" s="42" t="s">
        <v>546</v>
      </c>
      <c r="H143" s="53" t="b">
        <v>1</v>
      </c>
    </row>
    <row r="144" ht="21.75" customHeight="1">
      <c r="A144" s="10" t="s">
        <v>349</v>
      </c>
      <c r="B144" s="42" t="s">
        <v>29</v>
      </c>
      <c r="C144" s="41" t="s">
        <v>109</v>
      </c>
      <c r="D144" s="54">
        <v>1.0</v>
      </c>
      <c r="E144" s="41" t="s">
        <v>550</v>
      </c>
      <c r="G144" s="42" t="s">
        <v>565</v>
      </c>
      <c r="H144" s="53" t="b">
        <v>0</v>
      </c>
    </row>
    <row r="145" ht="15.75" customHeight="1">
      <c r="A145" s="10" t="s">
        <v>349</v>
      </c>
      <c r="B145" s="42" t="s">
        <v>29</v>
      </c>
      <c r="C145" s="41" t="s">
        <v>109</v>
      </c>
      <c r="D145" s="54">
        <v>1.0</v>
      </c>
      <c r="E145" s="41" t="s">
        <v>579</v>
      </c>
      <c r="G145" s="42" t="s">
        <v>580</v>
      </c>
      <c r="H145" s="53" t="b">
        <v>0</v>
      </c>
    </row>
    <row r="146" ht="15.75" customHeight="1">
      <c r="A146" s="10" t="s">
        <v>349</v>
      </c>
      <c r="B146" s="42" t="s">
        <v>29</v>
      </c>
      <c r="C146" s="41" t="s">
        <v>118</v>
      </c>
      <c r="D146" s="54">
        <v>1.0</v>
      </c>
      <c r="E146" s="41" t="str">
        <f>C146 &amp; " Domain Spells"</f>
        <v>Tempest Domain Spells</v>
      </c>
      <c r="G146" s="42" t="s">
        <v>546</v>
      </c>
      <c r="H146" s="53" t="b">
        <v>1</v>
      </c>
    </row>
    <row r="147" ht="20.25" customHeight="1">
      <c r="A147" s="10" t="s">
        <v>349</v>
      </c>
      <c r="B147" s="42" t="s">
        <v>29</v>
      </c>
      <c r="C147" s="41" t="s">
        <v>118</v>
      </c>
      <c r="D147" s="54">
        <v>1.0</v>
      </c>
      <c r="E147" s="41" t="s">
        <v>575</v>
      </c>
      <c r="G147" s="42" t="s">
        <v>581</v>
      </c>
      <c r="H147" s="53" t="b">
        <v>0</v>
      </c>
    </row>
    <row r="148" ht="15.0" customHeight="1">
      <c r="A148" s="10" t="s">
        <v>349</v>
      </c>
      <c r="B148" s="42" t="s">
        <v>29</v>
      </c>
      <c r="C148" s="41" t="s">
        <v>118</v>
      </c>
      <c r="D148" s="54">
        <v>1.0</v>
      </c>
      <c r="E148" s="41" t="s">
        <v>582</v>
      </c>
      <c r="G148" s="42" t="s">
        <v>583</v>
      </c>
      <c r="H148" s="53" t="b">
        <v>0</v>
      </c>
    </row>
    <row r="149">
      <c r="A149" s="10" t="s">
        <v>349</v>
      </c>
      <c r="B149" s="42" t="s">
        <v>29</v>
      </c>
      <c r="C149" s="41" t="s">
        <v>121</v>
      </c>
      <c r="D149" s="54">
        <v>1.0</v>
      </c>
      <c r="E149" s="41" t="str">
        <f>C149 &amp; " Domain Spells"</f>
        <v>Trickery Domain Spells</v>
      </c>
      <c r="G149" s="42" t="s">
        <v>546</v>
      </c>
      <c r="H149" s="53" t="b">
        <v>1</v>
      </c>
    </row>
    <row r="150" ht="18.75" customHeight="1">
      <c r="A150" s="10" t="s">
        <v>349</v>
      </c>
      <c r="B150" s="42" t="s">
        <v>29</v>
      </c>
      <c r="C150" s="41" t="s">
        <v>121</v>
      </c>
      <c r="D150" s="54">
        <v>1.0</v>
      </c>
      <c r="E150" s="41" t="s">
        <v>584</v>
      </c>
      <c r="G150" s="42" t="s">
        <v>585</v>
      </c>
      <c r="H150" s="53" t="b">
        <v>0</v>
      </c>
    </row>
    <row r="151" ht="18.75" customHeight="1">
      <c r="A151" s="10" t="s">
        <v>349</v>
      </c>
      <c r="B151" s="42" t="s">
        <v>29</v>
      </c>
      <c r="C151" s="41" t="s">
        <v>112</v>
      </c>
      <c r="D151" s="54">
        <v>1.0</v>
      </c>
      <c r="E151" s="41" t="str">
        <f>C151 &amp; " Domain Spells"</f>
        <v>Solidarity Domain Spells</v>
      </c>
      <c r="G151" s="42" t="s">
        <v>546</v>
      </c>
      <c r="H151" s="53" t="b">
        <v>1</v>
      </c>
    </row>
    <row r="152" ht="18.75" customHeight="1">
      <c r="A152" s="10" t="s">
        <v>349</v>
      </c>
      <c r="B152" s="42" t="s">
        <v>29</v>
      </c>
      <c r="C152" s="41" t="s">
        <v>112</v>
      </c>
      <c r="D152" s="54">
        <v>1.0</v>
      </c>
      <c r="E152" s="41" t="s">
        <v>550</v>
      </c>
      <c r="G152" s="42" t="s">
        <v>586</v>
      </c>
      <c r="H152" s="53" t="b">
        <v>0</v>
      </c>
    </row>
    <row r="153" ht="18.75" customHeight="1">
      <c r="A153" s="10" t="s">
        <v>349</v>
      </c>
      <c r="B153" s="42" t="s">
        <v>29</v>
      </c>
      <c r="C153" s="41" t="s">
        <v>112</v>
      </c>
      <c r="D153" s="54">
        <v>1.0</v>
      </c>
      <c r="E153" s="41" t="s">
        <v>587</v>
      </c>
      <c r="G153" s="42" t="s">
        <v>588</v>
      </c>
      <c r="H153" s="53" t="b">
        <v>0</v>
      </c>
    </row>
    <row r="154" ht="18.75" customHeight="1">
      <c r="A154" s="10" t="s">
        <v>349</v>
      </c>
      <c r="B154" s="42" t="s">
        <v>29</v>
      </c>
      <c r="C154" s="41" t="s">
        <v>115</v>
      </c>
      <c r="D154" s="54">
        <v>1.0</v>
      </c>
      <c r="E154" s="41" t="str">
        <f>C154 &amp; " Domain Spells"</f>
        <v>Strength Domain Spells</v>
      </c>
      <c r="G154" s="42" t="s">
        <v>546</v>
      </c>
      <c r="H154" s="53" t="b">
        <v>1</v>
      </c>
    </row>
    <row r="155" ht="18.75" customHeight="1">
      <c r="A155" s="10" t="s">
        <v>349</v>
      </c>
      <c r="B155" s="42" t="s">
        <v>29</v>
      </c>
      <c r="C155" s="41" t="s">
        <v>115</v>
      </c>
      <c r="D155" s="54">
        <v>1.0</v>
      </c>
      <c r="E155" s="41" t="s">
        <v>550</v>
      </c>
      <c r="G155" s="42" t="s">
        <v>586</v>
      </c>
      <c r="H155" s="53" t="b">
        <v>0</v>
      </c>
    </row>
    <row r="156" ht="18.75" customHeight="1">
      <c r="A156" s="10" t="s">
        <v>349</v>
      </c>
      <c r="B156" s="42" t="s">
        <v>29</v>
      </c>
      <c r="C156" s="41" t="s">
        <v>115</v>
      </c>
      <c r="D156" s="54">
        <v>1.0</v>
      </c>
      <c r="E156" s="41" t="s">
        <v>589</v>
      </c>
      <c r="G156" s="42" t="s">
        <v>590</v>
      </c>
      <c r="H156" s="53" t="b">
        <v>0</v>
      </c>
    </row>
    <row r="157" ht="18.75" customHeight="1">
      <c r="A157" s="10" t="s">
        <v>349</v>
      </c>
      <c r="B157" s="42" t="s">
        <v>29</v>
      </c>
    </row>
    <row r="158" ht="18.75" customHeight="1">
      <c r="A158" s="10" t="s">
        <v>349</v>
      </c>
      <c r="B158" s="42" t="s">
        <v>29</v>
      </c>
      <c r="C158" s="41" t="s">
        <v>79</v>
      </c>
      <c r="D158" s="54">
        <v>1.0</v>
      </c>
      <c r="E158" s="41" t="str">
        <f>C158 &amp; " Domain Spells"</f>
        <v>Ambition Domain Spells</v>
      </c>
      <c r="G158" s="42" t="s">
        <v>546</v>
      </c>
      <c r="H158" s="53" t="b">
        <v>1</v>
      </c>
    </row>
    <row r="159" ht="18.75" customHeight="1">
      <c r="A159" s="10" t="s">
        <v>349</v>
      </c>
      <c r="B159" s="42" t="s">
        <v>29</v>
      </c>
      <c r="C159" s="41" t="s">
        <v>79</v>
      </c>
      <c r="D159" s="54">
        <v>1.0</v>
      </c>
      <c r="E159" s="41" t="s">
        <v>570</v>
      </c>
      <c r="G159" s="42" t="s">
        <v>591</v>
      </c>
      <c r="H159" s="53" t="b">
        <v>0</v>
      </c>
    </row>
    <row r="160" ht="18.75" customHeight="1">
      <c r="A160" s="10" t="s">
        <v>349</v>
      </c>
      <c r="B160" s="42" t="s">
        <v>29</v>
      </c>
      <c r="C160" s="41" t="s">
        <v>124</v>
      </c>
      <c r="D160" s="54">
        <v>1.0</v>
      </c>
      <c r="E160" s="41" t="str">
        <f>C160 &amp; " Domain Spells"</f>
        <v>War Domain Spells</v>
      </c>
      <c r="G160" s="42" t="s">
        <v>546</v>
      </c>
      <c r="H160" s="53" t="b">
        <v>1</v>
      </c>
    </row>
    <row r="161" ht="18.75" customHeight="1">
      <c r="A161" s="10" t="s">
        <v>349</v>
      </c>
      <c r="B161" s="42" t="s">
        <v>29</v>
      </c>
      <c r="C161" s="41" t="s">
        <v>124</v>
      </c>
      <c r="D161" s="54">
        <v>1.0</v>
      </c>
      <c r="E161" s="41" t="s">
        <v>550</v>
      </c>
      <c r="G161" s="42" t="s">
        <v>581</v>
      </c>
      <c r="H161" s="53" t="b">
        <v>0</v>
      </c>
    </row>
    <row r="162" ht="18.75" customHeight="1">
      <c r="A162" s="10" t="s">
        <v>349</v>
      </c>
      <c r="B162" s="42" t="s">
        <v>29</v>
      </c>
      <c r="C162" s="41" t="s">
        <v>124</v>
      </c>
      <c r="D162" s="54">
        <v>1.0</v>
      </c>
      <c r="E162" s="41" t="s">
        <v>592</v>
      </c>
      <c r="G162" s="42" t="s">
        <v>593</v>
      </c>
      <c r="H162" s="53" t="b">
        <v>0</v>
      </c>
    </row>
    <row r="163" ht="18.75" customHeight="1">
      <c r="A163" s="10" t="s">
        <v>349</v>
      </c>
      <c r="B163" s="42" t="s">
        <v>29</v>
      </c>
      <c r="C163" s="41" t="s">
        <v>127</v>
      </c>
      <c r="D163" s="54">
        <v>1.0</v>
      </c>
      <c r="E163" s="41" t="s">
        <v>594</v>
      </c>
      <c r="G163" s="42" t="s">
        <v>546</v>
      </c>
      <c r="H163" s="53" t="b">
        <v>1</v>
      </c>
    </row>
    <row r="164" ht="18.75" customHeight="1">
      <c r="A164" s="10" t="s">
        <v>349</v>
      </c>
      <c r="B164" s="42" t="s">
        <v>29</v>
      </c>
      <c r="C164" s="41" t="s">
        <v>127</v>
      </c>
      <c r="D164" s="54">
        <v>1.0</v>
      </c>
      <c r="E164" s="41" t="s">
        <v>575</v>
      </c>
      <c r="G164" s="42" t="s">
        <v>581</v>
      </c>
      <c r="H164" s="53" t="b">
        <v>0</v>
      </c>
    </row>
    <row r="165" ht="18.75" customHeight="1">
      <c r="A165" s="10" t="s">
        <v>349</v>
      </c>
      <c r="B165" s="42" t="s">
        <v>29</v>
      </c>
      <c r="C165" s="41" t="s">
        <v>127</v>
      </c>
      <c r="D165" s="54">
        <v>1.0</v>
      </c>
      <c r="E165" s="41" t="s">
        <v>595</v>
      </c>
      <c r="G165" s="42" t="s">
        <v>596</v>
      </c>
      <c r="H165" s="53" t="b">
        <v>0</v>
      </c>
    </row>
    <row r="166" ht="18.75" customHeight="1">
      <c r="A166" s="10" t="s">
        <v>341</v>
      </c>
      <c r="B166" s="42" t="s">
        <v>29</v>
      </c>
      <c r="D166" s="18">
        <v>2.0</v>
      </c>
      <c r="E166" s="41" t="s">
        <v>597</v>
      </c>
      <c r="F166" s="41"/>
      <c r="G166" s="42" t="s">
        <v>598</v>
      </c>
      <c r="H166" t="b">
        <v>1</v>
      </c>
      <c r="I166" s="48" t="s">
        <v>599</v>
      </c>
    </row>
    <row r="167" ht="19.5" customHeight="1">
      <c r="A167" s="10" t="s">
        <v>349</v>
      </c>
      <c r="B167" s="42" t="s">
        <v>29</v>
      </c>
      <c r="C167" s="41" t="s">
        <v>91</v>
      </c>
      <c r="D167" s="54">
        <v>2.0</v>
      </c>
      <c r="E167" s="41" t="s">
        <v>600</v>
      </c>
      <c r="G167" s="42" t="s">
        <v>601</v>
      </c>
      <c r="H167" s="53" t="b">
        <v>0</v>
      </c>
    </row>
    <row r="168" ht="28.5" customHeight="1">
      <c r="A168" s="10" t="s">
        <v>349</v>
      </c>
      <c r="B168" s="42" t="s">
        <v>29</v>
      </c>
      <c r="C168" s="41" t="s">
        <v>82</v>
      </c>
      <c r="D168" s="54">
        <v>2.0</v>
      </c>
      <c r="E168" s="41" t="s">
        <v>602</v>
      </c>
      <c r="G168" s="42" t="s">
        <v>603</v>
      </c>
      <c r="H168" s="53" t="b">
        <v>1</v>
      </c>
    </row>
    <row r="169" ht="16.5" customHeight="1">
      <c r="A169" s="10" t="s">
        <v>349</v>
      </c>
      <c r="B169" s="42" t="s">
        <v>29</v>
      </c>
      <c r="C169" s="41" t="s">
        <v>85</v>
      </c>
      <c r="D169" s="54">
        <v>2.0</v>
      </c>
      <c r="E169" s="41" t="s">
        <v>604</v>
      </c>
      <c r="G169" s="42" t="s">
        <v>605</v>
      </c>
      <c r="H169" s="53" t="b">
        <v>0</v>
      </c>
    </row>
    <row r="170" ht="17.25" customHeight="1">
      <c r="A170" s="10" t="s">
        <v>349</v>
      </c>
      <c r="B170" s="42" t="s">
        <v>29</v>
      </c>
      <c r="C170" s="41" t="s">
        <v>88</v>
      </c>
      <c r="D170" s="54">
        <v>2.0</v>
      </c>
      <c r="E170" s="41" t="s">
        <v>606</v>
      </c>
      <c r="G170" s="42" t="s">
        <v>607</v>
      </c>
      <c r="H170" s="53" t="b">
        <v>0</v>
      </c>
    </row>
    <row r="171" ht="20.25" customHeight="1">
      <c r="A171" s="10" t="s">
        <v>349</v>
      </c>
      <c r="B171" s="42" t="s">
        <v>29</v>
      </c>
      <c r="C171" s="41" t="s">
        <v>94</v>
      </c>
      <c r="D171" s="54">
        <v>2.0</v>
      </c>
      <c r="E171" s="41" t="s">
        <v>608</v>
      </c>
      <c r="G171" s="42" t="s">
        <v>609</v>
      </c>
      <c r="H171" s="53" t="b">
        <v>0</v>
      </c>
    </row>
    <row r="172" ht="17.25" customHeight="1">
      <c r="A172" s="10" t="s">
        <v>349</v>
      </c>
      <c r="B172" s="42" t="s">
        <v>29</v>
      </c>
      <c r="C172" s="41" t="s">
        <v>97</v>
      </c>
      <c r="D172" s="54">
        <v>2.0</v>
      </c>
      <c r="E172" s="41" t="s">
        <v>610</v>
      </c>
      <c r="G172" s="42" t="s">
        <v>611</v>
      </c>
      <c r="H172" s="53" t="b">
        <v>0</v>
      </c>
    </row>
    <row r="173" ht="16.5" customHeight="1">
      <c r="A173" s="10" t="s">
        <v>349</v>
      </c>
      <c r="B173" s="42" t="s">
        <v>29</v>
      </c>
      <c r="C173" s="41" t="s">
        <v>100</v>
      </c>
      <c r="D173" s="54">
        <v>2.0</v>
      </c>
      <c r="E173" s="41" t="s">
        <v>612</v>
      </c>
      <c r="G173" s="42" t="s">
        <v>613</v>
      </c>
      <c r="H173" s="53" t="b">
        <v>0</v>
      </c>
    </row>
    <row r="174" ht="22.5" customHeight="1">
      <c r="A174" s="10" t="s">
        <v>349</v>
      </c>
      <c r="B174" s="42" t="s">
        <v>29</v>
      </c>
      <c r="C174" s="41" t="s">
        <v>103</v>
      </c>
      <c r="D174" s="54">
        <v>2.0</v>
      </c>
      <c r="E174" s="41" t="s">
        <v>614</v>
      </c>
      <c r="G174" s="42" t="s">
        <v>615</v>
      </c>
      <c r="H174" s="53" t="b">
        <v>0</v>
      </c>
    </row>
    <row r="175" ht="15.0" customHeight="1">
      <c r="A175" s="10" t="s">
        <v>349</v>
      </c>
      <c r="B175" s="42" t="s">
        <v>29</v>
      </c>
      <c r="C175" s="41" t="s">
        <v>106</v>
      </c>
      <c r="D175" s="54">
        <v>2.0</v>
      </c>
      <c r="E175" s="41" t="s">
        <v>616</v>
      </c>
      <c r="G175" s="42" t="s">
        <v>617</v>
      </c>
      <c r="H175" s="53" t="b">
        <v>0</v>
      </c>
    </row>
    <row r="176">
      <c r="A176" s="10" t="s">
        <v>349</v>
      </c>
      <c r="B176" s="42" t="s">
        <v>29</v>
      </c>
      <c r="C176" s="41" t="s">
        <v>109</v>
      </c>
      <c r="D176" s="54">
        <v>2.0</v>
      </c>
      <c r="E176" s="41" t="s">
        <v>618</v>
      </c>
      <c r="G176" s="42" t="s">
        <v>619</v>
      </c>
      <c r="H176" s="53" t="b">
        <v>0</v>
      </c>
    </row>
    <row r="177" ht="17.25" customHeight="1">
      <c r="A177" s="10" t="s">
        <v>349</v>
      </c>
      <c r="B177" s="42" t="s">
        <v>29</v>
      </c>
      <c r="C177" s="41" t="s">
        <v>118</v>
      </c>
      <c r="D177" s="54">
        <v>2.0</v>
      </c>
      <c r="E177" s="41" t="s">
        <v>620</v>
      </c>
      <c r="G177" s="42" t="s">
        <v>621</v>
      </c>
      <c r="H177" s="53" t="b">
        <v>0</v>
      </c>
    </row>
    <row r="178" ht="22.5" customHeight="1">
      <c r="A178" s="10" t="s">
        <v>349</v>
      </c>
      <c r="B178" s="42" t="s">
        <v>29</v>
      </c>
      <c r="C178" s="41" t="s">
        <v>121</v>
      </c>
      <c r="D178" s="54">
        <v>2.0</v>
      </c>
      <c r="E178" s="41" t="s">
        <v>622</v>
      </c>
      <c r="G178" s="42" t="s">
        <v>623</v>
      </c>
      <c r="H178" s="53" t="b">
        <v>0</v>
      </c>
    </row>
    <row r="179" ht="21.0" customHeight="1">
      <c r="A179" s="10" t="s">
        <v>349</v>
      </c>
      <c r="B179" s="42" t="s">
        <v>29</v>
      </c>
      <c r="C179" s="41" t="s">
        <v>112</v>
      </c>
      <c r="D179" s="54">
        <v>2.0</v>
      </c>
      <c r="E179" s="41" t="s">
        <v>624</v>
      </c>
      <c r="G179" s="42" t="s">
        <v>625</v>
      </c>
      <c r="H179" s="53" t="b">
        <v>0</v>
      </c>
    </row>
    <row r="180">
      <c r="A180" s="10" t="s">
        <v>349</v>
      </c>
      <c r="B180" s="42" t="s">
        <v>29</v>
      </c>
      <c r="C180" s="41" t="s">
        <v>115</v>
      </c>
      <c r="D180" s="54">
        <v>2.0</v>
      </c>
      <c r="E180" s="41" t="s">
        <v>626</v>
      </c>
      <c r="G180" s="42" t="s">
        <v>627</v>
      </c>
      <c r="H180" s="53" t="b">
        <v>0</v>
      </c>
    </row>
    <row r="181" ht="14.25" customHeight="1">
      <c r="A181" s="10" t="s">
        <v>349</v>
      </c>
      <c r="B181" s="42" t="s">
        <v>29</v>
      </c>
      <c r="C181" s="41" t="s">
        <v>79</v>
      </c>
      <c r="D181" s="54">
        <v>2.0</v>
      </c>
      <c r="E181" s="41" t="s">
        <v>622</v>
      </c>
      <c r="G181" s="42" t="s">
        <v>628</v>
      </c>
      <c r="H181" s="53" t="b">
        <v>0</v>
      </c>
    </row>
    <row r="182" ht="30.0" customHeight="1">
      <c r="A182" s="10" t="s">
        <v>349</v>
      </c>
      <c r="B182" s="42" t="s">
        <v>29</v>
      </c>
      <c r="C182" s="41" t="s">
        <v>124</v>
      </c>
      <c r="D182" s="54">
        <v>2.0</v>
      </c>
      <c r="E182" s="41" t="s">
        <v>629</v>
      </c>
      <c r="G182" s="42" t="s">
        <v>630</v>
      </c>
      <c r="H182" s="53" t="b">
        <v>0</v>
      </c>
    </row>
    <row r="183" ht="19.5" customHeight="1">
      <c r="A183" s="10" t="s">
        <v>349</v>
      </c>
      <c r="B183" s="42" t="s">
        <v>29</v>
      </c>
      <c r="C183" s="41" t="s">
        <v>127</v>
      </c>
      <c r="D183" s="54">
        <v>2.0</v>
      </c>
      <c r="E183" s="41" t="s">
        <v>631</v>
      </c>
      <c r="G183" s="42" t="s">
        <v>632</v>
      </c>
      <c r="H183" s="53" t="b">
        <v>0</v>
      </c>
    </row>
    <row r="184" ht="15.0" customHeight="1">
      <c r="A184" s="10" t="s">
        <v>337</v>
      </c>
      <c r="B184" s="10" t="s">
        <v>29</v>
      </c>
      <c r="D184" s="18">
        <v>4.0</v>
      </c>
      <c r="E184" s="10" t="s">
        <v>372</v>
      </c>
      <c r="F184" s="18"/>
      <c r="G184" s="10" t="s">
        <v>433</v>
      </c>
      <c r="H184" s="49" t="b">
        <v>1</v>
      </c>
      <c r="I184" s="45" t="s">
        <v>374</v>
      </c>
    </row>
    <row r="185" ht="15.0" customHeight="1">
      <c r="A185" s="10" t="s">
        <v>341</v>
      </c>
      <c r="B185" s="42" t="s">
        <v>29</v>
      </c>
      <c r="D185" s="18">
        <v>5.0</v>
      </c>
      <c r="E185" s="41" t="s">
        <v>633</v>
      </c>
      <c r="F185" s="41"/>
      <c r="G185" s="42" t="s">
        <v>634</v>
      </c>
      <c r="H185" t="b">
        <v>0</v>
      </c>
    </row>
    <row r="186" ht="21.75" customHeight="1">
      <c r="A186" s="10" t="s">
        <v>349</v>
      </c>
      <c r="B186" s="10" t="s">
        <v>29</v>
      </c>
      <c r="C186" s="41" t="s">
        <v>82</v>
      </c>
      <c r="D186" s="54">
        <v>6.0</v>
      </c>
      <c r="E186" s="41" t="s">
        <v>635</v>
      </c>
      <c r="G186" s="42" t="s">
        <v>636</v>
      </c>
      <c r="H186" s="53" t="b">
        <v>0</v>
      </c>
    </row>
    <row r="187" ht="24.75" customHeight="1">
      <c r="A187" s="10" t="s">
        <v>349</v>
      </c>
      <c r="B187" s="10" t="s">
        <v>29</v>
      </c>
      <c r="C187" s="41" t="s">
        <v>85</v>
      </c>
      <c r="D187" s="54">
        <v>6.0</v>
      </c>
      <c r="E187" s="41" t="s">
        <v>637</v>
      </c>
      <c r="G187" s="42" t="s">
        <v>638</v>
      </c>
      <c r="H187" s="53" t="b">
        <v>0</v>
      </c>
    </row>
    <row r="188" ht="24.75" customHeight="1">
      <c r="A188" s="10" t="s">
        <v>349</v>
      </c>
      <c r="B188" s="10" t="s">
        <v>29</v>
      </c>
      <c r="C188" s="41" t="s">
        <v>88</v>
      </c>
      <c r="D188" s="54">
        <v>6.0</v>
      </c>
      <c r="E188" s="41" t="s">
        <v>639</v>
      </c>
      <c r="G188" s="42" t="s">
        <v>640</v>
      </c>
      <c r="H188" s="53" t="b">
        <v>0</v>
      </c>
    </row>
    <row r="189">
      <c r="A189" s="10" t="s">
        <v>349</v>
      </c>
      <c r="B189" s="10" t="s">
        <v>29</v>
      </c>
      <c r="C189" s="41" t="s">
        <v>91</v>
      </c>
      <c r="D189" s="54">
        <v>6.0</v>
      </c>
      <c r="E189" s="41" t="s">
        <v>641</v>
      </c>
      <c r="G189" s="42" t="s">
        <v>642</v>
      </c>
      <c r="H189" s="53" t="b">
        <v>0</v>
      </c>
    </row>
    <row r="190" ht="20.25" customHeight="1">
      <c r="A190" s="10" t="s">
        <v>349</v>
      </c>
      <c r="B190" s="10" t="s">
        <v>29</v>
      </c>
      <c r="C190" s="41" t="s">
        <v>94</v>
      </c>
      <c r="D190" s="54">
        <v>6.0</v>
      </c>
      <c r="E190" s="41" t="s">
        <v>643</v>
      </c>
      <c r="G190" s="42" t="s">
        <v>644</v>
      </c>
      <c r="H190" s="53" t="b">
        <v>0</v>
      </c>
    </row>
    <row r="191" ht="21.0" customHeight="1">
      <c r="A191" s="10" t="s">
        <v>349</v>
      </c>
      <c r="B191" s="10" t="s">
        <v>29</v>
      </c>
      <c r="C191" s="41" t="s">
        <v>97</v>
      </c>
      <c r="D191" s="54">
        <v>6.0</v>
      </c>
      <c r="E191" s="41" t="s">
        <v>645</v>
      </c>
      <c r="G191" s="42" t="s">
        <v>646</v>
      </c>
      <c r="H191" s="53" t="b">
        <v>0</v>
      </c>
    </row>
    <row r="192">
      <c r="A192" s="10" t="s">
        <v>349</v>
      </c>
      <c r="B192" s="10" t="s">
        <v>29</v>
      </c>
      <c r="C192" s="41" t="s">
        <v>100</v>
      </c>
      <c r="D192" s="54">
        <v>6.0</v>
      </c>
      <c r="E192" s="41" t="s">
        <v>647</v>
      </c>
      <c r="G192" s="42" t="s">
        <v>648</v>
      </c>
      <c r="H192" s="53" t="b">
        <v>0</v>
      </c>
    </row>
    <row r="193">
      <c r="A193" s="10" t="s">
        <v>349</v>
      </c>
      <c r="B193" s="10" t="s">
        <v>29</v>
      </c>
      <c r="C193" s="41" t="s">
        <v>103</v>
      </c>
      <c r="D193" s="54">
        <v>6.0</v>
      </c>
      <c r="E193" s="41" t="s">
        <v>649</v>
      </c>
      <c r="G193" s="42" t="s">
        <v>650</v>
      </c>
      <c r="H193" s="53" t="b">
        <v>0</v>
      </c>
    </row>
    <row r="194" ht="22.5" customHeight="1">
      <c r="A194" s="10" t="s">
        <v>349</v>
      </c>
      <c r="B194" s="10" t="s">
        <v>29</v>
      </c>
      <c r="C194" s="41" t="s">
        <v>106</v>
      </c>
      <c r="D194" s="54">
        <v>6.0</v>
      </c>
      <c r="E194" s="41" t="s">
        <v>651</v>
      </c>
      <c r="G194" s="42" t="s">
        <v>652</v>
      </c>
      <c r="H194" s="53" t="b">
        <v>0</v>
      </c>
    </row>
    <row r="195">
      <c r="A195" s="10" t="s">
        <v>349</v>
      </c>
      <c r="B195" s="10" t="s">
        <v>29</v>
      </c>
      <c r="C195" s="41" t="s">
        <v>109</v>
      </c>
      <c r="D195" s="54">
        <v>6.0</v>
      </c>
      <c r="E195" s="41" t="s">
        <v>645</v>
      </c>
      <c r="G195" s="42" t="s">
        <v>653</v>
      </c>
      <c r="H195" s="53" t="b">
        <v>0</v>
      </c>
    </row>
    <row r="196">
      <c r="A196" s="10" t="s">
        <v>349</v>
      </c>
      <c r="B196" s="10" t="s">
        <v>29</v>
      </c>
      <c r="C196" s="41" t="s">
        <v>118</v>
      </c>
      <c r="D196" s="54">
        <v>6.0</v>
      </c>
      <c r="E196" s="41" t="s">
        <v>654</v>
      </c>
      <c r="G196" s="42" t="s">
        <v>655</v>
      </c>
      <c r="H196" s="53" t="b">
        <v>0</v>
      </c>
    </row>
    <row r="197">
      <c r="A197" s="10" t="s">
        <v>349</v>
      </c>
      <c r="B197" s="10" t="s">
        <v>29</v>
      </c>
      <c r="C197" s="41" t="s">
        <v>121</v>
      </c>
      <c r="D197" s="54">
        <v>6.0</v>
      </c>
      <c r="E197" s="41" t="s">
        <v>656</v>
      </c>
      <c r="G197" s="42" t="s">
        <v>657</v>
      </c>
      <c r="H197" s="53" t="b">
        <v>0</v>
      </c>
    </row>
    <row r="198">
      <c r="A198" s="10" t="s">
        <v>349</v>
      </c>
      <c r="B198" s="10" t="s">
        <v>29</v>
      </c>
      <c r="C198" s="41" t="s">
        <v>112</v>
      </c>
      <c r="D198" s="54">
        <v>6.0</v>
      </c>
      <c r="E198" s="41" t="s">
        <v>658</v>
      </c>
      <c r="G198" s="42" t="s">
        <v>659</v>
      </c>
      <c r="H198" s="53" t="b">
        <v>0</v>
      </c>
    </row>
    <row r="199" ht="25.5" customHeight="1">
      <c r="A199" s="10" t="s">
        <v>349</v>
      </c>
      <c r="B199" s="10" t="s">
        <v>29</v>
      </c>
      <c r="C199" s="41" t="s">
        <v>115</v>
      </c>
      <c r="D199" s="54">
        <v>6.0</v>
      </c>
      <c r="E199" s="41" t="s">
        <v>660</v>
      </c>
      <c r="G199" s="42" t="s">
        <v>661</v>
      </c>
      <c r="H199" s="53" t="b">
        <v>0</v>
      </c>
    </row>
    <row r="200" ht="21.0" customHeight="1">
      <c r="A200" s="10" t="s">
        <v>349</v>
      </c>
      <c r="B200" s="10" t="s">
        <v>29</v>
      </c>
      <c r="C200" s="41" t="s">
        <v>79</v>
      </c>
      <c r="D200" s="54">
        <v>6.0</v>
      </c>
      <c r="E200" s="41" t="s">
        <v>656</v>
      </c>
      <c r="G200" s="42" t="s">
        <v>662</v>
      </c>
      <c r="H200" s="53" t="b">
        <v>0</v>
      </c>
    </row>
    <row r="201" ht="27.0" customHeight="1">
      <c r="A201" s="10" t="s">
        <v>349</v>
      </c>
      <c r="B201" s="10" t="s">
        <v>29</v>
      </c>
      <c r="C201" s="41" t="s">
        <v>124</v>
      </c>
      <c r="D201" s="54">
        <v>6.0</v>
      </c>
      <c r="E201" s="41" t="s">
        <v>663</v>
      </c>
      <c r="G201" s="42" t="s">
        <v>659</v>
      </c>
      <c r="H201" s="53" t="b">
        <v>0</v>
      </c>
    </row>
    <row r="202" ht="23.25" customHeight="1">
      <c r="A202" s="10" t="s">
        <v>349</v>
      </c>
      <c r="B202" s="10" t="s">
        <v>29</v>
      </c>
      <c r="C202" s="41" t="s">
        <v>127</v>
      </c>
      <c r="D202" s="54">
        <v>6.0</v>
      </c>
      <c r="E202" s="41" t="s">
        <v>664</v>
      </c>
      <c r="G202" s="42" t="s">
        <v>665</v>
      </c>
      <c r="H202" s="53" t="b">
        <v>0</v>
      </c>
    </row>
    <row r="203" ht="23.25" customHeight="1">
      <c r="A203" s="10" t="s">
        <v>337</v>
      </c>
      <c r="B203" s="10" t="s">
        <v>29</v>
      </c>
      <c r="D203" s="18">
        <v>8.0</v>
      </c>
      <c r="E203" s="10" t="s">
        <v>372</v>
      </c>
      <c r="F203" s="18"/>
      <c r="G203" s="10" t="s">
        <v>433</v>
      </c>
      <c r="H203" s="49" t="b">
        <v>1</v>
      </c>
      <c r="I203" s="45" t="s">
        <v>374</v>
      </c>
    </row>
    <row r="204">
      <c r="A204" s="10" t="s">
        <v>349</v>
      </c>
      <c r="B204" s="10" t="s">
        <v>29</v>
      </c>
      <c r="C204" s="41" t="s">
        <v>82</v>
      </c>
      <c r="D204" s="54">
        <v>8.0</v>
      </c>
      <c r="E204" s="41" t="s">
        <v>666</v>
      </c>
      <c r="G204" s="42" t="s">
        <v>667</v>
      </c>
      <c r="H204" s="53" t="b">
        <v>0</v>
      </c>
    </row>
    <row r="205" ht="24.0" customHeight="1">
      <c r="A205" s="10" t="s">
        <v>349</v>
      </c>
      <c r="B205" s="10" t="s">
        <v>29</v>
      </c>
      <c r="C205" s="41" t="s">
        <v>85</v>
      </c>
      <c r="D205" s="54">
        <v>8.0</v>
      </c>
      <c r="E205" s="41" t="s">
        <v>668</v>
      </c>
      <c r="G205" s="42" t="s">
        <v>669</v>
      </c>
      <c r="H205" s="53" t="b">
        <v>0</v>
      </c>
    </row>
    <row r="206">
      <c r="A206" s="10" t="s">
        <v>349</v>
      </c>
      <c r="B206" s="10" t="s">
        <v>29</v>
      </c>
      <c r="C206" s="41" t="s">
        <v>88</v>
      </c>
      <c r="D206" s="54">
        <v>8.0</v>
      </c>
      <c r="E206" s="41" t="s">
        <v>668</v>
      </c>
      <c r="G206" s="42" t="s">
        <v>670</v>
      </c>
      <c r="H206" s="53" t="b">
        <v>0</v>
      </c>
    </row>
    <row r="207" ht="25.5" customHeight="1">
      <c r="A207" s="10" t="s">
        <v>349</v>
      </c>
      <c r="B207" s="10" t="s">
        <v>29</v>
      </c>
      <c r="C207" s="41" t="s">
        <v>91</v>
      </c>
      <c r="D207" s="54">
        <v>8.0</v>
      </c>
      <c r="E207" s="41" t="s">
        <v>666</v>
      </c>
      <c r="G207" s="42" t="s">
        <v>667</v>
      </c>
      <c r="H207" s="53" t="b">
        <v>0</v>
      </c>
    </row>
    <row r="208">
      <c r="A208" s="10" t="s">
        <v>349</v>
      </c>
      <c r="B208" s="10" t="s">
        <v>29</v>
      </c>
      <c r="C208" s="41" t="s">
        <v>94</v>
      </c>
      <c r="D208" s="54">
        <v>8.0</v>
      </c>
      <c r="E208" s="41" t="s">
        <v>666</v>
      </c>
      <c r="G208" s="42" t="s">
        <v>667</v>
      </c>
      <c r="H208" s="53" t="b">
        <v>0</v>
      </c>
    </row>
    <row r="209" ht="21.75" customHeight="1">
      <c r="A209" s="10" t="s">
        <v>349</v>
      </c>
      <c r="B209" s="10" t="s">
        <v>29</v>
      </c>
      <c r="C209" s="41" t="s">
        <v>97</v>
      </c>
      <c r="D209" s="54">
        <v>8.0</v>
      </c>
      <c r="E209" s="41" t="s">
        <v>668</v>
      </c>
      <c r="G209" s="42" t="s">
        <v>671</v>
      </c>
      <c r="H209" s="53" t="b">
        <v>0</v>
      </c>
    </row>
    <row r="210" ht="19.5" customHeight="1">
      <c r="A210" s="10" t="s">
        <v>349</v>
      </c>
      <c r="B210" s="10" t="s">
        <v>29</v>
      </c>
      <c r="C210" s="41" t="s">
        <v>100</v>
      </c>
      <c r="D210" s="54">
        <v>8.0</v>
      </c>
      <c r="E210" s="41" t="s">
        <v>666</v>
      </c>
      <c r="G210" s="42" t="s">
        <v>667</v>
      </c>
      <c r="H210" s="53" t="b">
        <v>0</v>
      </c>
    </row>
    <row r="211">
      <c r="A211" s="10" t="s">
        <v>349</v>
      </c>
      <c r="B211" s="10" t="s">
        <v>29</v>
      </c>
      <c r="C211" s="41" t="s">
        <v>103</v>
      </c>
      <c r="D211" s="54">
        <v>8.0</v>
      </c>
      <c r="E211" s="41" t="s">
        <v>668</v>
      </c>
      <c r="G211" s="42" t="s">
        <v>672</v>
      </c>
      <c r="H211" s="53" t="b">
        <v>0</v>
      </c>
    </row>
    <row r="212" ht="17.25" customHeight="1">
      <c r="A212" s="10" t="s">
        <v>349</v>
      </c>
      <c r="B212" s="10" t="s">
        <v>29</v>
      </c>
      <c r="C212" s="41" t="s">
        <v>106</v>
      </c>
      <c r="D212" s="54">
        <v>8.0</v>
      </c>
      <c r="E212" s="41" t="s">
        <v>668</v>
      </c>
      <c r="G212" s="42" t="s">
        <v>673</v>
      </c>
      <c r="H212" s="53" t="b">
        <v>0</v>
      </c>
    </row>
    <row r="213">
      <c r="A213" s="10" t="s">
        <v>349</v>
      </c>
      <c r="B213" s="10" t="s">
        <v>29</v>
      </c>
      <c r="C213" s="41" t="s">
        <v>109</v>
      </c>
      <c r="D213" s="54">
        <v>8.0</v>
      </c>
      <c r="E213" s="41" t="s">
        <v>668</v>
      </c>
      <c r="G213" s="42" t="s">
        <v>671</v>
      </c>
      <c r="H213" s="53" t="b">
        <v>0</v>
      </c>
    </row>
    <row r="214" ht="23.25" customHeight="1">
      <c r="A214" s="10" t="s">
        <v>349</v>
      </c>
      <c r="B214" s="10" t="s">
        <v>29</v>
      </c>
      <c r="C214" s="41" t="s">
        <v>118</v>
      </c>
      <c r="D214" s="54">
        <v>8.0</v>
      </c>
      <c r="E214" s="50" t="s">
        <v>668</v>
      </c>
      <c r="G214" s="42" t="s">
        <v>674</v>
      </c>
      <c r="H214" s="53" t="b">
        <v>0</v>
      </c>
    </row>
    <row r="215">
      <c r="A215" s="10" t="s">
        <v>349</v>
      </c>
      <c r="B215" s="10" t="s">
        <v>29</v>
      </c>
      <c r="C215" s="41" t="s">
        <v>121</v>
      </c>
      <c r="D215" s="54">
        <v>8.0</v>
      </c>
      <c r="E215" s="41" t="s">
        <v>668</v>
      </c>
      <c r="G215" s="42" t="s">
        <v>675</v>
      </c>
      <c r="H215" s="53" t="b">
        <v>0</v>
      </c>
    </row>
    <row r="216">
      <c r="A216" s="10" t="s">
        <v>349</v>
      </c>
      <c r="B216" s="10" t="s">
        <v>29</v>
      </c>
      <c r="C216" s="41" t="s">
        <v>112</v>
      </c>
      <c r="D216" s="54">
        <v>8.0</v>
      </c>
      <c r="E216" s="41" t="s">
        <v>668</v>
      </c>
      <c r="G216" s="42" t="s">
        <v>676</v>
      </c>
      <c r="H216" s="53" t="b">
        <v>0</v>
      </c>
    </row>
    <row r="217">
      <c r="A217" s="10" t="s">
        <v>349</v>
      </c>
      <c r="B217" s="10" t="s">
        <v>29</v>
      </c>
      <c r="C217" s="41" t="s">
        <v>115</v>
      </c>
      <c r="D217" s="54">
        <v>8.0</v>
      </c>
      <c r="E217" s="41" t="s">
        <v>668</v>
      </c>
      <c r="G217" s="42" t="s">
        <v>676</v>
      </c>
      <c r="H217" s="53" t="b">
        <v>0</v>
      </c>
    </row>
    <row r="218">
      <c r="A218" s="10" t="s">
        <v>349</v>
      </c>
      <c r="B218" s="10" t="s">
        <v>29</v>
      </c>
      <c r="C218" s="41" t="s">
        <v>79</v>
      </c>
      <c r="D218" s="54">
        <v>8.0</v>
      </c>
      <c r="E218" s="41" t="s">
        <v>666</v>
      </c>
      <c r="G218" s="42" t="s">
        <v>667</v>
      </c>
      <c r="H218" s="53" t="b">
        <v>0</v>
      </c>
    </row>
    <row r="219">
      <c r="A219" s="10" t="s">
        <v>349</v>
      </c>
      <c r="B219" s="10" t="s">
        <v>29</v>
      </c>
      <c r="C219" s="41" t="s">
        <v>124</v>
      </c>
      <c r="D219" s="54">
        <v>8.0</v>
      </c>
      <c r="E219" s="41" t="s">
        <v>668</v>
      </c>
      <c r="G219" s="42" t="s">
        <v>676</v>
      </c>
      <c r="H219" s="53" t="b">
        <v>0</v>
      </c>
    </row>
    <row r="220" ht="16.5" customHeight="1">
      <c r="A220" s="10" t="s">
        <v>341</v>
      </c>
      <c r="B220" s="10" t="s">
        <v>29</v>
      </c>
      <c r="D220" s="10">
        <v>10.0</v>
      </c>
      <c r="E220" s="10" t="s">
        <v>677</v>
      </c>
      <c r="G220" s="18" t="s">
        <v>678</v>
      </c>
      <c r="H220" t="b">
        <v>0</v>
      </c>
    </row>
    <row r="221" ht="16.5" customHeight="1">
      <c r="A221" s="10" t="s">
        <v>337</v>
      </c>
      <c r="B221" s="10" t="s">
        <v>29</v>
      </c>
      <c r="D221" s="18">
        <v>12.0</v>
      </c>
      <c r="E221" s="10" t="s">
        <v>372</v>
      </c>
      <c r="F221" s="18"/>
      <c r="G221" s="10" t="s">
        <v>433</v>
      </c>
      <c r="H221" s="49" t="b">
        <v>1</v>
      </c>
      <c r="I221" s="45" t="s">
        <v>374</v>
      </c>
    </row>
    <row r="222" ht="16.5" customHeight="1">
      <c r="A222" s="10" t="s">
        <v>337</v>
      </c>
      <c r="B222" s="10" t="s">
        <v>29</v>
      </c>
      <c r="D222" s="18">
        <v>16.0</v>
      </c>
      <c r="E222" s="10" t="s">
        <v>372</v>
      </c>
      <c r="F222" s="18"/>
      <c r="G222" s="10" t="s">
        <v>433</v>
      </c>
      <c r="H222" s="49" t="b">
        <v>1</v>
      </c>
      <c r="I222" s="45" t="s">
        <v>374</v>
      </c>
    </row>
    <row r="223">
      <c r="A223" s="10" t="s">
        <v>349</v>
      </c>
      <c r="B223" s="10" t="s">
        <v>29</v>
      </c>
      <c r="C223" s="41" t="s">
        <v>82</v>
      </c>
      <c r="D223" s="54">
        <v>17.0</v>
      </c>
      <c r="E223" s="41" t="s">
        <v>679</v>
      </c>
      <c r="G223" s="42" t="s">
        <v>680</v>
      </c>
      <c r="H223" s="53" t="b">
        <v>0</v>
      </c>
    </row>
    <row r="224">
      <c r="A224" s="10" t="s">
        <v>349</v>
      </c>
      <c r="B224" s="10" t="s">
        <v>29</v>
      </c>
      <c r="C224" s="41" t="s">
        <v>85</v>
      </c>
      <c r="D224" s="54">
        <v>17.0</v>
      </c>
      <c r="E224" s="41" t="s">
        <v>681</v>
      </c>
      <c r="G224" s="42" t="s">
        <v>682</v>
      </c>
      <c r="H224" s="53" t="b">
        <v>0</v>
      </c>
    </row>
    <row r="225" ht="20.25" customHeight="1">
      <c r="A225" s="10" t="s">
        <v>349</v>
      </c>
      <c r="B225" s="10" t="s">
        <v>29</v>
      </c>
      <c r="C225" s="41" t="s">
        <v>88</v>
      </c>
      <c r="D225" s="54">
        <v>17.0</v>
      </c>
      <c r="E225" s="41" t="s">
        <v>683</v>
      </c>
      <c r="G225" s="42" t="s">
        <v>684</v>
      </c>
      <c r="H225" s="53" t="b">
        <v>0</v>
      </c>
    </row>
    <row r="226">
      <c r="A226" s="10" t="s">
        <v>349</v>
      </c>
      <c r="B226" s="10" t="s">
        <v>29</v>
      </c>
      <c r="C226" s="41" t="s">
        <v>91</v>
      </c>
      <c r="D226" s="54">
        <v>17.0</v>
      </c>
      <c r="E226" s="41" t="s">
        <v>685</v>
      </c>
      <c r="G226" s="42" t="s">
        <v>686</v>
      </c>
      <c r="H226" s="53" t="b">
        <v>0</v>
      </c>
    </row>
    <row r="227" ht="21.0" customHeight="1">
      <c r="A227" s="10" t="s">
        <v>349</v>
      </c>
      <c r="B227" s="10" t="s">
        <v>29</v>
      </c>
      <c r="C227" s="41" t="s">
        <v>94</v>
      </c>
      <c r="D227" s="54">
        <v>17.0</v>
      </c>
      <c r="E227" s="41" t="s">
        <v>687</v>
      </c>
      <c r="G227" s="42" t="s">
        <v>688</v>
      </c>
      <c r="H227" s="53" t="b">
        <v>0</v>
      </c>
    </row>
    <row r="228">
      <c r="A228" s="10" t="s">
        <v>349</v>
      </c>
      <c r="B228" s="10" t="s">
        <v>29</v>
      </c>
      <c r="C228" s="41" t="s">
        <v>97</v>
      </c>
      <c r="D228" s="54">
        <v>17.0</v>
      </c>
      <c r="E228" s="41" t="s">
        <v>689</v>
      </c>
      <c r="G228" s="42" t="s">
        <v>690</v>
      </c>
      <c r="H228" s="53" t="b">
        <v>0</v>
      </c>
    </row>
    <row r="229">
      <c r="A229" s="10" t="s">
        <v>349</v>
      </c>
      <c r="B229" s="10" t="s">
        <v>29</v>
      </c>
      <c r="C229" s="41" t="s">
        <v>100</v>
      </c>
      <c r="D229" s="54">
        <v>17.0</v>
      </c>
      <c r="E229" s="41" t="s">
        <v>691</v>
      </c>
      <c r="G229" s="42" t="s">
        <v>692</v>
      </c>
      <c r="H229" s="53" t="b">
        <v>0</v>
      </c>
    </row>
    <row r="230">
      <c r="A230" s="10" t="s">
        <v>349</v>
      </c>
      <c r="B230" s="10" t="s">
        <v>29</v>
      </c>
      <c r="C230" s="41" t="s">
        <v>103</v>
      </c>
      <c r="D230" s="54">
        <v>17.0</v>
      </c>
      <c r="E230" s="41" t="s">
        <v>693</v>
      </c>
      <c r="G230" s="42" t="s">
        <v>694</v>
      </c>
      <c r="H230" s="53" t="b">
        <v>0</v>
      </c>
    </row>
    <row r="231">
      <c r="A231" s="10" t="s">
        <v>349</v>
      </c>
      <c r="B231" s="10" t="s">
        <v>29</v>
      </c>
      <c r="C231" s="41" t="s">
        <v>106</v>
      </c>
      <c r="D231" s="54">
        <v>17.0</v>
      </c>
      <c r="E231" s="41" t="s">
        <v>695</v>
      </c>
      <c r="G231" s="42" t="s">
        <v>696</v>
      </c>
      <c r="H231" s="53" t="b">
        <v>0</v>
      </c>
    </row>
    <row r="232" ht="23.25" customHeight="1">
      <c r="A232" s="10" t="s">
        <v>349</v>
      </c>
      <c r="B232" s="10" t="s">
        <v>29</v>
      </c>
      <c r="C232" s="41" t="s">
        <v>109</v>
      </c>
      <c r="D232" s="54">
        <v>17.0</v>
      </c>
      <c r="E232" s="41" t="s">
        <v>697</v>
      </c>
      <c r="G232" s="42" t="s">
        <v>698</v>
      </c>
      <c r="H232" s="53" t="b">
        <v>0</v>
      </c>
    </row>
    <row r="233">
      <c r="A233" s="10" t="s">
        <v>349</v>
      </c>
      <c r="B233" s="10" t="s">
        <v>29</v>
      </c>
      <c r="C233" s="41" t="s">
        <v>118</v>
      </c>
      <c r="D233" s="54">
        <v>17.0</v>
      </c>
      <c r="E233" s="41" t="s">
        <v>699</v>
      </c>
      <c r="G233" s="42" t="s">
        <v>700</v>
      </c>
      <c r="H233" s="53" t="b">
        <v>0</v>
      </c>
    </row>
    <row r="234">
      <c r="A234" s="10" t="s">
        <v>349</v>
      </c>
      <c r="B234" s="10" t="s">
        <v>29</v>
      </c>
      <c r="C234" s="41" t="s">
        <v>121</v>
      </c>
      <c r="D234" s="54">
        <v>17.0</v>
      </c>
      <c r="E234" s="41" t="s">
        <v>701</v>
      </c>
      <c r="G234" s="42" t="s">
        <v>702</v>
      </c>
      <c r="H234" s="53" t="b">
        <v>0</v>
      </c>
    </row>
    <row r="235">
      <c r="A235" s="10" t="s">
        <v>349</v>
      </c>
      <c r="B235" s="10" t="s">
        <v>29</v>
      </c>
      <c r="C235" s="41" t="s">
        <v>112</v>
      </c>
      <c r="D235" s="54">
        <v>17.0</v>
      </c>
      <c r="E235" s="41" t="s">
        <v>689</v>
      </c>
      <c r="G235" s="42" t="s">
        <v>690</v>
      </c>
      <c r="H235" s="53" t="b">
        <v>0</v>
      </c>
    </row>
    <row r="236">
      <c r="A236" s="10" t="s">
        <v>349</v>
      </c>
      <c r="B236" s="10" t="s">
        <v>29</v>
      </c>
      <c r="C236" s="41" t="s">
        <v>115</v>
      </c>
      <c r="D236" s="54">
        <v>17.0</v>
      </c>
      <c r="E236" s="41" t="s">
        <v>703</v>
      </c>
      <c r="G236" s="42" t="s">
        <v>704</v>
      </c>
      <c r="H236" s="53" t="b">
        <v>0</v>
      </c>
    </row>
    <row r="237">
      <c r="A237" s="10" t="s">
        <v>349</v>
      </c>
      <c r="B237" s="10" t="s">
        <v>29</v>
      </c>
      <c r="C237" s="41" t="s">
        <v>79</v>
      </c>
      <c r="D237" s="54">
        <v>17.0</v>
      </c>
      <c r="E237" s="41" t="s">
        <v>701</v>
      </c>
      <c r="G237" s="42" t="s">
        <v>702</v>
      </c>
      <c r="H237" s="53" t="b">
        <v>0</v>
      </c>
    </row>
    <row r="238">
      <c r="A238" s="10" t="s">
        <v>349</v>
      </c>
      <c r="B238" s="10" t="s">
        <v>29</v>
      </c>
      <c r="C238" s="41" t="s">
        <v>124</v>
      </c>
      <c r="D238" s="54">
        <v>17.0</v>
      </c>
      <c r="E238" s="41" t="s">
        <v>703</v>
      </c>
      <c r="G238" s="42" t="s">
        <v>705</v>
      </c>
      <c r="H238" s="53" t="b">
        <v>0</v>
      </c>
    </row>
    <row r="239" ht="18.75" customHeight="1">
      <c r="A239" s="10" t="s">
        <v>349</v>
      </c>
      <c r="B239" s="10" t="s">
        <v>29</v>
      </c>
      <c r="C239" s="41" t="s">
        <v>127</v>
      </c>
      <c r="D239" s="54">
        <v>17.0</v>
      </c>
      <c r="E239" s="41" t="s">
        <v>706</v>
      </c>
      <c r="G239" s="42" t="s">
        <v>707</v>
      </c>
      <c r="H239" s="53" t="b">
        <v>0</v>
      </c>
    </row>
    <row r="240" ht="18.75" customHeight="1">
      <c r="A240" s="10" t="s">
        <v>337</v>
      </c>
      <c r="B240" s="10" t="s">
        <v>29</v>
      </c>
      <c r="D240" s="18">
        <v>19.0</v>
      </c>
      <c r="E240" s="10" t="s">
        <v>372</v>
      </c>
      <c r="F240" s="18"/>
      <c r="G240" s="10" t="s">
        <v>433</v>
      </c>
      <c r="H240" s="49" t="b">
        <v>1</v>
      </c>
      <c r="I240" s="45" t="s">
        <v>374</v>
      </c>
    </row>
    <row r="241" ht="18.75" customHeight="1">
      <c r="A241" s="10" t="s">
        <v>337</v>
      </c>
      <c r="B241" s="10" t="s">
        <v>35</v>
      </c>
      <c r="C241" s="41"/>
      <c r="D241" s="60">
        <v>0.0</v>
      </c>
      <c r="E241" s="55" t="s">
        <v>708</v>
      </c>
      <c r="G241" s="57" t="s">
        <v>709</v>
      </c>
      <c r="H241" s="53" t="b">
        <v>1</v>
      </c>
      <c r="I241" s="59" t="s">
        <v>340</v>
      </c>
    </row>
    <row r="242">
      <c r="A242" s="10" t="s">
        <v>341</v>
      </c>
      <c r="B242" s="10" t="s">
        <v>35</v>
      </c>
      <c r="D242" s="10">
        <v>1.0</v>
      </c>
      <c r="E242" s="10" t="s">
        <v>710</v>
      </c>
      <c r="G242" s="18" t="s">
        <v>711</v>
      </c>
      <c r="H242" t="b">
        <v>1</v>
      </c>
      <c r="I242" s="48" t="s">
        <v>712</v>
      </c>
    </row>
    <row r="243" ht="15.75" customHeight="1">
      <c r="A243" s="10" t="s">
        <v>349</v>
      </c>
      <c r="B243" s="10" t="s">
        <v>35</v>
      </c>
      <c r="C243" s="10" t="s">
        <v>133</v>
      </c>
      <c r="D243" s="10">
        <v>1.0</v>
      </c>
      <c r="E243" s="10" t="s">
        <v>713</v>
      </c>
      <c r="G243" s="18" t="s">
        <v>714</v>
      </c>
      <c r="H243" s="10" t="b">
        <v>1</v>
      </c>
      <c r="I243" s="48" t="s">
        <v>715</v>
      </c>
    </row>
    <row r="244">
      <c r="A244" s="10" t="s">
        <v>349</v>
      </c>
      <c r="B244" s="10" t="s">
        <v>35</v>
      </c>
      <c r="C244" s="10" t="s">
        <v>133</v>
      </c>
      <c r="D244" s="10">
        <v>1.0</v>
      </c>
      <c r="E244" s="10" t="s">
        <v>568</v>
      </c>
      <c r="G244" s="18" t="s">
        <v>716</v>
      </c>
      <c r="H244" t="b">
        <v>0</v>
      </c>
    </row>
    <row r="245" ht="15.75" customHeight="1">
      <c r="A245" s="10" t="s">
        <v>341</v>
      </c>
      <c r="B245" s="10" t="s">
        <v>35</v>
      </c>
      <c r="D245" s="10">
        <v>2.0</v>
      </c>
      <c r="E245" s="10" t="s">
        <v>717</v>
      </c>
      <c r="G245" s="18" t="s">
        <v>718</v>
      </c>
      <c r="H245" t="b">
        <v>0</v>
      </c>
    </row>
    <row r="246" ht="21.0" customHeight="1">
      <c r="A246" s="10" t="s">
        <v>349</v>
      </c>
      <c r="B246" s="10" t="s">
        <v>35</v>
      </c>
      <c r="C246" s="10" t="s">
        <v>130</v>
      </c>
      <c r="D246" s="10">
        <v>2.0</v>
      </c>
      <c r="E246" s="10" t="s">
        <v>719</v>
      </c>
      <c r="G246" s="18" t="s">
        <v>720</v>
      </c>
      <c r="H246" t="b">
        <v>0</v>
      </c>
      <c r="I246" s="39"/>
    </row>
    <row r="247" ht="13.5" customHeight="1">
      <c r="A247" s="10" t="s">
        <v>349</v>
      </c>
      <c r="B247" s="10" t="s">
        <v>35</v>
      </c>
      <c r="C247" s="10" t="s">
        <v>133</v>
      </c>
      <c r="D247" s="10">
        <v>2.0</v>
      </c>
      <c r="E247" s="10" t="s">
        <v>721</v>
      </c>
      <c r="G247" s="18" t="s">
        <v>722</v>
      </c>
      <c r="H247" t="b">
        <v>0</v>
      </c>
    </row>
    <row r="248" ht="12.75" customHeight="1">
      <c r="A248" s="10" t="s">
        <v>349</v>
      </c>
      <c r="B248" s="10" t="s">
        <v>35</v>
      </c>
      <c r="C248" s="10" t="s">
        <v>136</v>
      </c>
      <c r="D248" s="10">
        <v>2.0</v>
      </c>
      <c r="E248" s="10" t="s">
        <v>723</v>
      </c>
      <c r="G248" s="18" t="s">
        <v>724</v>
      </c>
      <c r="H248" t="b">
        <v>0</v>
      </c>
    </row>
    <row r="249" ht="15.75" customHeight="1">
      <c r="A249" s="10" t="s">
        <v>349</v>
      </c>
      <c r="B249" s="10" t="s">
        <v>35</v>
      </c>
      <c r="C249" s="10" t="s">
        <v>139</v>
      </c>
      <c r="D249" s="10">
        <v>2.0</v>
      </c>
      <c r="E249" s="10" t="s">
        <v>725</v>
      </c>
      <c r="G249" s="18" t="s">
        <v>726</v>
      </c>
      <c r="H249" t="b">
        <v>0</v>
      </c>
    </row>
    <row r="250" ht="15.0" customHeight="1">
      <c r="A250" s="10" t="s">
        <v>349</v>
      </c>
      <c r="B250" s="10" t="s">
        <v>35</v>
      </c>
      <c r="C250" s="10" t="s">
        <v>139</v>
      </c>
      <c r="D250" s="10">
        <v>2.0</v>
      </c>
      <c r="E250" s="10" t="s">
        <v>727</v>
      </c>
      <c r="G250" s="18" t="s">
        <v>728</v>
      </c>
      <c r="H250" t="b">
        <v>0</v>
      </c>
    </row>
    <row r="251" ht="17.25" customHeight="1">
      <c r="A251" s="10" t="s">
        <v>349</v>
      </c>
      <c r="B251" s="10" t="s">
        <v>35</v>
      </c>
      <c r="C251" s="10" t="s">
        <v>142</v>
      </c>
      <c r="D251" s="10">
        <v>2.0</v>
      </c>
      <c r="E251" s="10" t="s">
        <v>729</v>
      </c>
      <c r="G251" s="18" t="s">
        <v>730</v>
      </c>
      <c r="H251" t="b">
        <v>1</v>
      </c>
      <c r="I251" s="48" t="s">
        <v>731</v>
      </c>
    </row>
    <row r="252">
      <c r="A252" s="10" t="s">
        <v>349</v>
      </c>
      <c r="B252" s="10" t="s">
        <v>35</v>
      </c>
      <c r="C252" s="10" t="s">
        <v>142</v>
      </c>
      <c r="D252" s="10">
        <v>2.0</v>
      </c>
      <c r="E252" s="10" t="s">
        <v>732</v>
      </c>
      <c r="G252" s="18" t="s">
        <v>733</v>
      </c>
      <c r="H252" t="b">
        <v>0</v>
      </c>
    </row>
    <row r="253" ht="15.0" customHeight="1">
      <c r="A253" s="10" t="s">
        <v>349</v>
      </c>
      <c r="B253" s="10" t="s">
        <v>35</v>
      </c>
      <c r="C253" s="10" t="s">
        <v>142</v>
      </c>
      <c r="D253" s="10">
        <v>2.0</v>
      </c>
      <c r="E253" s="10" t="s">
        <v>734</v>
      </c>
      <c r="G253" s="18" t="s">
        <v>735</v>
      </c>
      <c r="H253" t="b">
        <v>0</v>
      </c>
    </row>
    <row r="254" ht="17.25" customHeight="1">
      <c r="A254" s="10" t="s">
        <v>349</v>
      </c>
      <c r="B254" s="10" t="s">
        <v>35</v>
      </c>
      <c r="C254" s="10" t="s">
        <v>145</v>
      </c>
      <c r="D254" s="10">
        <v>2.0</v>
      </c>
      <c r="E254" s="10" t="s">
        <v>736</v>
      </c>
      <c r="G254" s="18" t="s">
        <v>737</v>
      </c>
      <c r="H254" t="b">
        <v>0</v>
      </c>
    </row>
    <row r="255" ht="19.5" customHeight="1">
      <c r="A255" s="10" t="s">
        <v>349</v>
      </c>
      <c r="B255" s="10" t="s">
        <v>35</v>
      </c>
      <c r="C255" s="10" t="s">
        <v>133</v>
      </c>
      <c r="D255" s="10">
        <v>3.0</v>
      </c>
      <c r="E255" s="10" t="s">
        <v>729</v>
      </c>
      <c r="G255" s="18" t="s">
        <v>714</v>
      </c>
      <c r="H255" t="b">
        <v>0</v>
      </c>
      <c r="I255" s="13"/>
    </row>
    <row r="256" ht="22.5" customHeight="1">
      <c r="A256" s="10" t="s">
        <v>337</v>
      </c>
      <c r="B256" s="10" t="s">
        <v>35</v>
      </c>
      <c r="D256" s="18">
        <v>4.0</v>
      </c>
      <c r="E256" s="10" t="s">
        <v>372</v>
      </c>
      <c r="F256" s="18"/>
      <c r="G256" s="10" t="s">
        <v>433</v>
      </c>
      <c r="H256" s="49" t="b">
        <v>1</v>
      </c>
      <c r="I256" s="45" t="s">
        <v>374</v>
      </c>
    </row>
    <row r="257" ht="22.5" customHeight="1">
      <c r="A257" s="10" t="s">
        <v>349</v>
      </c>
      <c r="B257" s="10" t="s">
        <v>35</v>
      </c>
      <c r="C257" s="10" t="s">
        <v>130</v>
      </c>
      <c r="D257" s="10">
        <v>6.0</v>
      </c>
      <c r="E257" s="10" t="s">
        <v>738</v>
      </c>
      <c r="G257" s="18" t="s">
        <v>739</v>
      </c>
      <c r="H257" t="b">
        <v>0</v>
      </c>
      <c r="I257" s="13"/>
    </row>
    <row r="258" ht="19.5" customHeight="1">
      <c r="A258" s="10" t="s">
        <v>349</v>
      </c>
      <c r="B258" s="10" t="s">
        <v>35</v>
      </c>
      <c r="C258" s="10" t="s">
        <v>136</v>
      </c>
      <c r="D258" s="10">
        <v>6.0</v>
      </c>
      <c r="E258" s="10" t="s">
        <v>740</v>
      </c>
      <c r="G258" s="18" t="s">
        <v>741</v>
      </c>
      <c r="H258" t="b">
        <v>1</v>
      </c>
      <c r="I258" s="13"/>
    </row>
    <row r="259" ht="15.0" customHeight="1">
      <c r="A259" s="10" t="s">
        <v>349</v>
      </c>
      <c r="B259" s="10" t="s">
        <v>35</v>
      </c>
      <c r="C259" s="10" t="s">
        <v>136</v>
      </c>
      <c r="D259" s="10">
        <v>6.0</v>
      </c>
      <c r="E259" s="10" t="s">
        <v>742</v>
      </c>
      <c r="G259" s="18" t="s">
        <v>743</v>
      </c>
      <c r="H259" t="b">
        <v>0</v>
      </c>
      <c r="I259" s="13"/>
    </row>
    <row r="260" ht="17.25" customHeight="1">
      <c r="A260" s="10" t="s">
        <v>349</v>
      </c>
      <c r="B260" s="10" t="s">
        <v>35</v>
      </c>
      <c r="C260" s="10" t="s">
        <v>133</v>
      </c>
      <c r="D260" s="10">
        <v>6.0</v>
      </c>
      <c r="E260" s="10" t="s">
        <v>744</v>
      </c>
      <c r="G260" s="18" t="s">
        <v>745</v>
      </c>
      <c r="H260" t="b">
        <v>0</v>
      </c>
    </row>
    <row r="261" ht="16.5" customHeight="1">
      <c r="A261" s="10" t="s">
        <v>349</v>
      </c>
      <c r="B261" s="10" t="s">
        <v>35</v>
      </c>
      <c r="C261" s="10" t="s">
        <v>139</v>
      </c>
      <c r="D261" s="10">
        <v>6.0</v>
      </c>
      <c r="E261" s="10" t="s">
        <v>746</v>
      </c>
      <c r="G261" s="18" t="s">
        <v>747</v>
      </c>
      <c r="H261" t="b">
        <v>0</v>
      </c>
    </row>
    <row r="262" ht="19.5" customHeight="1">
      <c r="A262" s="10" t="s">
        <v>349</v>
      </c>
      <c r="B262" s="10" t="s">
        <v>35</v>
      </c>
      <c r="C262" s="10" t="s">
        <v>142</v>
      </c>
      <c r="D262" s="10">
        <v>6.0</v>
      </c>
      <c r="E262" s="10" t="s">
        <v>748</v>
      </c>
      <c r="G262" s="18" t="s">
        <v>749</v>
      </c>
      <c r="H262" t="b">
        <v>0</v>
      </c>
    </row>
    <row r="263" ht="15.75" customHeight="1">
      <c r="A263" s="10" t="s">
        <v>349</v>
      </c>
      <c r="B263" s="10" t="s">
        <v>35</v>
      </c>
      <c r="C263" s="10" t="s">
        <v>145</v>
      </c>
      <c r="D263" s="10">
        <v>6.0</v>
      </c>
      <c r="E263" s="10" t="s">
        <v>750</v>
      </c>
      <c r="G263" s="18" t="s">
        <v>751</v>
      </c>
      <c r="H263" t="b">
        <v>0</v>
      </c>
    </row>
    <row r="264" ht="15.75" customHeight="1">
      <c r="A264" s="10" t="s">
        <v>337</v>
      </c>
      <c r="B264" s="10" t="s">
        <v>35</v>
      </c>
      <c r="D264" s="18">
        <v>8.0</v>
      </c>
      <c r="E264" s="10" t="s">
        <v>372</v>
      </c>
      <c r="F264" s="18"/>
      <c r="G264" s="10" t="s">
        <v>433</v>
      </c>
      <c r="H264" s="49" t="b">
        <v>1</v>
      </c>
      <c r="I264" s="45" t="s">
        <v>374</v>
      </c>
    </row>
    <row r="265" ht="18.75" customHeight="1">
      <c r="A265" s="10" t="s">
        <v>349</v>
      </c>
      <c r="B265" s="10" t="s">
        <v>35</v>
      </c>
      <c r="C265" s="10" t="s">
        <v>130</v>
      </c>
      <c r="D265" s="10">
        <v>10.0</v>
      </c>
      <c r="E265" s="10" t="s">
        <v>752</v>
      </c>
      <c r="G265" s="18" t="s">
        <v>753</v>
      </c>
      <c r="H265" t="b">
        <v>0</v>
      </c>
    </row>
    <row r="266" ht="27.0" customHeight="1">
      <c r="A266" s="10" t="s">
        <v>349</v>
      </c>
      <c r="B266" s="10" t="s">
        <v>35</v>
      </c>
      <c r="C266" s="10" t="s">
        <v>136</v>
      </c>
      <c r="D266" s="10">
        <v>10.0</v>
      </c>
      <c r="E266" s="10" t="s">
        <v>754</v>
      </c>
      <c r="G266" s="18" t="s">
        <v>755</v>
      </c>
      <c r="H266" t="b">
        <v>0</v>
      </c>
    </row>
    <row r="267">
      <c r="A267" s="10" t="s">
        <v>349</v>
      </c>
      <c r="B267" s="10" t="s">
        <v>35</v>
      </c>
      <c r="C267" s="10" t="s">
        <v>133</v>
      </c>
      <c r="D267" s="10">
        <v>10.0</v>
      </c>
      <c r="E267" s="10" t="s">
        <v>756</v>
      </c>
      <c r="G267" s="18" t="s">
        <v>757</v>
      </c>
      <c r="H267" t="b">
        <v>0</v>
      </c>
    </row>
    <row r="268">
      <c r="A268" s="10" t="s">
        <v>349</v>
      </c>
      <c r="B268" s="10" t="s">
        <v>35</v>
      </c>
      <c r="C268" s="10" t="s">
        <v>139</v>
      </c>
      <c r="D268" s="10">
        <v>10.0</v>
      </c>
      <c r="E268" s="10" t="s">
        <v>758</v>
      </c>
      <c r="G268" s="18" t="s">
        <v>759</v>
      </c>
      <c r="H268" t="b">
        <v>0</v>
      </c>
    </row>
    <row r="269" ht="21.0" customHeight="1">
      <c r="A269" s="10" t="s">
        <v>349</v>
      </c>
      <c r="B269" s="10" t="s">
        <v>35</v>
      </c>
      <c r="C269" s="10" t="s">
        <v>142</v>
      </c>
      <c r="D269" s="10">
        <v>10.0</v>
      </c>
      <c r="E269" s="10" t="s">
        <v>760</v>
      </c>
      <c r="G269" s="18" t="s">
        <v>761</v>
      </c>
      <c r="H269" t="b">
        <v>0</v>
      </c>
    </row>
    <row r="270" ht="22.5" customHeight="1">
      <c r="A270" s="10" t="s">
        <v>349</v>
      </c>
      <c r="B270" s="10" t="s">
        <v>35</v>
      </c>
      <c r="C270" s="10" t="s">
        <v>145</v>
      </c>
      <c r="D270" s="10">
        <v>10.0</v>
      </c>
      <c r="E270" s="10" t="s">
        <v>762</v>
      </c>
      <c r="G270" s="18" t="s">
        <v>763</v>
      </c>
      <c r="H270" t="b">
        <v>0</v>
      </c>
    </row>
    <row r="271" ht="22.5" customHeight="1">
      <c r="A271" s="10" t="s">
        <v>337</v>
      </c>
      <c r="B271" s="10" t="s">
        <v>35</v>
      </c>
      <c r="D271" s="18">
        <v>12.0</v>
      </c>
      <c r="E271" s="10" t="s">
        <v>372</v>
      </c>
      <c r="F271" s="18"/>
      <c r="G271" s="10" t="s">
        <v>433</v>
      </c>
      <c r="H271" s="49" t="b">
        <v>1</v>
      </c>
      <c r="I271" s="45" t="s">
        <v>374</v>
      </c>
    </row>
    <row r="272" ht="20.25" customHeight="1">
      <c r="A272" s="10" t="s">
        <v>349</v>
      </c>
      <c r="B272" s="10" t="s">
        <v>35</v>
      </c>
      <c r="C272" s="10" t="s">
        <v>130</v>
      </c>
      <c r="D272" s="10">
        <v>14.0</v>
      </c>
      <c r="E272" s="10" t="s">
        <v>764</v>
      </c>
      <c r="G272" s="18" t="s">
        <v>765</v>
      </c>
      <c r="H272" t="b">
        <v>0</v>
      </c>
    </row>
    <row r="273" ht="18.75" customHeight="1">
      <c r="A273" s="10" t="s">
        <v>349</v>
      </c>
      <c r="B273" s="10" t="s">
        <v>35</v>
      </c>
      <c r="C273" s="10" t="s">
        <v>136</v>
      </c>
      <c r="D273" s="10">
        <v>14.0</v>
      </c>
      <c r="E273" s="10" t="s">
        <v>766</v>
      </c>
      <c r="G273" s="18" t="s">
        <v>767</v>
      </c>
      <c r="H273" t="b">
        <v>0</v>
      </c>
    </row>
    <row r="274" ht="17.25" customHeight="1">
      <c r="A274" s="10" t="s">
        <v>349</v>
      </c>
      <c r="B274" s="10" t="s">
        <v>35</v>
      </c>
      <c r="C274" s="10" t="s">
        <v>133</v>
      </c>
      <c r="D274" s="10">
        <v>14.0</v>
      </c>
      <c r="E274" s="10" t="s">
        <v>768</v>
      </c>
      <c r="G274" s="18" t="s">
        <v>769</v>
      </c>
      <c r="H274" t="b">
        <v>0</v>
      </c>
    </row>
    <row r="275" ht="24.0" customHeight="1">
      <c r="A275" s="10" t="s">
        <v>349</v>
      </c>
      <c r="B275" s="10" t="s">
        <v>35</v>
      </c>
      <c r="C275" s="10" t="s">
        <v>139</v>
      </c>
      <c r="D275" s="10">
        <v>14.0</v>
      </c>
      <c r="E275" s="10" t="s">
        <v>770</v>
      </c>
      <c r="G275" s="18" t="s">
        <v>771</v>
      </c>
      <c r="H275" t="b">
        <v>0</v>
      </c>
    </row>
    <row r="276" ht="18.75" customHeight="1">
      <c r="A276" s="10" t="s">
        <v>349</v>
      </c>
      <c r="B276" s="10" t="s">
        <v>35</v>
      </c>
      <c r="C276" s="10" t="s">
        <v>142</v>
      </c>
      <c r="D276" s="10">
        <v>14.0</v>
      </c>
      <c r="E276" s="10" t="s">
        <v>772</v>
      </c>
      <c r="G276" s="18" t="s">
        <v>773</v>
      </c>
      <c r="H276" t="b">
        <v>0</v>
      </c>
    </row>
    <row r="277">
      <c r="A277" s="10" t="s">
        <v>349</v>
      </c>
      <c r="B277" s="10" t="s">
        <v>35</v>
      </c>
      <c r="C277" s="10" t="s">
        <v>145</v>
      </c>
      <c r="D277" s="10">
        <v>14.0</v>
      </c>
      <c r="E277" s="10" t="s">
        <v>774</v>
      </c>
      <c r="G277" s="18" t="s">
        <v>775</v>
      </c>
      <c r="H277" t="b">
        <v>0</v>
      </c>
    </row>
    <row r="278" ht="15.0" customHeight="1">
      <c r="A278" s="10" t="s">
        <v>337</v>
      </c>
      <c r="B278" s="10" t="s">
        <v>35</v>
      </c>
      <c r="D278" s="18">
        <v>16.0</v>
      </c>
      <c r="E278" s="10" t="s">
        <v>372</v>
      </c>
      <c r="F278" s="18"/>
      <c r="G278" s="10" t="s">
        <v>433</v>
      </c>
      <c r="H278" s="49" t="b">
        <v>1</v>
      </c>
      <c r="I278" s="45" t="s">
        <v>374</v>
      </c>
    </row>
    <row r="279" ht="17.25" customHeight="1">
      <c r="A279" s="10" t="s">
        <v>341</v>
      </c>
      <c r="B279" s="10" t="s">
        <v>35</v>
      </c>
      <c r="D279" s="10">
        <v>18.0</v>
      </c>
      <c r="E279" s="10" t="s">
        <v>776</v>
      </c>
      <c r="G279" s="18" t="s">
        <v>777</v>
      </c>
      <c r="H279" t="b">
        <v>0</v>
      </c>
    </row>
    <row r="280" ht="18.0" customHeight="1">
      <c r="A280" s="10" t="s">
        <v>341</v>
      </c>
      <c r="B280" s="10" t="s">
        <v>35</v>
      </c>
      <c r="D280" s="10">
        <v>18.0</v>
      </c>
      <c r="E280" s="10" t="s">
        <v>778</v>
      </c>
      <c r="G280" s="18" t="s">
        <v>779</v>
      </c>
      <c r="H280" t="b">
        <v>0</v>
      </c>
    </row>
    <row r="281" ht="18.0" customHeight="1">
      <c r="A281" s="10" t="s">
        <v>337</v>
      </c>
      <c r="B281" s="10" t="s">
        <v>35</v>
      </c>
      <c r="D281" s="18">
        <v>19.0</v>
      </c>
      <c r="E281" s="10" t="s">
        <v>372</v>
      </c>
      <c r="F281" s="18"/>
      <c r="G281" s="10" t="s">
        <v>433</v>
      </c>
      <c r="H281" s="49" t="b">
        <v>1</v>
      </c>
      <c r="I281" s="45" t="s">
        <v>374</v>
      </c>
    </row>
    <row r="282">
      <c r="A282" s="10" t="s">
        <v>341</v>
      </c>
      <c r="B282" s="10" t="s">
        <v>35</v>
      </c>
      <c r="D282" s="10">
        <v>20.0</v>
      </c>
      <c r="E282" s="10" t="s">
        <v>780</v>
      </c>
      <c r="G282" s="18" t="s">
        <v>781</v>
      </c>
      <c r="H282" s="13" t="b">
        <v>0</v>
      </c>
    </row>
    <row r="283" ht="22.5" customHeight="1">
      <c r="A283" s="10" t="s">
        <v>337</v>
      </c>
      <c r="B283" s="10" t="s">
        <v>39</v>
      </c>
      <c r="D283" s="10">
        <v>0.0</v>
      </c>
      <c r="E283" s="10" t="s">
        <v>782</v>
      </c>
      <c r="G283" s="18" t="s">
        <v>783</v>
      </c>
      <c r="H283" s="53" t="b">
        <v>1</v>
      </c>
      <c r="I283" s="59" t="s">
        <v>340</v>
      </c>
    </row>
    <row r="284" ht="18.0" customHeight="1">
      <c r="A284" s="10" t="s">
        <v>341</v>
      </c>
      <c r="B284" s="10" t="s">
        <v>39</v>
      </c>
      <c r="D284" s="10">
        <v>1.0</v>
      </c>
      <c r="E284" s="10" t="s">
        <v>503</v>
      </c>
      <c r="G284" s="18" t="s">
        <v>784</v>
      </c>
      <c r="H284" s="13" t="b">
        <v>0</v>
      </c>
      <c r="I284" s="13"/>
    </row>
    <row r="285" ht="17.25" customHeight="1">
      <c r="A285" s="10" t="s">
        <v>341</v>
      </c>
      <c r="B285" s="10" t="s">
        <v>39</v>
      </c>
      <c r="D285" s="10">
        <v>1.0</v>
      </c>
      <c r="E285" s="10" t="s">
        <v>785</v>
      </c>
      <c r="G285" s="18" t="s">
        <v>786</v>
      </c>
      <c r="H285" s="13" t="b">
        <v>0</v>
      </c>
      <c r="I285" s="13"/>
    </row>
    <row r="286" ht="17.25" customHeight="1">
      <c r="A286" s="10" t="s">
        <v>341</v>
      </c>
      <c r="B286" s="10" t="s">
        <v>39</v>
      </c>
      <c r="D286" s="10">
        <v>2.0</v>
      </c>
      <c r="E286" s="10" t="s">
        <v>787</v>
      </c>
      <c r="G286" s="18" t="s">
        <v>788</v>
      </c>
      <c r="H286" s="13" t="b">
        <v>0</v>
      </c>
      <c r="I286" s="13"/>
    </row>
    <row r="287" ht="18.0" customHeight="1">
      <c r="A287" s="10" t="s">
        <v>349</v>
      </c>
      <c r="B287" s="10" t="s">
        <v>39</v>
      </c>
      <c r="C287" s="10" t="s">
        <v>148</v>
      </c>
      <c r="D287" s="10">
        <v>3.0</v>
      </c>
      <c r="E287" s="10" t="s">
        <v>789</v>
      </c>
      <c r="G287" s="18" t="s">
        <v>790</v>
      </c>
      <c r="H287" t="b">
        <v>0</v>
      </c>
      <c r="I287" s="13"/>
    </row>
    <row r="288" ht="18.75" customHeight="1">
      <c r="A288" s="10" t="s">
        <v>349</v>
      </c>
      <c r="B288" s="10" t="s">
        <v>39</v>
      </c>
      <c r="C288" s="10" t="s">
        <v>148</v>
      </c>
      <c r="D288" s="10">
        <v>3.0</v>
      </c>
      <c r="E288" s="10" t="s">
        <v>791</v>
      </c>
      <c r="G288" s="18" t="s">
        <v>792</v>
      </c>
      <c r="H288" t="b">
        <v>0</v>
      </c>
      <c r="I288" s="13"/>
    </row>
    <row r="289" ht="16.5" customHeight="1">
      <c r="A289" s="10" t="s">
        <v>349</v>
      </c>
      <c r="B289" s="10" t="s">
        <v>39</v>
      </c>
      <c r="C289" s="10" t="s">
        <v>148</v>
      </c>
      <c r="D289" s="10">
        <v>3.0</v>
      </c>
      <c r="E289" s="10" t="s">
        <v>793</v>
      </c>
      <c r="G289" s="18" t="s">
        <v>794</v>
      </c>
      <c r="H289" t="b">
        <v>0</v>
      </c>
    </row>
    <row r="290" ht="15.0" customHeight="1">
      <c r="A290" s="10" t="s">
        <v>349</v>
      </c>
      <c r="B290" s="10" t="s">
        <v>39</v>
      </c>
      <c r="C290" s="10" t="s">
        <v>151</v>
      </c>
      <c r="D290" s="10">
        <v>3.0</v>
      </c>
      <c r="E290" s="10" t="s">
        <v>795</v>
      </c>
      <c r="G290" s="18" t="s">
        <v>796</v>
      </c>
      <c r="H290" t="b">
        <v>0</v>
      </c>
    </row>
    <row r="291" ht="22.5" customHeight="1">
      <c r="A291" s="10" t="s">
        <v>349</v>
      </c>
      <c r="B291" s="10" t="s">
        <v>39</v>
      </c>
      <c r="C291" s="10" t="s">
        <v>157</v>
      </c>
      <c r="D291" s="10">
        <v>3.0</v>
      </c>
      <c r="E291" s="10" t="s">
        <v>797</v>
      </c>
      <c r="G291" s="18" t="s">
        <v>798</v>
      </c>
      <c r="H291" t="b">
        <v>0</v>
      </c>
    </row>
    <row r="292">
      <c r="A292" s="10" t="s">
        <v>349</v>
      </c>
      <c r="B292" s="10" t="s">
        <v>39</v>
      </c>
      <c r="C292" s="10" t="s">
        <v>157</v>
      </c>
      <c r="D292" s="10">
        <v>3.0</v>
      </c>
      <c r="E292" s="10" t="s">
        <v>799</v>
      </c>
      <c r="G292" s="18" t="s">
        <v>800</v>
      </c>
      <c r="H292" t="b">
        <v>0</v>
      </c>
    </row>
    <row r="293">
      <c r="A293" s="10" t="s">
        <v>349</v>
      </c>
      <c r="B293" s="10" t="s">
        <v>39</v>
      </c>
      <c r="C293" s="10" t="s">
        <v>160</v>
      </c>
      <c r="D293" s="10">
        <v>3.0</v>
      </c>
      <c r="E293" s="10" t="s">
        <v>550</v>
      </c>
      <c r="G293" s="18" t="s">
        <v>801</v>
      </c>
      <c r="H293" t="b">
        <v>0</v>
      </c>
    </row>
    <row r="294" ht="15.75" customHeight="1">
      <c r="A294" s="10" t="s">
        <v>349</v>
      </c>
      <c r="B294" s="10" t="s">
        <v>39</v>
      </c>
      <c r="C294" s="50" t="s">
        <v>160</v>
      </c>
      <c r="D294" s="10">
        <v>3.0</v>
      </c>
      <c r="E294" s="10" t="s">
        <v>802</v>
      </c>
      <c r="G294" s="18" t="s">
        <v>803</v>
      </c>
      <c r="H294" t="b">
        <v>0</v>
      </c>
    </row>
    <row r="295" ht="17.25" customHeight="1">
      <c r="A295" s="10" t="s">
        <v>349</v>
      </c>
      <c r="B295" s="10" t="s">
        <v>39</v>
      </c>
      <c r="C295" s="50" t="s">
        <v>160</v>
      </c>
      <c r="D295" s="10">
        <v>3.0</v>
      </c>
      <c r="E295" s="10" t="s">
        <v>804</v>
      </c>
      <c r="G295" s="18" t="s">
        <v>805</v>
      </c>
      <c r="H295" t="b">
        <v>0</v>
      </c>
    </row>
    <row r="296">
      <c r="A296" s="10" t="s">
        <v>349</v>
      </c>
      <c r="B296" s="10" t="s">
        <v>39</v>
      </c>
      <c r="C296" s="10" t="s">
        <v>163</v>
      </c>
      <c r="D296" s="10">
        <v>3.0</v>
      </c>
      <c r="E296" s="10" t="s">
        <v>806</v>
      </c>
      <c r="G296" s="18" t="s">
        <v>807</v>
      </c>
      <c r="H296" t="b">
        <v>0</v>
      </c>
    </row>
    <row r="297" ht="24.0" customHeight="1">
      <c r="A297" s="10" t="s">
        <v>349</v>
      </c>
      <c r="B297" s="10" t="s">
        <v>39</v>
      </c>
      <c r="C297" s="10" t="s">
        <v>166</v>
      </c>
      <c r="D297" s="10">
        <v>3.0</v>
      </c>
      <c r="E297" s="10" t="s">
        <v>808</v>
      </c>
      <c r="G297" s="18" t="s">
        <v>809</v>
      </c>
      <c r="H297" t="b">
        <v>0</v>
      </c>
    </row>
    <row r="298">
      <c r="A298" s="10" t="s">
        <v>349</v>
      </c>
      <c r="B298" s="10" t="s">
        <v>39</v>
      </c>
      <c r="C298" s="10" t="s">
        <v>810</v>
      </c>
      <c r="D298" s="10">
        <v>3.0</v>
      </c>
      <c r="E298" s="10" t="s">
        <v>802</v>
      </c>
      <c r="G298" s="18" t="s">
        <v>811</v>
      </c>
      <c r="H298" t="b">
        <v>0</v>
      </c>
    </row>
    <row r="299" ht="21.0" customHeight="1">
      <c r="A299" s="10" t="s">
        <v>349</v>
      </c>
      <c r="B299" s="10" t="s">
        <v>39</v>
      </c>
      <c r="C299" s="10" t="s">
        <v>810</v>
      </c>
      <c r="D299" s="10">
        <v>3.0</v>
      </c>
      <c r="E299" s="10" t="s">
        <v>812</v>
      </c>
      <c r="G299" s="18" t="s">
        <v>813</v>
      </c>
      <c r="H299" t="b">
        <v>0</v>
      </c>
    </row>
    <row r="300">
      <c r="A300" s="10" t="s">
        <v>349</v>
      </c>
      <c r="B300" s="10" t="s">
        <v>39</v>
      </c>
      <c r="C300" s="10" t="s">
        <v>169</v>
      </c>
      <c r="D300" s="10">
        <v>3.0</v>
      </c>
      <c r="E300" s="10" t="s">
        <v>575</v>
      </c>
      <c r="G300" s="18" t="s">
        <v>814</v>
      </c>
      <c r="H300" t="b">
        <v>0</v>
      </c>
    </row>
    <row r="301" ht="18.0" customHeight="1">
      <c r="A301" s="10" t="s">
        <v>349</v>
      </c>
      <c r="B301" s="10" t="s">
        <v>39</v>
      </c>
      <c r="C301" s="10" t="s">
        <v>169</v>
      </c>
      <c r="D301" s="10">
        <v>3.0</v>
      </c>
      <c r="E301" s="10" t="s">
        <v>797</v>
      </c>
      <c r="G301" s="18" t="s">
        <v>815</v>
      </c>
      <c r="H301" t="b">
        <v>0</v>
      </c>
    </row>
    <row r="302">
      <c r="A302" s="10" t="s">
        <v>349</v>
      </c>
      <c r="B302" s="10" t="s">
        <v>39</v>
      </c>
      <c r="C302" s="10" t="s">
        <v>169</v>
      </c>
      <c r="D302" s="10">
        <v>3.0</v>
      </c>
      <c r="E302" s="10" t="s">
        <v>816</v>
      </c>
      <c r="G302" s="18" t="s">
        <v>817</v>
      </c>
      <c r="H302" t="b">
        <v>0</v>
      </c>
    </row>
    <row r="303">
      <c r="A303" s="10" t="s">
        <v>349</v>
      </c>
      <c r="B303" s="10" t="s">
        <v>39</v>
      </c>
      <c r="C303" s="10" t="s">
        <v>172</v>
      </c>
      <c r="D303" s="10">
        <v>3.0</v>
      </c>
      <c r="E303" s="10" t="s">
        <v>575</v>
      </c>
      <c r="G303" s="18" t="s">
        <v>818</v>
      </c>
      <c r="H303" s="10" t="b">
        <v>0</v>
      </c>
    </row>
    <row r="304" ht="21.0" customHeight="1">
      <c r="A304" s="10" t="s">
        <v>349</v>
      </c>
      <c r="B304" s="10" t="s">
        <v>39</v>
      </c>
      <c r="C304" s="10" t="s">
        <v>172</v>
      </c>
      <c r="D304" s="10">
        <v>3.0</v>
      </c>
      <c r="E304" s="10" t="s">
        <v>819</v>
      </c>
      <c r="G304" s="18" t="s">
        <v>820</v>
      </c>
      <c r="H304" s="10" t="b">
        <v>0</v>
      </c>
    </row>
    <row r="305" ht="21.0" customHeight="1">
      <c r="A305" s="10" t="s">
        <v>349</v>
      </c>
      <c r="B305" s="10" t="s">
        <v>39</v>
      </c>
      <c r="C305" s="10" t="s">
        <v>172</v>
      </c>
      <c r="D305" s="10">
        <v>3.0</v>
      </c>
      <c r="E305" s="10" t="s">
        <v>821</v>
      </c>
      <c r="G305" s="18" t="s">
        <v>822</v>
      </c>
      <c r="H305" s="10" t="b">
        <v>0</v>
      </c>
    </row>
    <row r="306">
      <c r="A306" s="10" t="s">
        <v>349</v>
      </c>
      <c r="B306" s="10" t="s">
        <v>39</v>
      </c>
      <c r="C306" s="10" t="s">
        <v>175</v>
      </c>
      <c r="D306" s="10">
        <v>3.0</v>
      </c>
      <c r="E306" s="10" t="s">
        <v>575</v>
      </c>
      <c r="G306" s="18" t="s">
        <v>823</v>
      </c>
      <c r="H306" s="10" t="b">
        <v>0</v>
      </c>
    </row>
    <row r="307" ht="17.25" customHeight="1">
      <c r="A307" s="10" t="s">
        <v>349</v>
      </c>
      <c r="B307" s="10" t="s">
        <v>39</v>
      </c>
      <c r="C307" s="10" t="s">
        <v>175</v>
      </c>
      <c r="D307" s="10">
        <v>3.0</v>
      </c>
      <c r="E307" s="10" t="s">
        <v>824</v>
      </c>
      <c r="G307" s="18" t="s">
        <v>825</v>
      </c>
      <c r="H307" t="b">
        <v>0</v>
      </c>
    </row>
    <row r="308">
      <c r="A308" s="10" t="s">
        <v>349</v>
      </c>
      <c r="B308" s="10" t="s">
        <v>39</v>
      </c>
      <c r="C308" s="10" t="s">
        <v>178</v>
      </c>
      <c r="D308" s="10">
        <v>3.0</v>
      </c>
      <c r="E308" s="10" t="s">
        <v>575</v>
      </c>
      <c r="G308" s="18" t="s">
        <v>826</v>
      </c>
      <c r="H308" t="b">
        <v>0</v>
      </c>
    </row>
    <row r="309" ht="18.0" customHeight="1">
      <c r="A309" s="10" t="s">
        <v>349</v>
      </c>
      <c r="B309" s="10" t="s">
        <v>39</v>
      </c>
      <c r="C309" s="10" t="s">
        <v>178</v>
      </c>
      <c r="D309" s="10">
        <v>3.0</v>
      </c>
      <c r="E309" s="10" t="s">
        <v>797</v>
      </c>
      <c r="G309" s="18" t="s">
        <v>827</v>
      </c>
      <c r="H309" t="b">
        <v>0</v>
      </c>
    </row>
    <row r="310" ht="12.75" customHeight="1">
      <c r="A310" s="10" t="s">
        <v>349</v>
      </c>
      <c r="B310" s="10" t="s">
        <v>39</v>
      </c>
      <c r="C310" s="10" t="s">
        <v>178</v>
      </c>
      <c r="D310" s="10">
        <v>3.0</v>
      </c>
      <c r="E310" s="10" t="s">
        <v>828</v>
      </c>
      <c r="G310" s="18" t="s">
        <v>829</v>
      </c>
      <c r="H310" t="b">
        <v>0</v>
      </c>
    </row>
    <row r="311" ht="15.0" customHeight="1">
      <c r="A311" s="10" t="s">
        <v>349</v>
      </c>
      <c r="B311" s="10" t="s">
        <v>39</v>
      </c>
      <c r="C311" s="10" t="s">
        <v>181</v>
      </c>
      <c r="D311" s="10">
        <v>3.0</v>
      </c>
      <c r="E311" s="10" t="s">
        <v>830</v>
      </c>
      <c r="G311" s="18" t="s">
        <v>831</v>
      </c>
      <c r="H311" t="b">
        <v>0</v>
      </c>
    </row>
    <row r="312" ht="20.25" customHeight="1">
      <c r="A312" s="41" t="s">
        <v>337</v>
      </c>
      <c r="B312" s="10" t="s">
        <v>39</v>
      </c>
      <c r="C312" s="41"/>
      <c r="D312" s="61">
        <v>4.0</v>
      </c>
      <c r="E312" s="50" t="s">
        <v>372</v>
      </c>
      <c r="F312" s="41"/>
      <c r="G312" s="10" t="s">
        <v>433</v>
      </c>
      <c r="H312" s="49" t="b">
        <v>1</v>
      </c>
      <c r="I312" s="45" t="s">
        <v>374</v>
      </c>
    </row>
    <row r="313" ht="20.25" customHeight="1">
      <c r="A313" s="41" t="s">
        <v>341</v>
      </c>
      <c r="B313" s="10" t="s">
        <v>39</v>
      </c>
      <c r="D313" s="10">
        <v>5.0</v>
      </c>
      <c r="E313" s="10" t="s">
        <v>379</v>
      </c>
      <c r="G313" s="18" t="s">
        <v>832</v>
      </c>
      <c r="H313" s="13" t="b">
        <v>0</v>
      </c>
    </row>
    <row r="314">
      <c r="A314" s="10" t="s">
        <v>349</v>
      </c>
      <c r="B314" s="10" t="s">
        <v>39</v>
      </c>
      <c r="C314" s="10" t="s">
        <v>148</v>
      </c>
      <c r="D314" s="10">
        <v>7.0</v>
      </c>
      <c r="E314" s="10" t="s">
        <v>833</v>
      </c>
      <c r="G314" s="18" t="s">
        <v>834</v>
      </c>
      <c r="H314" t="b">
        <v>0</v>
      </c>
    </row>
    <row r="315">
      <c r="A315" s="10" t="s">
        <v>349</v>
      </c>
      <c r="B315" s="10" t="s">
        <v>39</v>
      </c>
      <c r="C315" s="10" t="s">
        <v>148</v>
      </c>
      <c r="D315" s="10">
        <v>7.0</v>
      </c>
      <c r="E315" s="10" t="s">
        <v>835</v>
      </c>
      <c r="G315" s="18" t="s">
        <v>836</v>
      </c>
      <c r="H315" t="b">
        <v>0</v>
      </c>
    </row>
    <row r="316" ht="17.25" customHeight="1">
      <c r="A316" s="10" t="s">
        <v>349</v>
      </c>
      <c r="B316" s="10" t="s">
        <v>39</v>
      </c>
      <c r="C316" s="10" t="s">
        <v>151</v>
      </c>
      <c r="D316" s="10">
        <v>7.0</v>
      </c>
      <c r="E316" s="10" t="s">
        <v>837</v>
      </c>
      <c r="G316" s="18" t="s">
        <v>838</v>
      </c>
      <c r="H316" t="b">
        <v>0</v>
      </c>
    </row>
    <row r="317" ht="15.75" customHeight="1">
      <c r="A317" s="10" t="s">
        <v>349</v>
      </c>
      <c r="B317" s="10" t="s">
        <v>39</v>
      </c>
      <c r="C317" s="10" t="s">
        <v>157</v>
      </c>
      <c r="D317" s="10">
        <v>7.0</v>
      </c>
      <c r="E317" s="10" t="s">
        <v>839</v>
      </c>
      <c r="G317" s="18" t="s">
        <v>840</v>
      </c>
      <c r="H317" t="b">
        <v>0</v>
      </c>
    </row>
    <row r="318" ht="22.5" customHeight="1">
      <c r="A318" s="10" t="s">
        <v>349</v>
      </c>
      <c r="B318" s="10" t="s">
        <v>39</v>
      </c>
      <c r="C318" s="50" t="s">
        <v>160</v>
      </c>
      <c r="D318" s="10">
        <v>7.0</v>
      </c>
      <c r="E318" s="10" t="s">
        <v>841</v>
      </c>
      <c r="G318" s="18" t="s">
        <v>842</v>
      </c>
      <c r="H318" t="b">
        <v>0</v>
      </c>
    </row>
    <row r="319" ht="16.5" customHeight="1">
      <c r="A319" s="10" t="s">
        <v>349</v>
      </c>
      <c r="B319" s="10" t="s">
        <v>39</v>
      </c>
      <c r="C319" s="10" t="s">
        <v>163</v>
      </c>
      <c r="D319" s="10">
        <v>7.0</v>
      </c>
      <c r="E319" s="10" t="s">
        <v>843</v>
      </c>
      <c r="G319" s="18" t="s">
        <v>844</v>
      </c>
      <c r="H319" t="b">
        <v>0</v>
      </c>
    </row>
    <row r="320">
      <c r="A320" s="10" t="s">
        <v>349</v>
      </c>
      <c r="B320" s="10"/>
      <c r="C320" s="10" t="s">
        <v>166</v>
      </c>
      <c r="D320" s="10">
        <v>7.0</v>
      </c>
      <c r="E320" s="10" t="s">
        <v>311</v>
      </c>
      <c r="G320" s="18" t="s">
        <v>845</v>
      </c>
      <c r="H320" t="b">
        <v>0</v>
      </c>
    </row>
    <row r="321">
      <c r="A321" s="10" t="s">
        <v>349</v>
      </c>
      <c r="B321" s="10" t="s">
        <v>39</v>
      </c>
      <c r="C321" s="10" t="s">
        <v>810</v>
      </c>
      <c r="D321" s="10">
        <v>7.0</v>
      </c>
      <c r="E321" s="10" t="s">
        <v>846</v>
      </c>
      <c r="G321" s="18" t="s">
        <v>847</v>
      </c>
      <c r="H321" t="b">
        <v>0</v>
      </c>
    </row>
    <row r="322">
      <c r="A322" s="10" t="s">
        <v>349</v>
      </c>
      <c r="B322" s="10" t="s">
        <v>39</v>
      </c>
      <c r="C322" s="10" t="s">
        <v>169</v>
      </c>
      <c r="D322" s="10">
        <v>7.0</v>
      </c>
      <c r="E322" s="10" t="s">
        <v>247</v>
      </c>
      <c r="G322" s="18" t="s">
        <v>848</v>
      </c>
      <c r="H322" t="b">
        <v>0</v>
      </c>
    </row>
    <row r="323" ht="15.75" customHeight="1">
      <c r="A323" s="10" t="s">
        <v>349</v>
      </c>
      <c r="B323" s="10" t="s">
        <v>39</v>
      </c>
      <c r="C323" s="10" t="s">
        <v>172</v>
      </c>
      <c r="D323" s="10">
        <v>7.0</v>
      </c>
      <c r="E323" s="10" t="s">
        <v>849</v>
      </c>
      <c r="G323" s="18" t="s">
        <v>850</v>
      </c>
      <c r="H323" s="10" t="b">
        <v>0</v>
      </c>
    </row>
    <row r="324" ht="15.75" customHeight="1">
      <c r="A324" s="10" t="s">
        <v>349</v>
      </c>
      <c r="B324" s="10" t="s">
        <v>39</v>
      </c>
      <c r="C324" s="10" t="s">
        <v>175</v>
      </c>
      <c r="D324" s="10">
        <v>7.0</v>
      </c>
      <c r="E324" s="10" t="s">
        <v>851</v>
      </c>
      <c r="G324" s="18" t="s">
        <v>852</v>
      </c>
      <c r="H324" t="b">
        <v>0</v>
      </c>
    </row>
    <row r="325" ht="15.75" customHeight="1">
      <c r="A325" s="10" t="s">
        <v>349</v>
      </c>
      <c r="B325" s="10" t="s">
        <v>39</v>
      </c>
      <c r="C325" s="10" t="s">
        <v>181</v>
      </c>
      <c r="D325" s="10">
        <v>7.0</v>
      </c>
      <c r="E325" s="10" t="s">
        <v>853</v>
      </c>
      <c r="G325" s="18" t="s">
        <v>854</v>
      </c>
      <c r="H325" t="b">
        <v>0</v>
      </c>
    </row>
    <row r="326" ht="15.75" customHeight="1">
      <c r="A326" s="41" t="s">
        <v>337</v>
      </c>
      <c r="B326" s="10" t="s">
        <v>39</v>
      </c>
      <c r="C326" s="41"/>
      <c r="D326" s="62">
        <v>8.0</v>
      </c>
      <c r="E326" s="50" t="s">
        <v>372</v>
      </c>
      <c r="F326" s="41"/>
      <c r="G326" s="10" t="s">
        <v>433</v>
      </c>
      <c r="H326" s="49" t="b">
        <v>1</v>
      </c>
      <c r="I326" s="45" t="s">
        <v>374</v>
      </c>
    </row>
    <row r="327" ht="15.75" customHeight="1">
      <c r="A327" s="41" t="s">
        <v>341</v>
      </c>
      <c r="B327" s="10" t="s">
        <v>39</v>
      </c>
      <c r="D327" s="10">
        <v>9.0</v>
      </c>
      <c r="E327" s="10" t="s">
        <v>481</v>
      </c>
      <c r="G327" s="18" t="s">
        <v>855</v>
      </c>
      <c r="H327" s="13" t="b">
        <v>0</v>
      </c>
    </row>
    <row r="328" ht="15.75" customHeight="1">
      <c r="A328" s="10" t="s">
        <v>349</v>
      </c>
      <c r="B328" s="10" t="s">
        <v>39</v>
      </c>
      <c r="C328" s="10" t="s">
        <v>151</v>
      </c>
      <c r="D328" s="10">
        <v>10.0</v>
      </c>
      <c r="E328" s="10" t="s">
        <v>856</v>
      </c>
      <c r="G328" s="18" t="s">
        <v>857</v>
      </c>
      <c r="H328" t="b">
        <v>0</v>
      </c>
    </row>
    <row r="329">
      <c r="A329" s="10" t="s">
        <v>349</v>
      </c>
      <c r="B329" s="10" t="s">
        <v>39</v>
      </c>
      <c r="C329" s="10" t="s">
        <v>157</v>
      </c>
      <c r="D329" s="10">
        <v>10.0</v>
      </c>
      <c r="E329" s="10" t="s">
        <v>858</v>
      </c>
      <c r="G329" s="18" t="s">
        <v>859</v>
      </c>
      <c r="H329" t="b">
        <v>0</v>
      </c>
    </row>
    <row r="330">
      <c r="A330" s="10" t="s">
        <v>349</v>
      </c>
      <c r="B330" s="10" t="s">
        <v>39</v>
      </c>
      <c r="C330" s="10" t="s">
        <v>160</v>
      </c>
      <c r="D330" s="10">
        <v>10.0</v>
      </c>
      <c r="E330" s="10" t="s">
        <v>860</v>
      </c>
      <c r="G330" s="18" t="s">
        <v>861</v>
      </c>
      <c r="H330" t="b">
        <v>0</v>
      </c>
    </row>
    <row r="331">
      <c r="A331" s="10" t="s">
        <v>349</v>
      </c>
      <c r="B331" s="10" t="s">
        <v>39</v>
      </c>
      <c r="C331" s="10" t="s">
        <v>163</v>
      </c>
      <c r="D331" s="10">
        <v>10.0</v>
      </c>
      <c r="E331" s="10" t="s">
        <v>862</v>
      </c>
      <c r="G331" s="18" t="s">
        <v>863</v>
      </c>
      <c r="H331" t="b">
        <v>0</v>
      </c>
    </row>
    <row r="332">
      <c r="A332" s="10" t="s">
        <v>349</v>
      </c>
      <c r="B332" s="10" t="s">
        <v>39</v>
      </c>
      <c r="C332" s="10" t="s">
        <v>166</v>
      </c>
      <c r="D332" s="10">
        <v>10.0</v>
      </c>
      <c r="E332" s="10" t="s">
        <v>864</v>
      </c>
      <c r="G332" s="18" t="s">
        <v>865</v>
      </c>
      <c r="H332" t="b">
        <v>0</v>
      </c>
    </row>
    <row r="333">
      <c r="A333" s="10" t="s">
        <v>349</v>
      </c>
      <c r="B333" s="10" t="s">
        <v>39</v>
      </c>
      <c r="C333" s="10" t="s">
        <v>810</v>
      </c>
      <c r="D333" s="10">
        <v>10.0</v>
      </c>
      <c r="E333" s="10" t="s">
        <v>860</v>
      </c>
      <c r="G333" s="18" t="s">
        <v>866</v>
      </c>
      <c r="H333" t="b">
        <v>0</v>
      </c>
    </row>
    <row r="334">
      <c r="A334" s="10" t="s">
        <v>349</v>
      </c>
      <c r="B334" s="10" t="s">
        <v>39</v>
      </c>
      <c r="C334" s="10" t="s">
        <v>169</v>
      </c>
      <c r="D334" s="10">
        <v>10.0</v>
      </c>
      <c r="E334" s="10" t="s">
        <v>858</v>
      </c>
      <c r="G334" s="18" t="s">
        <v>859</v>
      </c>
      <c r="H334" t="b">
        <v>0</v>
      </c>
    </row>
    <row r="335" ht="15.75" customHeight="1">
      <c r="A335" s="10" t="s">
        <v>349</v>
      </c>
      <c r="B335" s="10" t="s">
        <v>39</v>
      </c>
      <c r="C335" s="10" t="s">
        <v>172</v>
      </c>
      <c r="D335" s="10">
        <v>10.0</v>
      </c>
      <c r="E335" s="10" t="s">
        <v>867</v>
      </c>
      <c r="G335" s="18" t="s">
        <v>868</v>
      </c>
      <c r="H335" s="10" t="b">
        <v>0</v>
      </c>
    </row>
    <row r="336">
      <c r="A336" s="10" t="s">
        <v>349</v>
      </c>
      <c r="B336" s="10" t="s">
        <v>39</v>
      </c>
      <c r="C336" s="10" t="s">
        <v>175</v>
      </c>
      <c r="D336" s="10">
        <v>10.0</v>
      </c>
      <c r="E336" s="10" t="s">
        <v>869</v>
      </c>
      <c r="G336" s="18" t="s">
        <v>870</v>
      </c>
      <c r="H336" t="b">
        <v>0</v>
      </c>
    </row>
    <row r="337">
      <c r="A337" s="10" t="s">
        <v>349</v>
      </c>
      <c r="B337" s="10" t="s">
        <v>39</v>
      </c>
      <c r="C337" s="10" t="s">
        <v>178</v>
      </c>
      <c r="D337" s="10">
        <v>10.0</v>
      </c>
      <c r="E337" s="10" t="s">
        <v>858</v>
      </c>
      <c r="G337" s="18" t="s">
        <v>859</v>
      </c>
      <c r="H337" t="b">
        <v>0</v>
      </c>
    </row>
    <row r="338" ht="18.75" customHeight="1">
      <c r="A338" s="10" t="s">
        <v>349</v>
      </c>
      <c r="B338" s="10" t="s">
        <v>39</v>
      </c>
      <c r="C338" s="10" t="s">
        <v>181</v>
      </c>
      <c r="D338" s="10">
        <v>10.0</v>
      </c>
      <c r="E338" s="10" t="s">
        <v>871</v>
      </c>
      <c r="G338" s="18" t="s">
        <v>872</v>
      </c>
      <c r="H338" t="b">
        <v>0</v>
      </c>
    </row>
    <row r="339" ht="18.75" customHeight="1">
      <c r="A339" s="41" t="s">
        <v>337</v>
      </c>
      <c r="B339" s="10" t="s">
        <v>39</v>
      </c>
      <c r="C339" s="41"/>
      <c r="D339" s="62">
        <v>12.0</v>
      </c>
      <c r="E339" s="50" t="s">
        <v>372</v>
      </c>
      <c r="F339" s="41"/>
      <c r="G339" s="10" t="s">
        <v>433</v>
      </c>
      <c r="H339" s="49" t="b">
        <v>1</v>
      </c>
      <c r="I339" s="45" t="s">
        <v>374</v>
      </c>
    </row>
    <row r="340">
      <c r="A340" s="10" t="s">
        <v>349</v>
      </c>
      <c r="B340" s="10" t="s">
        <v>39</v>
      </c>
      <c r="C340" s="10" t="s">
        <v>148</v>
      </c>
      <c r="D340" s="10">
        <v>15.0</v>
      </c>
      <c r="E340" s="10" t="s">
        <v>873</v>
      </c>
      <c r="G340" s="18" t="s">
        <v>874</v>
      </c>
      <c r="H340" t="b">
        <v>0</v>
      </c>
    </row>
    <row r="341">
      <c r="A341" s="10" t="s">
        <v>349</v>
      </c>
      <c r="B341" s="10" t="s">
        <v>39</v>
      </c>
      <c r="C341" s="10" t="s">
        <v>151</v>
      </c>
      <c r="D341" s="10">
        <v>15.0</v>
      </c>
      <c r="E341" s="10" t="s">
        <v>875</v>
      </c>
      <c r="G341" s="18" t="s">
        <v>876</v>
      </c>
      <c r="H341" t="b">
        <v>0</v>
      </c>
    </row>
    <row r="342">
      <c r="A342" s="10" t="s">
        <v>349</v>
      </c>
      <c r="B342" s="10" t="s">
        <v>39</v>
      </c>
      <c r="C342" s="10" t="s">
        <v>157</v>
      </c>
      <c r="D342" s="10">
        <v>15.0</v>
      </c>
      <c r="E342" s="10" t="s">
        <v>877</v>
      </c>
      <c r="G342" s="18" t="s">
        <v>878</v>
      </c>
      <c r="H342" t="b">
        <v>0</v>
      </c>
    </row>
    <row r="343">
      <c r="A343" s="10" t="s">
        <v>349</v>
      </c>
      <c r="B343" s="10" t="s">
        <v>39</v>
      </c>
      <c r="C343" s="10" t="s">
        <v>160</v>
      </c>
      <c r="D343" s="10">
        <v>15.0</v>
      </c>
      <c r="E343" s="10" t="s">
        <v>879</v>
      </c>
      <c r="G343" s="18" t="s">
        <v>880</v>
      </c>
      <c r="H343" t="b">
        <v>0</v>
      </c>
    </row>
    <row r="344">
      <c r="A344" s="10" t="s">
        <v>349</v>
      </c>
      <c r="B344" s="10" t="s">
        <v>39</v>
      </c>
      <c r="C344" s="10" t="s">
        <v>163</v>
      </c>
      <c r="D344" s="10">
        <v>15.0</v>
      </c>
      <c r="E344" s="10" t="s">
        <v>881</v>
      </c>
      <c r="G344" s="18" t="s">
        <v>882</v>
      </c>
      <c r="H344" t="b">
        <v>0</v>
      </c>
    </row>
    <row r="345">
      <c r="A345" s="10" t="s">
        <v>349</v>
      </c>
      <c r="B345" s="10" t="s">
        <v>39</v>
      </c>
      <c r="C345" s="10" t="s">
        <v>166</v>
      </c>
      <c r="D345" s="10">
        <v>15.0</v>
      </c>
      <c r="E345" s="10" t="s">
        <v>883</v>
      </c>
      <c r="G345" s="18" t="s">
        <v>884</v>
      </c>
      <c r="H345" t="b">
        <v>0</v>
      </c>
    </row>
    <row r="346">
      <c r="A346" s="10" t="s">
        <v>349</v>
      </c>
      <c r="B346" s="10" t="s">
        <v>39</v>
      </c>
      <c r="C346" s="10" t="s">
        <v>810</v>
      </c>
      <c r="D346" s="10">
        <v>15.0</v>
      </c>
      <c r="E346" s="10" t="s">
        <v>885</v>
      </c>
      <c r="G346" s="18" t="s">
        <v>886</v>
      </c>
      <c r="H346" t="b">
        <v>0</v>
      </c>
    </row>
    <row r="347">
      <c r="A347" s="10" t="s">
        <v>349</v>
      </c>
      <c r="B347" s="10" t="s">
        <v>39</v>
      </c>
      <c r="C347" s="10" t="s">
        <v>169</v>
      </c>
      <c r="D347" s="10">
        <v>15.0</v>
      </c>
      <c r="E347" s="10" t="s">
        <v>877</v>
      </c>
      <c r="G347" s="18" t="s">
        <v>887</v>
      </c>
      <c r="H347" t="b">
        <v>0</v>
      </c>
    </row>
    <row r="348" ht="21.0" customHeight="1">
      <c r="A348" s="10" t="s">
        <v>349</v>
      </c>
      <c r="B348" s="10" t="s">
        <v>39</v>
      </c>
      <c r="C348" s="10" t="s">
        <v>172</v>
      </c>
      <c r="D348" s="10">
        <v>15.0</v>
      </c>
      <c r="E348" s="10" t="s">
        <v>888</v>
      </c>
      <c r="G348" s="18" t="s">
        <v>889</v>
      </c>
      <c r="H348" s="10" t="b">
        <v>0</v>
      </c>
    </row>
    <row r="349">
      <c r="A349" s="10" t="s">
        <v>349</v>
      </c>
      <c r="B349" s="10" t="s">
        <v>39</v>
      </c>
      <c r="C349" s="10" t="s">
        <v>175</v>
      </c>
      <c r="D349" s="10">
        <v>15.0</v>
      </c>
      <c r="E349" s="10" t="s">
        <v>885</v>
      </c>
      <c r="G349" s="18" t="s">
        <v>890</v>
      </c>
      <c r="H349" t="b">
        <v>0</v>
      </c>
    </row>
    <row r="350">
      <c r="A350" s="10" t="s">
        <v>349</v>
      </c>
      <c r="B350" s="10" t="s">
        <v>39</v>
      </c>
      <c r="C350" s="10" t="s">
        <v>178</v>
      </c>
      <c r="D350" s="10">
        <v>15.0</v>
      </c>
      <c r="E350" s="10" t="s">
        <v>877</v>
      </c>
      <c r="G350" s="18" t="s">
        <v>878</v>
      </c>
      <c r="H350" t="b">
        <v>0</v>
      </c>
    </row>
    <row r="351">
      <c r="A351" s="10" t="s">
        <v>349</v>
      </c>
      <c r="B351" s="10" t="s">
        <v>39</v>
      </c>
      <c r="C351" s="10" t="s">
        <v>181</v>
      </c>
      <c r="D351" s="10">
        <v>15.0</v>
      </c>
      <c r="E351" s="10" t="s">
        <v>885</v>
      </c>
      <c r="G351" s="18" t="s">
        <v>886</v>
      </c>
      <c r="H351" t="b">
        <v>0</v>
      </c>
    </row>
    <row r="352" ht="15.75" customHeight="1">
      <c r="A352" s="41" t="s">
        <v>337</v>
      </c>
      <c r="B352" s="10" t="s">
        <v>39</v>
      </c>
      <c r="C352" s="41"/>
      <c r="D352" s="62">
        <v>16.0</v>
      </c>
      <c r="E352" s="50" t="s">
        <v>372</v>
      </c>
      <c r="F352" s="41"/>
      <c r="G352" s="10" t="s">
        <v>433</v>
      </c>
      <c r="H352" s="49" t="b">
        <v>1</v>
      </c>
      <c r="I352" s="45" t="s">
        <v>374</v>
      </c>
    </row>
    <row r="353">
      <c r="A353" s="10" t="s">
        <v>349</v>
      </c>
      <c r="B353" s="10" t="s">
        <v>39</v>
      </c>
      <c r="C353" s="10" t="s">
        <v>160</v>
      </c>
      <c r="D353" s="10">
        <v>18.0</v>
      </c>
      <c r="E353" s="10" t="s">
        <v>891</v>
      </c>
      <c r="G353" s="18" t="s">
        <v>892</v>
      </c>
      <c r="H353" t="b">
        <v>0</v>
      </c>
    </row>
    <row r="354">
      <c r="A354" s="10" t="s">
        <v>349</v>
      </c>
      <c r="B354" s="10" t="s">
        <v>39</v>
      </c>
      <c r="C354" s="10" t="s">
        <v>163</v>
      </c>
      <c r="D354" s="10">
        <v>18.0</v>
      </c>
      <c r="E354" s="10" t="s">
        <v>893</v>
      </c>
      <c r="G354" s="18" t="s">
        <v>894</v>
      </c>
      <c r="H354" t="b">
        <v>0</v>
      </c>
    </row>
    <row r="355">
      <c r="A355" s="10" t="s">
        <v>349</v>
      </c>
      <c r="B355" s="10" t="s">
        <v>39</v>
      </c>
      <c r="C355" s="10" t="s">
        <v>166</v>
      </c>
      <c r="D355" s="10">
        <v>18.0</v>
      </c>
      <c r="E355" s="10" t="s">
        <v>895</v>
      </c>
      <c r="G355" s="18" t="s">
        <v>896</v>
      </c>
      <c r="H355" t="b">
        <v>0</v>
      </c>
    </row>
    <row r="356">
      <c r="A356" s="10" t="s">
        <v>349</v>
      </c>
      <c r="B356" s="10" t="s">
        <v>39</v>
      </c>
      <c r="C356" s="10" t="s">
        <v>810</v>
      </c>
      <c r="D356" s="10">
        <v>18.0</v>
      </c>
      <c r="E356" s="10" t="s">
        <v>897</v>
      </c>
      <c r="G356" s="18" t="s">
        <v>898</v>
      </c>
      <c r="H356" t="b">
        <v>0</v>
      </c>
    </row>
    <row r="357">
      <c r="A357" s="10" t="s">
        <v>349</v>
      </c>
      <c r="B357" s="10" t="s">
        <v>39</v>
      </c>
      <c r="C357" s="10" t="s">
        <v>172</v>
      </c>
      <c r="D357" s="10">
        <v>18.0</v>
      </c>
      <c r="E357" s="10" t="s">
        <v>899</v>
      </c>
      <c r="G357" s="18" t="s">
        <v>900</v>
      </c>
      <c r="H357" s="10" t="b">
        <v>0</v>
      </c>
    </row>
    <row r="358" ht="16.5" customHeight="1">
      <c r="A358" s="10" t="s">
        <v>349</v>
      </c>
      <c r="B358" s="10" t="s">
        <v>39</v>
      </c>
      <c r="C358" s="10" t="s">
        <v>175</v>
      </c>
      <c r="D358" s="10">
        <v>18.0</v>
      </c>
      <c r="E358" s="10" t="s">
        <v>901</v>
      </c>
      <c r="G358" s="18" t="s">
        <v>902</v>
      </c>
      <c r="H358" t="b">
        <v>0</v>
      </c>
    </row>
    <row r="359">
      <c r="A359" s="10" t="s">
        <v>349</v>
      </c>
      <c r="B359" s="10" t="s">
        <v>39</v>
      </c>
      <c r="C359" s="10" t="s">
        <v>181</v>
      </c>
      <c r="D359" s="10">
        <v>18.0</v>
      </c>
      <c r="E359" s="10" t="s">
        <v>903</v>
      </c>
      <c r="G359" s="18" t="s">
        <v>904</v>
      </c>
      <c r="H359" t="b">
        <v>0</v>
      </c>
    </row>
    <row r="360" ht="16.5" customHeight="1">
      <c r="A360" s="41" t="s">
        <v>337</v>
      </c>
      <c r="B360" s="10" t="s">
        <v>39</v>
      </c>
      <c r="C360" s="41"/>
      <c r="D360" s="62">
        <v>19.0</v>
      </c>
      <c r="E360" s="50" t="s">
        <v>372</v>
      </c>
      <c r="F360" s="41"/>
      <c r="G360" s="10" t="s">
        <v>433</v>
      </c>
      <c r="H360" s="49" t="b">
        <v>1</v>
      </c>
      <c r="I360" s="45" t="s">
        <v>374</v>
      </c>
    </row>
    <row r="361" ht="15.75" customHeight="1">
      <c r="A361" s="41" t="s">
        <v>337</v>
      </c>
      <c r="B361" s="10" t="s">
        <v>44</v>
      </c>
      <c r="C361" s="10"/>
      <c r="D361" s="10">
        <v>0.0</v>
      </c>
      <c r="E361" s="10" t="s">
        <v>905</v>
      </c>
      <c r="G361" s="18" t="s">
        <v>906</v>
      </c>
      <c r="H361" s="53" t="b">
        <v>1</v>
      </c>
      <c r="I361" s="59" t="s">
        <v>340</v>
      </c>
    </row>
    <row r="362">
      <c r="A362" s="41" t="s">
        <v>341</v>
      </c>
      <c r="B362" s="10" t="s">
        <v>44</v>
      </c>
      <c r="D362" s="10">
        <v>1.0</v>
      </c>
      <c r="E362" s="10" t="s">
        <v>411</v>
      </c>
      <c r="G362" s="18" t="s">
        <v>907</v>
      </c>
      <c r="H362" s="13" t="b">
        <v>1</v>
      </c>
      <c r="I362" s="63" t="s">
        <v>908</v>
      </c>
    </row>
    <row r="363" ht="22.5" customHeight="1">
      <c r="A363" s="41" t="s">
        <v>341</v>
      </c>
      <c r="B363" s="10" t="s">
        <v>44</v>
      </c>
      <c r="D363" s="10">
        <v>1.0</v>
      </c>
      <c r="E363" s="10" t="s">
        <v>909</v>
      </c>
      <c r="G363" s="18" t="s">
        <v>910</v>
      </c>
      <c r="H363" s="13" t="b">
        <v>1</v>
      </c>
      <c r="I363" s="63" t="s">
        <v>908</v>
      </c>
    </row>
    <row r="364" ht="23.25" customHeight="1">
      <c r="A364" s="41" t="s">
        <v>341</v>
      </c>
      <c r="B364" s="10" t="s">
        <v>44</v>
      </c>
      <c r="D364" s="10">
        <v>2.0</v>
      </c>
      <c r="E364" s="10" t="s">
        <v>336</v>
      </c>
      <c r="G364" s="18" t="s">
        <v>911</v>
      </c>
      <c r="H364" s="13" t="b">
        <v>1</v>
      </c>
      <c r="I364" s="63" t="s">
        <v>908</v>
      </c>
    </row>
    <row r="365" ht="16.5" customHeight="1">
      <c r="A365" s="41" t="s">
        <v>341</v>
      </c>
      <c r="B365" s="10" t="s">
        <v>44</v>
      </c>
      <c r="D365" s="10">
        <v>2.0</v>
      </c>
      <c r="E365" s="10" t="s">
        <v>912</v>
      </c>
      <c r="G365" s="18" t="s">
        <v>913</v>
      </c>
      <c r="H365" s="13" t="b">
        <v>0</v>
      </c>
      <c r="I365" s="13"/>
    </row>
    <row r="366" ht="13.5" customHeight="1">
      <c r="A366" s="41" t="s">
        <v>341</v>
      </c>
      <c r="B366" s="10" t="s">
        <v>44</v>
      </c>
      <c r="D366" s="10">
        <v>3.0</v>
      </c>
      <c r="E366" s="10" t="s">
        <v>914</v>
      </c>
      <c r="G366" s="18" t="s">
        <v>915</v>
      </c>
      <c r="H366" s="13" t="b">
        <v>0</v>
      </c>
      <c r="I366" s="13"/>
    </row>
    <row r="367">
      <c r="A367" s="10" t="s">
        <v>349</v>
      </c>
      <c r="B367" s="10" t="s">
        <v>44</v>
      </c>
      <c r="C367" s="10" t="s">
        <v>184</v>
      </c>
      <c r="D367" s="10">
        <v>3.0</v>
      </c>
      <c r="E367" s="10" t="s">
        <v>575</v>
      </c>
      <c r="G367" s="18" t="s">
        <v>916</v>
      </c>
      <c r="H367" t="b">
        <v>0</v>
      </c>
    </row>
    <row r="368">
      <c r="A368" s="10" t="s">
        <v>349</v>
      </c>
      <c r="B368" s="10" t="s">
        <v>44</v>
      </c>
      <c r="C368" s="10" t="s">
        <v>184</v>
      </c>
      <c r="D368" s="10">
        <v>3.0</v>
      </c>
      <c r="E368" s="10" t="s">
        <v>917</v>
      </c>
      <c r="G368" s="18" t="s">
        <v>918</v>
      </c>
      <c r="H368" t="b">
        <v>0</v>
      </c>
    </row>
    <row r="369" ht="12.0" customHeight="1">
      <c r="A369" s="10" t="s">
        <v>349</v>
      </c>
      <c r="B369" s="10" t="s">
        <v>44</v>
      </c>
      <c r="C369" s="10" t="s">
        <v>187</v>
      </c>
      <c r="D369" s="10">
        <v>3.0</v>
      </c>
      <c r="E369" s="10" t="s">
        <v>919</v>
      </c>
      <c r="G369" s="18" t="s">
        <v>920</v>
      </c>
      <c r="H369" t="b">
        <v>1</v>
      </c>
      <c r="I369" s="48" t="s">
        <v>921</v>
      </c>
    </row>
    <row r="370" ht="20.25" customHeight="1">
      <c r="A370" s="10" t="s">
        <v>349</v>
      </c>
      <c r="B370" s="10" t="s">
        <v>44</v>
      </c>
      <c r="C370" s="10" t="s">
        <v>190</v>
      </c>
      <c r="D370" s="10">
        <v>3.0</v>
      </c>
      <c r="E370" s="10" t="s">
        <v>922</v>
      </c>
      <c r="G370" s="18" t="s">
        <v>923</v>
      </c>
      <c r="H370" t="b">
        <v>0</v>
      </c>
    </row>
    <row r="371">
      <c r="A371" s="10" t="s">
        <v>349</v>
      </c>
      <c r="B371" s="10" t="s">
        <v>44</v>
      </c>
      <c r="C371" s="10" t="s">
        <v>193</v>
      </c>
      <c r="D371" s="10">
        <v>3.0</v>
      </c>
      <c r="E371" s="10" t="s">
        <v>924</v>
      </c>
      <c r="G371" s="18" t="s">
        <v>925</v>
      </c>
      <c r="H371" t="b">
        <v>0</v>
      </c>
    </row>
    <row r="372" ht="19.5" customHeight="1">
      <c r="A372" s="10" t="s">
        <v>349</v>
      </c>
      <c r="B372" s="10" t="s">
        <v>44</v>
      </c>
      <c r="C372" s="10" t="s">
        <v>196</v>
      </c>
      <c r="D372" s="10">
        <v>3.0</v>
      </c>
      <c r="E372" s="10" t="s">
        <v>926</v>
      </c>
      <c r="G372" s="18" t="s">
        <v>927</v>
      </c>
      <c r="H372" t="b">
        <v>0</v>
      </c>
    </row>
    <row r="373">
      <c r="A373" s="10" t="s">
        <v>349</v>
      </c>
      <c r="B373" s="10" t="s">
        <v>44</v>
      </c>
      <c r="C373" s="10" t="s">
        <v>199</v>
      </c>
      <c r="D373" s="10">
        <v>3.0</v>
      </c>
      <c r="E373" s="10" t="s">
        <v>928</v>
      </c>
      <c r="G373" s="18" t="s">
        <v>929</v>
      </c>
      <c r="H373" t="b">
        <v>0</v>
      </c>
    </row>
    <row r="374" ht="21.0" customHeight="1">
      <c r="A374" s="10" t="s">
        <v>349</v>
      </c>
      <c r="B374" s="10" t="s">
        <v>44</v>
      </c>
      <c r="C374" s="10" t="s">
        <v>202</v>
      </c>
      <c r="D374" s="10">
        <v>3.0</v>
      </c>
      <c r="E374" s="10" t="s">
        <v>930</v>
      </c>
      <c r="G374" s="18" t="s">
        <v>931</v>
      </c>
      <c r="H374" t="b">
        <v>0</v>
      </c>
    </row>
    <row r="375" ht="24.75" customHeight="1">
      <c r="A375" s="10" t="s">
        <v>349</v>
      </c>
      <c r="B375" s="10" t="s">
        <v>44</v>
      </c>
      <c r="C375" s="10" t="s">
        <v>202</v>
      </c>
      <c r="D375" s="10">
        <v>3.0</v>
      </c>
      <c r="E375" s="10" t="s">
        <v>932</v>
      </c>
      <c r="G375" s="18" t="s">
        <v>933</v>
      </c>
      <c r="H375" t="b">
        <v>0</v>
      </c>
    </row>
    <row r="376" ht="22.5" customHeight="1">
      <c r="A376" s="10" t="s">
        <v>349</v>
      </c>
      <c r="B376" s="10" t="s">
        <v>44</v>
      </c>
      <c r="C376" s="10" t="s">
        <v>205</v>
      </c>
      <c r="D376" s="10">
        <v>3.0</v>
      </c>
      <c r="E376" s="10" t="s">
        <v>934</v>
      </c>
      <c r="G376" s="18" t="s">
        <v>935</v>
      </c>
      <c r="H376" t="b">
        <v>0</v>
      </c>
    </row>
    <row r="377" ht="16.5" customHeight="1">
      <c r="A377" s="10" t="s">
        <v>349</v>
      </c>
      <c r="B377" s="10" t="s">
        <v>44</v>
      </c>
      <c r="C377" s="10" t="s">
        <v>208</v>
      </c>
      <c r="D377" s="10">
        <v>3.0</v>
      </c>
      <c r="E377" s="10" t="s">
        <v>936</v>
      </c>
      <c r="G377" s="18" t="s">
        <v>937</v>
      </c>
      <c r="H377" t="b">
        <v>0</v>
      </c>
    </row>
    <row r="378" ht="26.25" customHeight="1">
      <c r="A378" s="10" t="s">
        <v>349</v>
      </c>
      <c r="B378" s="10" t="s">
        <v>44</v>
      </c>
      <c r="C378" s="10" t="s">
        <v>208</v>
      </c>
      <c r="D378" s="10">
        <v>3.0</v>
      </c>
      <c r="E378" s="10" t="s">
        <v>938</v>
      </c>
      <c r="G378" s="18" t="s">
        <v>939</v>
      </c>
      <c r="H378" t="b">
        <v>0</v>
      </c>
    </row>
    <row r="379" ht="14.25" customHeight="1">
      <c r="A379" s="41" t="s">
        <v>337</v>
      </c>
      <c r="B379" s="10" t="s">
        <v>44</v>
      </c>
      <c r="C379" s="41"/>
      <c r="D379" s="64">
        <v>4.0</v>
      </c>
      <c r="E379" s="41" t="s">
        <v>372</v>
      </c>
      <c r="F379" s="41"/>
      <c r="G379" s="10" t="s">
        <v>433</v>
      </c>
      <c r="H379" s="49" t="b">
        <v>1</v>
      </c>
      <c r="I379" s="45" t="s">
        <v>374</v>
      </c>
    </row>
    <row r="380">
      <c r="A380" s="41" t="s">
        <v>341</v>
      </c>
      <c r="B380" s="10" t="s">
        <v>44</v>
      </c>
      <c r="D380" s="10">
        <v>4.0</v>
      </c>
      <c r="E380" s="10" t="s">
        <v>940</v>
      </c>
      <c r="G380" s="18" t="s">
        <v>941</v>
      </c>
      <c r="H380" s="13" t="b">
        <v>0</v>
      </c>
    </row>
    <row r="381">
      <c r="A381" s="41" t="s">
        <v>341</v>
      </c>
      <c r="B381" s="10" t="s">
        <v>44</v>
      </c>
      <c r="D381" s="10">
        <v>5.0</v>
      </c>
      <c r="E381" s="10" t="s">
        <v>379</v>
      </c>
      <c r="G381" s="18" t="s">
        <v>434</v>
      </c>
      <c r="H381" s="13" t="b">
        <v>0</v>
      </c>
    </row>
    <row r="382">
      <c r="A382" s="41" t="s">
        <v>341</v>
      </c>
      <c r="B382" s="10" t="s">
        <v>44</v>
      </c>
      <c r="D382" s="10">
        <v>5.0</v>
      </c>
      <c r="E382" s="10" t="s">
        <v>942</v>
      </c>
      <c r="G382" s="18" t="s">
        <v>943</v>
      </c>
      <c r="H382" s="13" t="b">
        <v>0</v>
      </c>
    </row>
    <row r="383">
      <c r="A383" s="41" t="s">
        <v>341</v>
      </c>
      <c r="B383" s="10" t="s">
        <v>44</v>
      </c>
      <c r="D383" s="10">
        <v>6.0</v>
      </c>
      <c r="E383" s="10" t="s">
        <v>944</v>
      </c>
      <c r="G383" s="18" t="s">
        <v>945</v>
      </c>
      <c r="H383" s="13" t="b">
        <v>0</v>
      </c>
    </row>
    <row r="384" ht="24.0" customHeight="1">
      <c r="A384" s="10" t="s">
        <v>349</v>
      </c>
      <c r="B384" s="10" t="s">
        <v>44</v>
      </c>
      <c r="C384" s="10" t="s">
        <v>184</v>
      </c>
      <c r="D384" s="10">
        <v>6.0</v>
      </c>
      <c r="E384" s="10" t="s">
        <v>946</v>
      </c>
      <c r="G384" s="18" t="s">
        <v>947</v>
      </c>
      <c r="H384" t="b">
        <v>0</v>
      </c>
    </row>
    <row r="385" ht="23.25" customHeight="1">
      <c r="A385" s="10" t="s">
        <v>349</v>
      </c>
      <c r="B385" s="10" t="s">
        <v>44</v>
      </c>
      <c r="C385" s="10" t="s">
        <v>190</v>
      </c>
      <c r="D385" s="10">
        <v>6.0</v>
      </c>
      <c r="E385" s="10" t="s">
        <v>948</v>
      </c>
      <c r="G385" s="18" t="s">
        <v>949</v>
      </c>
      <c r="H385" t="b">
        <v>0</v>
      </c>
    </row>
    <row r="386">
      <c r="A386" s="10" t="s">
        <v>349</v>
      </c>
      <c r="B386" s="10" t="s">
        <v>44</v>
      </c>
      <c r="C386" s="10" t="s">
        <v>193</v>
      </c>
      <c r="D386" s="10">
        <v>6.0</v>
      </c>
      <c r="E386" s="10" t="s">
        <v>950</v>
      </c>
      <c r="G386" s="18" t="s">
        <v>951</v>
      </c>
      <c r="H386" t="b">
        <v>0</v>
      </c>
    </row>
    <row r="387">
      <c r="A387" s="10" t="s">
        <v>349</v>
      </c>
      <c r="B387" s="10" t="s">
        <v>44</v>
      </c>
      <c r="C387" s="10" t="s">
        <v>196</v>
      </c>
      <c r="D387" s="10">
        <v>6.0</v>
      </c>
      <c r="E387" s="10" t="s">
        <v>952</v>
      </c>
      <c r="G387" s="18" t="s">
        <v>953</v>
      </c>
      <c r="H387" t="b">
        <v>0</v>
      </c>
    </row>
    <row r="388">
      <c r="A388" s="10" t="s">
        <v>349</v>
      </c>
      <c r="B388" s="10" t="s">
        <v>44</v>
      </c>
      <c r="C388" s="10" t="s">
        <v>199</v>
      </c>
      <c r="D388" s="10">
        <v>6.0</v>
      </c>
      <c r="E388" s="10" t="s">
        <v>954</v>
      </c>
      <c r="G388" s="18" t="s">
        <v>955</v>
      </c>
      <c r="H388" t="b">
        <v>0</v>
      </c>
    </row>
    <row r="389" ht="26.25" customHeight="1">
      <c r="A389" s="10" t="s">
        <v>349</v>
      </c>
      <c r="B389" s="10" t="s">
        <v>44</v>
      </c>
      <c r="C389" s="10" t="s">
        <v>202</v>
      </c>
      <c r="D389" s="10">
        <v>6.0</v>
      </c>
      <c r="E389" s="10" t="s">
        <v>956</v>
      </c>
      <c r="G389" s="18" t="s">
        <v>957</v>
      </c>
      <c r="H389" t="b">
        <v>0</v>
      </c>
    </row>
    <row r="390" ht="21.0" customHeight="1">
      <c r="A390" s="10" t="s">
        <v>349</v>
      </c>
      <c r="B390" s="10" t="s">
        <v>44</v>
      </c>
      <c r="C390" s="10" t="s">
        <v>205</v>
      </c>
      <c r="D390" s="10">
        <v>6.0</v>
      </c>
      <c r="E390" s="10" t="s">
        <v>958</v>
      </c>
      <c r="G390" s="18" t="s">
        <v>959</v>
      </c>
      <c r="H390" t="b">
        <v>0</v>
      </c>
    </row>
    <row r="391" ht="19.5" customHeight="1">
      <c r="A391" s="10" t="s">
        <v>349</v>
      </c>
      <c r="B391" s="10" t="s">
        <v>44</v>
      </c>
      <c r="C391" s="10" t="s">
        <v>208</v>
      </c>
      <c r="D391" s="10">
        <v>6.0</v>
      </c>
      <c r="E391" s="10" t="s">
        <v>960</v>
      </c>
      <c r="G391" s="18" t="s">
        <v>961</v>
      </c>
      <c r="H391" t="b">
        <v>0</v>
      </c>
    </row>
    <row r="392">
      <c r="A392" s="41" t="s">
        <v>341</v>
      </c>
      <c r="B392" s="10" t="s">
        <v>44</v>
      </c>
      <c r="D392" s="10">
        <v>7.0</v>
      </c>
      <c r="E392" s="10" t="s">
        <v>962</v>
      </c>
      <c r="G392" s="18" t="s">
        <v>963</v>
      </c>
      <c r="H392" s="13" t="b">
        <v>0</v>
      </c>
    </row>
    <row r="393">
      <c r="A393" s="41" t="s">
        <v>341</v>
      </c>
      <c r="B393" s="10" t="s">
        <v>44</v>
      </c>
      <c r="D393" s="10">
        <v>7.0</v>
      </c>
      <c r="E393" s="10" t="s">
        <v>964</v>
      </c>
      <c r="G393" s="18" t="s">
        <v>965</v>
      </c>
      <c r="H393" s="13" t="b">
        <v>0</v>
      </c>
    </row>
    <row r="394" ht="16.5" customHeight="1">
      <c r="A394" s="41" t="s">
        <v>337</v>
      </c>
      <c r="B394" s="10" t="s">
        <v>44</v>
      </c>
      <c r="C394" s="41"/>
      <c r="D394" s="62">
        <v>8.0</v>
      </c>
      <c r="E394" s="41" t="s">
        <v>372</v>
      </c>
      <c r="F394" s="41"/>
      <c r="G394" s="10" t="s">
        <v>433</v>
      </c>
      <c r="H394" s="49" t="b">
        <v>1</v>
      </c>
      <c r="I394" s="45" t="s">
        <v>374</v>
      </c>
    </row>
    <row r="395">
      <c r="A395" s="41" t="s">
        <v>341</v>
      </c>
      <c r="B395" s="10" t="s">
        <v>44</v>
      </c>
      <c r="D395" s="10">
        <v>10.0</v>
      </c>
      <c r="E395" s="10" t="s">
        <v>966</v>
      </c>
      <c r="G395" s="18" t="s">
        <v>967</v>
      </c>
      <c r="H395" s="13" t="b">
        <v>0</v>
      </c>
    </row>
    <row r="396">
      <c r="A396" s="10" t="s">
        <v>349</v>
      </c>
      <c r="B396" s="10" t="s">
        <v>44</v>
      </c>
      <c r="C396" s="10" t="s">
        <v>184</v>
      </c>
      <c r="D396" s="10">
        <v>11.0</v>
      </c>
      <c r="E396" s="10" t="s">
        <v>968</v>
      </c>
      <c r="G396" s="18" t="s">
        <v>969</v>
      </c>
      <c r="H396" t="b">
        <v>0</v>
      </c>
    </row>
    <row r="397">
      <c r="A397" s="10" t="s">
        <v>349</v>
      </c>
      <c r="B397" s="10" t="s">
        <v>44</v>
      </c>
      <c r="C397" s="10" t="s">
        <v>190</v>
      </c>
      <c r="D397" s="10">
        <v>11.0</v>
      </c>
      <c r="E397" s="10" t="s">
        <v>970</v>
      </c>
      <c r="G397" s="18" t="s">
        <v>971</v>
      </c>
      <c r="H397" t="b">
        <v>0</v>
      </c>
    </row>
    <row r="398">
      <c r="A398" s="10" t="s">
        <v>349</v>
      </c>
      <c r="B398" s="10" t="s">
        <v>44</v>
      </c>
      <c r="C398" s="10" t="s">
        <v>193</v>
      </c>
      <c r="D398" s="10">
        <v>11.0</v>
      </c>
      <c r="E398" s="10" t="s">
        <v>972</v>
      </c>
      <c r="G398" s="18" t="s">
        <v>973</v>
      </c>
      <c r="H398" t="b">
        <v>0</v>
      </c>
    </row>
    <row r="399">
      <c r="A399" s="10" t="s">
        <v>349</v>
      </c>
      <c r="B399" s="10" t="s">
        <v>44</v>
      </c>
      <c r="C399" s="10" t="s">
        <v>196</v>
      </c>
      <c r="D399" s="10">
        <v>11.0</v>
      </c>
      <c r="E399" s="10" t="s">
        <v>208</v>
      </c>
      <c r="G399" s="18" t="s">
        <v>974</v>
      </c>
      <c r="H399" t="b">
        <v>0</v>
      </c>
    </row>
    <row r="400">
      <c r="A400" s="10" t="s">
        <v>349</v>
      </c>
      <c r="B400" s="10" t="s">
        <v>44</v>
      </c>
      <c r="C400" s="10" t="s">
        <v>199</v>
      </c>
      <c r="D400" s="10">
        <v>11.0</v>
      </c>
      <c r="E400" s="10" t="s">
        <v>975</v>
      </c>
      <c r="G400" s="18" t="s">
        <v>976</v>
      </c>
      <c r="H400" t="b">
        <v>0</v>
      </c>
    </row>
    <row r="401" ht="18.0" customHeight="1">
      <c r="A401" s="10" t="s">
        <v>349</v>
      </c>
      <c r="B401" s="10" t="s">
        <v>44</v>
      </c>
      <c r="C401" s="10" t="s">
        <v>202</v>
      </c>
      <c r="D401" s="10">
        <v>11.0</v>
      </c>
      <c r="E401" s="10" t="s">
        <v>977</v>
      </c>
      <c r="G401" s="18" t="s">
        <v>978</v>
      </c>
      <c r="H401" t="b">
        <v>0</v>
      </c>
    </row>
    <row r="402" ht="14.25" customHeight="1">
      <c r="A402" s="10" t="s">
        <v>349</v>
      </c>
      <c r="B402" s="10" t="s">
        <v>44</v>
      </c>
      <c r="C402" s="10" t="s">
        <v>205</v>
      </c>
      <c r="D402" s="10">
        <v>11.0</v>
      </c>
      <c r="E402" s="10" t="s">
        <v>979</v>
      </c>
      <c r="G402" s="18" t="s">
        <v>980</v>
      </c>
      <c r="H402" t="b">
        <v>0</v>
      </c>
    </row>
    <row r="403" ht="15.0" customHeight="1">
      <c r="A403" s="10" t="s">
        <v>349</v>
      </c>
      <c r="B403" s="10" t="s">
        <v>44</v>
      </c>
      <c r="C403" s="10" t="s">
        <v>208</v>
      </c>
      <c r="D403" s="10">
        <v>11.0</v>
      </c>
      <c r="E403" s="10" t="s">
        <v>981</v>
      </c>
      <c r="G403" s="18" t="s">
        <v>982</v>
      </c>
      <c r="H403" t="b">
        <v>0</v>
      </c>
    </row>
    <row r="404" ht="15.0" customHeight="1">
      <c r="A404" s="41" t="s">
        <v>337</v>
      </c>
      <c r="B404" s="41"/>
      <c r="C404" s="41"/>
      <c r="D404" s="62">
        <v>12.0</v>
      </c>
      <c r="E404" s="41" t="s">
        <v>372</v>
      </c>
      <c r="F404" s="41"/>
      <c r="G404" s="55" t="s">
        <v>433</v>
      </c>
      <c r="H404" s="49" t="b">
        <v>1</v>
      </c>
      <c r="I404" s="45" t="s">
        <v>374</v>
      </c>
    </row>
    <row r="405">
      <c r="A405" s="41" t="s">
        <v>341</v>
      </c>
      <c r="B405" s="10" t="s">
        <v>44</v>
      </c>
      <c r="D405" s="10">
        <v>13.0</v>
      </c>
      <c r="E405" s="10" t="s">
        <v>983</v>
      </c>
      <c r="G405" s="18" t="s">
        <v>984</v>
      </c>
      <c r="H405" s="13" t="b">
        <v>0</v>
      </c>
    </row>
    <row r="406" ht="23.25" customHeight="1">
      <c r="A406" s="41" t="s">
        <v>341</v>
      </c>
      <c r="B406" s="10" t="s">
        <v>44</v>
      </c>
      <c r="D406" s="10">
        <v>14.0</v>
      </c>
      <c r="E406" s="10" t="s">
        <v>985</v>
      </c>
      <c r="G406" s="18" t="s">
        <v>986</v>
      </c>
      <c r="H406" s="13" t="b">
        <v>0</v>
      </c>
    </row>
    <row r="407">
      <c r="A407" s="41" t="s">
        <v>341</v>
      </c>
      <c r="B407" s="10" t="s">
        <v>44</v>
      </c>
      <c r="D407" s="10">
        <v>15.0</v>
      </c>
      <c r="E407" s="10" t="s">
        <v>776</v>
      </c>
      <c r="G407" s="18" t="s">
        <v>987</v>
      </c>
      <c r="H407" s="13" t="b">
        <v>0</v>
      </c>
    </row>
    <row r="408" ht="17.25" customHeight="1">
      <c r="A408" s="41" t="s">
        <v>337</v>
      </c>
      <c r="B408" s="10" t="s">
        <v>44</v>
      </c>
      <c r="C408" s="41"/>
      <c r="D408" s="62">
        <v>16.0</v>
      </c>
      <c r="E408" s="41" t="s">
        <v>372</v>
      </c>
      <c r="F408" s="41"/>
      <c r="G408" s="55" t="s">
        <v>433</v>
      </c>
      <c r="H408" s="49" t="b">
        <v>1</v>
      </c>
      <c r="I408" s="45" t="s">
        <v>374</v>
      </c>
    </row>
    <row r="409">
      <c r="A409" s="10" t="s">
        <v>349</v>
      </c>
      <c r="B409" s="10" t="s">
        <v>44</v>
      </c>
      <c r="C409" s="10" t="s">
        <v>184</v>
      </c>
      <c r="D409" s="10">
        <v>17.0</v>
      </c>
      <c r="E409" s="10" t="s">
        <v>988</v>
      </c>
      <c r="G409" s="18" t="s">
        <v>989</v>
      </c>
      <c r="H409" t="b">
        <v>0</v>
      </c>
    </row>
    <row r="410">
      <c r="A410" s="10" t="s">
        <v>349</v>
      </c>
      <c r="B410" s="10" t="s">
        <v>44</v>
      </c>
      <c r="C410" s="10" t="s">
        <v>190</v>
      </c>
      <c r="D410" s="10">
        <v>17.0</v>
      </c>
      <c r="E410" s="10" t="s">
        <v>990</v>
      </c>
      <c r="G410" s="18" t="s">
        <v>991</v>
      </c>
      <c r="H410" t="b">
        <v>0</v>
      </c>
    </row>
    <row r="411">
      <c r="A411" s="10" t="s">
        <v>349</v>
      </c>
      <c r="B411" s="10" t="s">
        <v>44</v>
      </c>
      <c r="C411" s="10" t="s">
        <v>193</v>
      </c>
      <c r="D411" s="10">
        <v>17.0</v>
      </c>
      <c r="E411" s="10" t="s">
        <v>992</v>
      </c>
      <c r="G411" s="18" t="s">
        <v>993</v>
      </c>
      <c r="H411" t="b">
        <v>0</v>
      </c>
    </row>
    <row r="412" ht="13.5" customHeight="1">
      <c r="A412" s="10" t="s">
        <v>349</v>
      </c>
      <c r="B412" s="10" t="s">
        <v>44</v>
      </c>
      <c r="C412" s="10" t="s">
        <v>196</v>
      </c>
      <c r="D412" s="10">
        <v>17.0</v>
      </c>
      <c r="E412" s="10" t="s">
        <v>994</v>
      </c>
      <c r="G412" s="18" t="s">
        <v>995</v>
      </c>
      <c r="H412" t="b">
        <v>0</v>
      </c>
    </row>
    <row r="413">
      <c r="A413" s="10" t="s">
        <v>349</v>
      </c>
      <c r="B413" s="10" t="s">
        <v>44</v>
      </c>
      <c r="C413" s="10" t="s">
        <v>199</v>
      </c>
      <c r="D413" s="10">
        <v>17.0</v>
      </c>
      <c r="E413" s="10" t="s">
        <v>996</v>
      </c>
      <c r="G413" s="18" t="s">
        <v>997</v>
      </c>
      <c r="H413" t="b">
        <v>0</v>
      </c>
    </row>
    <row r="414" ht="21.75" customHeight="1">
      <c r="A414" s="10" t="s">
        <v>349</v>
      </c>
      <c r="B414" s="10" t="s">
        <v>44</v>
      </c>
      <c r="C414" s="10" t="s">
        <v>202</v>
      </c>
      <c r="D414" s="10">
        <v>17.0</v>
      </c>
      <c r="E414" s="10" t="s">
        <v>998</v>
      </c>
      <c r="G414" s="18" t="s">
        <v>999</v>
      </c>
      <c r="H414" t="b">
        <v>0</v>
      </c>
    </row>
    <row r="415" ht="12.0" customHeight="1">
      <c r="A415" s="10" t="s">
        <v>349</v>
      </c>
      <c r="B415" s="10" t="s">
        <v>44</v>
      </c>
      <c r="C415" s="10" t="s">
        <v>205</v>
      </c>
      <c r="D415" s="10">
        <v>17.0</v>
      </c>
      <c r="E415" s="10" t="s">
        <v>1000</v>
      </c>
      <c r="G415" s="18" t="s">
        <v>1001</v>
      </c>
      <c r="H415" t="b">
        <v>0</v>
      </c>
    </row>
    <row r="416" ht="12.0" customHeight="1">
      <c r="A416" s="10" t="s">
        <v>349</v>
      </c>
      <c r="B416" s="10" t="s">
        <v>44</v>
      </c>
      <c r="C416" s="10" t="s">
        <v>208</v>
      </c>
      <c r="D416" s="10">
        <v>17.0</v>
      </c>
      <c r="E416" s="10" t="s">
        <v>1002</v>
      </c>
      <c r="G416" s="18" t="s">
        <v>1003</v>
      </c>
      <c r="H416" t="b">
        <v>0</v>
      </c>
    </row>
    <row r="417" ht="12.0" customHeight="1">
      <c r="A417" s="41" t="s">
        <v>341</v>
      </c>
      <c r="B417" s="10" t="s">
        <v>44</v>
      </c>
      <c r="D417" s="10">
        <v>18.0</v>
      </c>
      <c r="E417" s="10" t="s">
        <v>1004</v>
      </c>
      <c r="G417" s="18" t="s">
        <v>1005</v>
      </c>
      <c r="H417" s="13" t="b">
        <v>0</v>
      </c>
    </row>
    <row r="418" ht="12.0" customHeight="1">
      <c r="A418" s="41" t="s">
        <v>337</v>
      </c>
      <c r="B418" s="10" t="s">
        <v>44</v>
      </c>
      <c r="C418" s="41"/>
      <c r="D418" s="62">
        <v>19.0</v>
      </c>
      <c r="E418" s="41" t="s">
        <v>372</v>
      </c>
      <c r="F418" s="41"/>
      <c r="G418" s="10" t="s">
        <v>433</v>
      </c>
      <c r="H418" s="49" t="b">
        <v>1</v>
      </c>
      <c r="I418" s="45" t="s">
        <v>374</v>
      </c>
    </row>
    <row r="419" ht="12.0" customHeight="1">
      <c r="A419" s="41" t="s">
        <v>341</v>
      </c>
      <c r="B419" s="10" t="s">
        <v>44</v>
      </c>
      <c r="D419" s="10">
        <v>20.0</v>
      </c>
      <c r="E419" s="10" t="s">
        <v>1006</v>
      </c>
      <c r="G419" s="18" t="s">
        <v>1007</v>
      </c>
      <c r="H419" s="13" t="b">
        <v>0</v>
      </c>
    </row>
    <row r="420" ht="15.75" customHeight="1">
      <c r="A420" s="65" t="s">
        <v>337</v>
      </c>
      <c r="B420" s="10" t="s">
        <v>48</v>
      </c>
      <c r="D420" s="65">
        <v>0.0</v>
      </c>
      <c r="E420" s="65" t="s">
        <v>1008</v>
      </c>
      <c r="G420" s="10" t="s">
        <v>1009</v>
      </c>
      <c r="H420" s="53" t="b">
        <v>1</v>
      </c>
      <c r="I420" s="59" t="s">
        <v>340</v>
      </c>
    </row>
    <row r="421" ht="12.0" customHeight="1">
      <c r="A421" s="41" t="s">
        <v>341</v>
      </c>
      <c r="B421" s="10" t="s">
        <v>48</v>
      </c>
      <c r="D421" s="10">
        <v>1.0</v>
      </c>
      <c r="E421" s="10" t="s">
        <v>1010</v>
      </c>
      <c r="G421" s="18" t="s">
        <v>1011</v>
      </c>
      <c r="H421" s="13" t="b">
        <v>0</v>
      </c>
    </row>
    <row r="422" ht="17.25" customHeight="1">
      <c r="A422" s="41" t="s">
        <v>341</v>
      </c>
      <c r="B422" s="10" t="s">
        <v>48</v>
      </c>
      <c r="D422" s="10">
        <v>1.0</v>
      </c>
      <c r="E422" s="10" t="s">
        <v>1012</v>
      </c>
      <c r="G422" s="18" t="s">
        <v>1013</v>
      </c>
      <c r="H422" s="13" t="b">
        <v>0</v>
      </c>
    </row>
    <row r="423" ht="18.75" customHeight="1">
      <c r="A423" s="41" t="s">
        <v>341</v>
      </c>
      <c r="B423" s="10" t="s">
        <v>48</v>
      </c>
      <c r="D423" s="10">
        <v>2.0</v>
      </c>
      <c r="E423" s="10" t="s">
        <v>503</v>
      </c>
      <c r="G423" s="18" t="s">
        <v>1014</v>
      </c>
      <c r="H423" s="13" t="b">
        <v>0</v>
      </c>
    </row>
    <row r="424">
      <c r="A424" s="41" t="s">
        <v>341</v>
      </c>
      <c r="B424" s="10" t="s">
        <v>48</v>
      </c>
      <c r="D424" s="10">
        <v>2.0</v>
      </c>
      <c r="E424" s="10" t="s">
        <v>1015</v>
      </c>
      <c r="G424" s="18" t="s">
        <v>1016</v>
      </c>
      <c r="H424" s="13" t="b">
        <v>0</v>
      </c>
    </row>
    <row r="425">
      <c r="A425" s="41" t="s">
        <v>341</v>
      </c>
      <c r="B425" s="10" t="s">
        <v>48</v>
      </c>
      <c r="D425" s="10">
        <v>3.0</v>
      </c>
      <c r="E425" s="10" t="s">
        <v>1017</v>
      </c>
      <c r="G425" s="18" t="s">
        <v>1018</v>
      </c>
      <c r="H425" s="13" t="b">
        <v>0</v>
      </c>
    </row>
    <row r="426" ht="12.75" customHeight="1">
      <c r="A426" s="66" t="s">
        <v>337</v>
      </c>
      <c r="B426" s="10" t="s">
        <v>48</v>
      </c>
      <c r="C426" s="66"/>
      <c r="D426" s="67">
        <v>4.0</v>
      </c>
      <c r="E426" s="66" t="s">
        <v>372</v>
      </c>
      <c r="F426" s="66"/>
      <c r="G426" s="65" t="s">
        <v>433</v>
      </c>
      <c r="H426" s="68" t="b">
        <v>1</v>
      </c>
      <c r="I426" s="69" t="s">
        <v>374</v>
      </c>
    </row>
    <row r="427" ht="20.25" customHeight="1">
      <c r="A427" s="10" t="s">
        <v>349</v>
      </c>
      <c r="B427" s="10" t="s">
        <v>48</v>
      </c>
      <c r="C427" s="10" t="s">
        <v>211</v>
      </c>
      <c r="D427" s="10">
        <v>3.0</v>
      </c>
      <c r="E427" s="10" t="s">
        <v>1019</v>
      </c>
      <c r="G427" s="18" t="s">
        <v>1020</v>
      </c>
      <c r="H427" t="b">
        <v>0</v>
      </c>
    </row>
    <row r="428" ht="16.5" customHeight="1">
      <c r="A428" s="10" t="s">
        <v>349</v>
      </c>
      <c r="B428" s="10" t="s">
        <v>48</v>
      </c>
      <c r="C428" s="10" t="s">
        <v>211</v>
      </c>
      <c r="D428" s="10">
        <v>3.0</v>
      </c>
      <c r="E428" s="10" t="s">
        <v>597</v>
      </c>
      <c r="G428" s="18" t="s">
        <v>1021</v>
      </c>
      <c r="H428" t="b">
        <v>0</v>
      </c>
    </row>
    <row r="429" ht="27.0" customHeight="1">
      <c r="A429" s="10" t="s">
        <v>349</v>
      </c>
      <c r="B429" s="10" t="s">
        <v>48</v>
      </c>
      <c r="C429" s="10" t="s">
        <v>214</v>
      </c>
      <c r="D429" s="10">
        <v>3.0</v>
      </c>
      <c r="E429" s="10" t="s">
        <v>1022</v>
      </c>
      <c r="G429" s="18" t="s">
        <v>1023</v>
      </c>
      <c r="H429" t="b">
        <v>0</v>
      </c>
    </row>
    <row r="430" ht="18.0" customHeight="1">
      <c r="A430" s="10" t="s">
        <v>349</v>
      </c>
      <c r="B430" s="10" t="s">
        <v>48</v>
      </c>
      <c r="C430" s="10" t="s">
        <v>214</v>
      </c>
      <c r="D430" s="10">
        <v>3.0</v>
      </c>
      <c r="E430" s="10" t="s">
        <v>597</v>
      </c>
      <c r="G430" s="18" t="s">
        <v>1024</v>
      </c>
      <c r="H430" t="b">
        <v>0</v>
      </c>
    </row>
    <row r="431" ht="26.25" customHeight="1">
      <c r="A431" s="10" t="s">
        <v>349</v>
      </c>
      <c r="B431" s="10" t="s">
        <v>48</v>
      </c>
      <c r="C431" s="10" t="s">
        <v>217</v>
      </c>
      <c r="D431" s="10">
        <v>3.0</v>
      </c>
      <c r="E431" s="10" t="s">
        <v>1025</v>
      </c>
      <c r="G431" s="18" t="s">
        <v>1026</v>
      </c>
      <c r="H431" t="b">
        <v>0</v>
      </c>
    </row>
    <row r="432" ht="15.75" customHeight="1">
      <c r="A432" s="10" t="s">
        <v>349</v>
      </c>
      <c r="B432" s="10" t="s">
        <v>48</v>
      </c>
      <c r="C432" s="10" t="s">
        <v>217</v>
      </c>
      <c r="D432" s="10">
        <v>3.0</v>
      </c>
      <c r="E432" s="10" t="s">
        <v>597</v>
      </c>
      <c r="G432" s="18" t="s">
        <v>1027</v>
      </c>
      <c r="H432" t="b">
        <v>0</v>
      </c>
    </row>
    <row r="433" ht="23.25" customHeight="1">
      <c r="A433" s="10" t="s">
        <v>349</v>
      </c>
      <c r="B433" s="10" t="s">
        <v>48</v>
      </c>
      <c r="C433" s="10" t="s">
        <v>220</v>
      </c>
      <c r="D433" s="10">
        <v>3.0</v>
      </c>
      <c r="E433" s="10" t="s">
        <v>1028</v>
      </c>
      <c r="G433" s="18" t="s">
        <v>1029</v>
      </c>
      <c r="H433" t="b">
        <v>0</v>
      </c>
    </row>
    <row r="434" ht="17.25" customHeight="1">
      <c r="A434" s="10" t="s">
        <v>349</v>
      </c>
      <c r="B434" s="10" t="s">
        <v>48</v>
      </c>
      <c r="C434" s="10" t="s">
        <v>220</v>
      </c>
      <c r="D434" s="10">
        <v>3.0</v>
      </c>
      <c r="E434" s="10" t="s">
        <v>597</v>
      </c>
      <c r="G434" s="18" t="s">
        <v>1030</v>
      </c>
      <c r="H434" t="b">
        <v>0</v>
      </c>
    </row>
    <row r="435">
      <c r="A435" s="10" t="s">
        <v>349</v>
      </c>
      <c r="B435" s="10" t="s">
        <v>48</v>
      </c>
      <c r="C435" s="10" t="s">
        <v>226</v>
      </c>
      <c r="D435" s="10">
        <v>3.0</v>
      </c>
      <c r="E435" s="10" t="s">
        <v>1031</v>
      </c>
      <c r="G435" s="18" t="s">
        <v>1032</v>
      </c>
      <c r="H435" t="b">
        <v>0</v>
      </c>
    </row>
    <row r="436" ht="16.5" customHeight="1">
      <c r="A436" s="10" t="s">
        <v>349</v>
      </c>
      <c r="B436" s="10" t="s">
        <v>48</v>
      </c>
      <c r="C436" s="10" t="s">
        <v>226</v>
      </c>
      <c r="D436" s="10">
        <v>3.0</v>
      </c>
      <c r="E436" s="10" t="s">
        <v>597</v>
      </c>
      <c r="G436" s="18" t="s">
        <v>1033</v>
      </c>
      <c r="H436" t="b">
        <v>0</v>
      </c>
    </row>
    <row r="437" ht="27.75" customHeight="1">
      <c r="A437" s="10" t="s">
        <v>349</v>
      </c>
      <c r="B437" s="10" t="s">
        <v>48</v>
      </c>
      <c r="C437" s="10" t="s">
        <v>229</v>
      </c>
      <c r="D437" s="10">
        <v>3.0</v>
      </c>
      <c r="E437" s="10" t="s">
        <v>1034</v>
      </c>
      <c r="G437" s="18" t="s">
        <v>1035</v>
      </c>
      <c r="H437" t="b">
        <v>0</v>
      </c>
    </row>
    <row r="438" ht="22.5" customHeight="1">
      <c r="A438" s="10" t="s">
        <v>349</v>
      </c>
      <c r="B438" s="10" t="s">
        <v>48</v>
      </c>
      <c r="C438" s="10" t="s">
        <v>229</v>
      </c>
      <c r="D438" s="10">
        <v>3.0</v>
      </c>
      <c r="E438" s="10" t="s">
        <v>597</v>
      </c>
      <c r="G438" s="18" t="s">
        <v>1036</v>
      </c>
      <c r="H438" t="b">
        <v>0</v>
      </c>
    </row>
    <row r="439" ht="15.75" customHeight="1">
      <c r="A439" s="10" t="s">
        <v>349</v>
      </c>
      <c r="B439" s="10" t="s">
        <v>48</v>
      </c>
      <c r="C439" s="10" t="s">
        <v>232</v>
      </c>
      <c r="D439" s="10">
        <v>3.0</v>
      </c>
      <c r="E439" s="10" t="s">
        <v>597</v>
      </c>
      <c r="G439" s="18" t="s">
        <v>1037</v>
      </c>
      <c r="H439" t="b">
        <v>0</v>
      </c>
    </row>
    <row r="440" ht="15.0" customHeight="1">
      <c r="A440" s="66" t="s">
        <v>337</v>
      </c>
      <c r="B440" s="10" t="s">
        <v>48</v>
      </c>
      <c r="C440" s="66"/>
      <c r="D440" s="67">
        <v>4.0</v>
      </c>
      <c r="E440" s="66" t="s">
        <v>372</v>
      </c>
      <c r="F440" s="66"/>
      <c r="G440" s="65" t="s">
        <v>433</v>
      </c>
      <c r="H440" s="68" t="b">
        <v>1</v>
      </c>
      <c r="I440" s="69" t="s">
        <v>374</v>
      </c>
    </row>
    <row r="441">
      <c r="A441" s="41" t="s">
        <v>341</v>
      </c>
      <c r="B441" s="10" t="s">
        <v>48</v>
      </c>
      <c r="D441" s="10">
        <v>5.0</v>
      </c>
      <c r="E441" s="10" t="s">
        <v>379</v>
      </c>
      <c r="G441" s="18" t="s">
        <v>434</v>
      </c>
      <c r="H441" s="13" t="b">
        <v>0</v>
      </c>
    </row>
    <row r="442" ht="15.0" customHeight="1">
      <c r="A442" s="41" t="s">
        <v>341</v>
      </c>
      <c r="B442" s="10" t="s">
        <v>48</v>
      </c>
      <c r="D442" s="10">
        <v>6.0</v>
      </c>
      <c r="E442" s="10" t="s">
        <v>1038</v>
      </c>
      <c r="G442" s="18" t="s">
        <v>1039</v>
      </c>
      <c r="H442" s="13" t="b">
        <v>0</v>
      </c>
    </row>
    <row r="443" ht="18.75" customHeight="1">
      <c r="A443" s="10" t="s">
        <v>349</v>
      </c>
      <c r="B443" s="10" t="s">
        <v>48</v>
      </c>
      <c r="C443" s="10" t="s">
        <v>211</v>
      </c>
      <c r="D443" s="10">
        <v>7.0</v>
      </c>
      <c r="E443" s="10" t="s">
        <v>1040</v>
      </c>
      <c r="G443" s="18" t="s">
        <v>1041</v>
      </c>
      <c r="H443" t="b">
        <v>0</v>
      </c>
    </row>
    <row r="444" ht="23.25" customHeight="1">
      <c r="A444" s="10" t="s">
        <v>349</v>
      </c>
      <c r="B444" s="10" t="s">
        <v>48</v>
      </c>
      <c r="C444" s="10" t="s">
        <v>214</v>
      </c>
      <c r="D444" s="10">
        <v>7.0</v>
      </c>
      <c r="E444" s="10" t="s">
        <v>1042</v>
      </c>
      <c r="G444" s="18" t="s">
        <v>1043</v>
      </c>
      <c r="H444" t="b">
        <v>0</v>
      </c>
    </row>
    <row r="445">
      <c r="A445" s="10" t="s">
        <v>349</v>
      </c>
      <c r="B445" s="10" t="s">
        <v>48</v>
      </c>
      <c r="C445" s="10" t="s">
        <v>217</v>
      </c>
      <c r="D445" s="10">
        <v>7.0</v>
      </c>
      <c r="E445" s="10" t="s">
        <v>1044</v>
      </c>
      <c r="G445" s="18" t="s">
        <v>1045</v>
      </c>
      <c r="H445" t="b">
        <v>0</v>
      </c>
    </row>
    <row r="446" ht="12.0" customHeight="1">
      <c r="A446" s="10" t="s">
        <v>349</v>
      </c>
      <c r="B446" s="10" t="s">
        <v>48</v>
      </c>
      <c r="C446" s="10" t="s">
        <v>220</v>
      </c>
      <c r="D446" s="10">
        <v>7.0</v>
      </c>
      <c r="E446" s="10" t="s">
        <v>1046</v>
      </c>
      <c r="G446" s="18" t="s">
        <v>1047</v>
      </c>
      <c r="H446" t="b">
        <v>0</v>
      </c>
    </row>
    <row r="447" ht="17.25" customHeight="1">
      <c r="A447" s="10" t="s">
        <v>349</v>
      </c>
      <c r="B447" s="10" t="s">
        <v>48</v>
      </c>
      <c r="C447" s="10" t="s">
        <v>226</v>
      </c>
      <c r="D447" s="10">
        <v>7.0</v>
      </c>
      <c r="E447" s="10" t="s">
        <v>1048</v>
      </c>
      <c r="G447" s="18" t="s">
        <v>1049</v>
      </c>
      <c r="H447" t="b">
        <v>0</v>
      </c>
    </row>
    <row r="448" ht="17.25" customHeight="1">
      <c r="A448" s="10" t="s">
        <v>349</v>
      </c>
      <c r="B448" s="10" t="s">
        <v>48</v>
      </c>
      <c r="C448" s="10" t="s">
        <v>229</v>
      </c>
      <c r="D448" s="10">
        <v>7.0</v>
      </c>
      <c r="E448" s="10" t="s">
        <v>1050</v>
      </c>
      <c r="G448" s="18" t="s">
        <v>1051</v>
      </c>
      <c r="H448" t="b">
        <v>0</v>
      </c>
    </row>
    <row r="449" ht="17.25" customHeight="1">
      <c r="A449" s="10" t="s">
        <v>349</v>
      </c>
      <c r="B449" s="10" t="s">
        <v>48</v>
      </c>
      <c r="C449" s="10" t="s">
        <v>232</v>
      </c>
      <c r="D449" s="10">
        <v>7.0</v>
      </c>
      <c r="E449" s="10" t="s">
        <v>1052</v>
      </c>
      <c r="G449" s="18" t="s">
        <v>1053</v>
      </c>
      <c r="H449" t="b">
        <v>0</v>
      </c>
    </row>
    <row r="450" ht="17.25" customHeight="1">
      <c r="A450" s="66" t="s">
        <v>337</v>
      </c>
      <c r="B450" s="10" t="s">
        <v>48</v>
      </c>
      <c r="C450" s="66"/>
      <c r="D450" s="70">
        <v>8.0</v>
      </c>
      <c r="E450" s="66" t="s">
        <v>372</v>
      </c>
      <c r="F450" s="66"/>
      <c r="G450" s="65" t="s">
        <v>433</v>
      </c>
      <c r="H450" s="68" t="b">
        <v>1</v>
      </c>
      <c r="I450" s="69" t="s">
        <v>374</v>
      </c>
    </row>
    <row r="451" ht="21.0" customHeight="1">
      <c r="A451" s="41" t="s">
        <v>341</v>
      </c>
      <c r="B451" s="10" t="s">
        <v>48</v>
      </c>
      <c r="D451" s="10">
        <v>10.0</v>
      </c>
      <c r="E451" s="10" t="s">
        <v>1054</v>
      </c>
      <c r="G451" s="18" t="s">
        <v>1055</v>
      </c>
      <c r="H451" s="13" t="b">
        <v>0</v>
      </c>
    </row>
    <row r="452" ht="21.0" customHeight="1">
      <c r="A452" s="41" t="s">
        <v>341</v>
      </c>
      <c r="B452" s="10" t="s">
        <v>48</v>
      </c>
      <c r="D452" s="10">
        <v>11.0</v>
      </c>
      <c r="E452" s="10" t="s">
        <v>1056</v>
      </c>
      <c r="G452" s="18" t="s">
        <v>1057</v>
      </c>
      <c r="H452" s="13" t="b">
        <v>0</v>
      </c>
    </row>
    <row r="453" ht="16.5" customHeight="1">
      <c r="A453" s="66" t="s">
        <v>337</v>
      </c>
      <c r="B453" s="10" t="s">
        <v>48</v>
      </c>
      <c r="C453" s="66"/>
      <c r="D453" s="70">
        <v>12.0</v>
      </c>
      <c r="E453" s="66" t="s">
        <v>372</v>
      </c>
      <c r="F453" s="66"/>
      <c r="G453" s="65" t="s">
        <v>433</v>
      </c>
      <c r="H453" s="68" t="b">
        <v>1</v>
      </c>
      <c r="I453" s="69" t="s">
        <v>374</v>
      </c>
    </row>
    <row r="454" ht="16.5" customHeight="1">
      <c r="A454" s="41" t="s">
        <v>341</v>
      </c>
      <c r="B454" s="10" t="s">
        <v>48</v>
      </c>
      <c r="D454" s="10">
        <v>14.0</v>
      </c>
      <c r="E454" s="10" t="s">
        <v>1058</v>
      </c>
      <c r="G454" s="18" t="s">
        <v>1059</v>
      </c>
      <c r="H454" s="13" t="b">
        <v>0</v>
      </c>
      <c r="I454" s="71"/>
    </row>
    <row r="455" ht="16.5" customHeight="1">
      <c r="A455" s="10" t="s">
        <v>349</v>
      </c>
      <c r="B455" s="10" t="s">
        <v>48</v>
      </c>
      <c r="C455" s="10" t="s">
        <v>211</v>
      </c>
      <c r="D455" s="10">
        <v>15.0</v>
      </c>
      <c r="E455" s="10" t="s">
        <v>1060</v>
      </c>
      <c r="G455" s="18" t="s">
        <v>1061</v>
      </c>
      <c r="H455" t="b">
        <v>0</v>
      </c>
      <c r="I455" s="71"/>
    </row>
    <row r="456" ht="16.5" customHeight="1">
      <c r="A456" s="10" t="s">
        <v>349</v>
      </c>
      <c r="B456" s="10" t="s">
        <v>48</v>
      </c>
      <c r="C456" s="10" t="s">
        <v>214</v>
      </c>
      <c r="D456" s="10">
        <v>15.0</v>
      </c>
      <c r="E456" s="10" t="s">
        <v>1062</v>
      </c>
      <c r="G456" s="18" t="s">
        <v>1063</v>
      </c>
      <c r="H456" t="b">
        <v>0</v>
      </c>
      <c r="I456" s="71"/>
    </row>
    <row r="457" ht="23.25" customHeight="1">
      <c r="A457" s="10" t="s">
        <v>349</v>
      </c>
      <c r="B457" s="10" t="s">
        <v>48</v>
      </c>
      <c r="C457" s="10" t="s">
        <v>217</v>
      </c>
      <c r="D457" s="10">
        <v>15.0</v>
      </c>
      <c r="E457" s="10" t="s">
        <v>1064</v>
      </c>
      <c r="G457" s="18" t="s">
        <v>1065</v>
      </c>
      <c r="H457" t="b">
        <v>0</v>
      </c>
    </row>
    <row r="458" ht="23.25" customHeight="1">
      <c r="A458" s="10" t="s">
        <v>349</v>
      </c>
      <c r="B458" s="10" t="s">
        <v>48</v>
      </c>
      <c r="C458" s="10" t="s">
        <v>220</v>
      </c>
      <c r="D458" s="10">
        <v>15.0</v>
      </c>
      <c r="E458" s="10" t="s">
        <v>1066</v>
      </c>
      <c r="G458" s="18" t="s">
        <v>1067</v>
      </c>
      <c r="H458" t="b">
        <v>0</v>
      </c>
      <c r="I458" s="71"/>
    </row>
    <row r="459" ht="23.25" customHeight="1">
      <c r="A459" s="10" t="s">
        <v>349</v>
      </c>
      <c r="B459" s="10" t="s">
        <v>48</v>
      </c>
      <c r="C459" s="10" t="s">
        <v>226</v>
      </c>
      <c r="D459" s="10">
        <v>15.0</v>
      </c>
      <c r="E459" s="10" t="s">
        <v>1068</v>
      </c>
      <c r="G459" s="18" t="s">
        <v>1069</v>
      </c>
      <c r="H459" t="b">
        <v>0</v>
      </c>
      <c r="I459" s="71"/>
    </row>
    <row r="460" ht="23.25" customHeight="1">
      <c r="A460" s="10" t="s">
        <v>349</v>
      </c>
      <c r="B460" s="10" t="s">
        <v>48</v>
      </c>
      <c r="C460" s="10" t="s">
        <v>229</v>
      </c>
      <c r="D460" s="10">
        <v>15.0</v>
      </c>
      <c r="E460" s="10" t="s">
        <v>1070</v>
      </c>
      <c r="G460" s="18" t="s">
        <v>1071</v>
      </c>
      <c r="H460" t="b">
        <v>0</v>
      </c>
      <c r="I460" s="71"/>
    </row>
    <row r="461" ht="23.25" customHeight="1">
      <c r="A461" s="10" t="s">
        <v>349</v>
      </c>
      <c r="B461" s="10" t="s">
        <v>48</v>
      </c>
      <c r="C461" s="10" t="s">
        <v>232</v>
      </c>
      <c r="D461" s="10">
        <v>15.0</v>
      </c>
      <c r="E461" s="10" t="s">
        <v>1072</v>
      </c>
      <c r="G461" s="18" t="s">
        <v>1073</v>
      </c>
      <c r="H461" t="b">
        <v>0</v>
      </c>
      <c r="I461" s="71"/>
    </row>
    <row r="462" ht="23.25" customHeight="1">
      <c r="A462" s="66" t="s">
        <v>337</v>
      </c>
      <c r="B462" s="10" t="s">
        <v>48</v>
      </c>
      <c r="C462" s="66"/>
      <c r="D462" s="70">
        <v>16.0</v>
      </c>
      <c r="E462" s="66" t="s">
        <v>372</v>
      </c>
      <c r="F462" s="66"/>
      <c r="G462" s="65" t="s">
        <v>433</v>
      </c>
      <c r="H462" s="68" t="b">
        <v>1</v>
      </c>
      <c r="I462" s="69" t="s">
        <v>374</v>
      </c>
    </row>
    <row r="463" ht="12.75" customHeight="1">
      <c r="A463" s="66" t="s">
        <v>337</v>
      </c>
      <c r="B463" s="10" t="s">
        <v>48</v>
      </c>
      <c r="C463" s="66"/>
      <c r="D463" s="70">
        <v>19.0</v>
      </c>
      <c r="E463" s="66" t="s">
        <v>372</v>
      </c>
      <c r="F463" s="66"/>
      <c r="G463" s="65" t="s">
        <v>433</v>
      </c>
      <c r="H463" s="68" t="b">
        <v>1</v>
      </c>
      <c r="I463" s="69" t="s">
        <v>374</v>
      </c>
    </row>
    <row r="464" ht="25.5" customHeight="1">
      <c r="A464" s="10" t="s">
        <v>349</v>
      </c>
      <c r="B464" s="10" t="s">
        <v>48</v>
      </c>
      <c r="C464" s="10" t="s">
        <v>211</v>
      </c>
      <c r="D464" s="10">
        <v>20.0</v>
      </c>
      <c r="E464" s="10" t="s">
        <v>1074</v>
      </c>
      <c r="G464" s="18" t="s">
        <v>1075</v>
      </c>
      <c r="H464" t="b">
        <v>0</v>
      </c>
    </row>
    <row r="465" ht="25.5" customHeight="1">
      <c r="A465" s="10" t="s">
        <v>349</v>
      </c>
      <c r="B465" s="10" t="s">
        <v>48</v>
      </c>
      <c r="C465" s="10" t="s">
        <v>214</v>
      </c>
      <c r="D465" s="10">
        <v>20.0</v>
      </c>
      <c r="E465" s="10" t="s">
        <v>1076</v>
      </c>
      <c r="G465" s="18" t="s">
        <v>1077</v>
      </c>
      <c r="H465" t="b">
        <v>0</v>
      </c>
    </row>
    <row r="466" ht="18.0" customHeight="1">
      <c r="A466" s="10" t="s">
        <v>349</v>
      </c>
      <c r="B466" s="10" t="s">
        <v>48</v>
      </c>
      <c r="C466" s="10" t="s">
        <v>217</v>
      </c>
      <c r="D466" s="10">
        <v>20.0</v>
      </c>
      <c r="E466" s="10" t="s">
        <v>1078</v>
      </c>
      <c r="G466" s="18" t="s">
        <v>1079</v>
      </c>
      <c r="H466" t="b">
        <v>0</v>
      </c>
    </row>
    <row r="467" ht="22.5" customHeight="1">
      <c r="A467" s="10" t="s">
        <v>349</v>
      </c>
      <c r="B467" s="10" t="s">
        <v>48</v>
      </c>
      <c r="C467" s="10" t="s">
        <v>220</v>
      </c>
      <c r="D467" s="10">
        <v>20.0</v>
      </c>
      <c r="E467" s="10" t="s">
        <v>1080</v>
      </c>
      <c r="G467" s="18" t="s">
        <v>1081</v>
      </c>
      <c r="H467" t="b">
        <v>0</v>
      </c>
    </row>
    <row r="468" ht="21.0" customHeight="1">
      <c r="A468" s="10" t="s">
        <v>349</v>
      </c>
      <c r="B468" s="10" t="s">
        <v>48</v>
      </c>
      <c r="C468" s="10" t="s">
        <v>226</v>
      </c>
      <c r="D468" s="10">
        <v>20.0</v>
      </c>
      <c r="E468" s="10" t="s">
        <v>1082</v>
      </c>
      <c r="G468" s="18" t="s">
        <v>1083</v>
      </c>
      <c r="H468" t="b">
        <v>0</v>
      </c>
    </row>
    <row r="469" ht="16.5" customHeight="1">
      <c r="A469" s="10" t="s">
        <v>349</v>
      </c>
      <c r="B469" s="10" t="s">
        <v>48</v>
      </c>
      <c r="C469" s="10" t="s">
        <v>229</v>
      </c>
      <c r="D469" s="10">
        <v>20.0</v>
      </c>
      <c r="E469" s="10" t="s">
        <v>1084</v>
      </c>
      <c r="G469" s="18" t="s">
        <v>1085</v>
      </c>
      <c r="H469" t="b">
        <v>0</v>
      </c>
    </row>
    <row r="470" ht="19.5" customHeight="1">
      <c r="A470" s="10" t="s">
        <v>349</v>
      </c>
      <c r="B470" s="10" t="s">
        <v>48</v>
      </c>
      <c r="C470" s="10" t="s">
        <v>232</v>
      </c>
      <c r="D470" s="10">
        <v>20.0</v>
      </c>
      <c r="E470" s="10" t="s">
        <v>1086</v>
      </c>
      <c r="G470" s="18" t="s">
        <v>1087</v>
      </c>
      <c r="H470" t="b">
        <v>0</v>
      </c>
    </row>
    <row r="471" ht="23.25" customHeight="1">
      <c r="A471" s="41" t="s">
        <v>337</v>
      </c>
      <c r="B471" s="10" t="s">
        <v>52</v>
      </c>
      <c r="C471" s="10"/>
      <c r="D471" s="10">
        <v>0.0</v>
      </c>
      <c r="E471" s="10" t="s">
        <v>1088</v>
      </c>
      <c r="G471" s="18" t="s">
        <v>1089</v>
      </c>
      <c r="H471" s="53" t="b">
        <v>1</v>
      </c>
      <c r="I471" s="59" t="s">
        <v>340</v>
      </c>
    </row>
    <row r="472" ht="27.75" customHeight="1">
      <c r="A472" s="41" t="s">
        <v>341</v>
      </c>
      <c r="B472" s="10" t="s">
        <v>52</v>
      </c>
      <c r="D472" s="10">
        <v>1.0</v>
      </c>
      <c r="E472" s="10" t="s">
        <v>1090</v>
      </c>
      <c r="G472" s="18" t="s">
        <v>1091</v>
      </c>
      <c r="H472" s="13" t="b">
        <v>0</v>
      </c>
    </row>
    <row r="473" ht="32.25" customHeight="1">
      <c r="A473" s="41" t="s">
        <v>341</v>
      </c>
      <c r="B473" s="10" t="s">
        <v>52</v>
      </c>
      <c r="D473" s="10">
        <v>1.0</v>
      </c>
      <c r="E473" s="10" t="s">
        <v>828</v>
      </c>
      <c r="G473" s="18" t="s">
        <v>1092</v>
      </c>
      <c r="H473" s="13" t="b">
        <v>0</v>
      </c>
    </row>
    <row r="474" ht="28.5" customHeight="1">
      <c r="A474" s="41" t="s">
        <v>341</v>
      </c>
      <c r="B474" s="10" t="s">
        <v>52</v>
      </c>
      <c r="D474" s="10">
        <v>2.0</v>
      </c>
      <c r="E474" s="10" t="s">
        <v>503</v>
      </c>
      <c r="G474" s="18" t="s">
        <v>1093</v>
      </c>
      <c r="H474" s="13" t="b">
        <v>0</v>
      </c>
    </row>
    <row r="475" ht="21.75" customHeight="1">
      <c r="A475" s="41" t="s">
        <v>341</v>
      </c>
      <c r="B475" s="10" t="s">
        <v>52</v>
      </c>
      <c r="D475" s="10">
        <v>3.0</v>
      </c>
      <c r="E475" s="10" t="s">
        <v>1094</v>
      </c>
      <c r="G475" s="18" t="s">
        <v>1095</v>
      </c>
      <c r="H475" s="13" t="b">
        <v>0</v>
      </c>
    </row>
    <row r="476" ht="25.5" customHeight="1">
      <c r="A476" s="10" t="s">
        <v>349</v>
      </c>
      <c r="B476" s="10" t="s">
        <v>52</v>
      </c>
      <c r="C476" s="10" t="s">
        <v>235</v>
      </c>
      <c r="D476" s="10">
        <v>3.0</v>
      </c>
      <c r="E476" s="10" t="s">
        <v>1096</v>
      </c>
      <c r="G476" s="18" t="s">
        <v>1097</v>
      </c>
      <c r="H476" t="b">
        <v>0</v>
      </c>
    </row>
    <row r="477" ht="18.0" customHeight="1">
      <c r="A477" s="10" t="s">
        <v>349</v>
      </c>
      <c r="B477" s="10" t="s">
        <v>52</v>
      </c>
      <c r="C477" s="10" t="s">
        <v>235</v>
      </c>
      <c r="D477" s="10">
        <v>3.0</v>
      </c>
      <c r="E477" s="10" t="s">
        <v>1098</v>
      </c>
      <c r="G477" s="18" t="s">
        <v>1099</v>
      </c>
      <c r="H477" t="b">
        <v>0</v>
      </c>
    </row>
    <row r="478">
      <c r="A478" s="10" t="s">
        <v>349</v>
      </c>
      <c r="B478" s="10" t="s">
        <v>52</v>
      </c>
      <c r="C478" s="10" t="s">
        <v>238</v>
      </c>
      <c r="D478" s="10">
        <v>3.0</v>
      </c>
      <c r="E478" s="10" t="s">
        <v>1100</v>
      </c>
      <c r="G478" s="18" t="s">
        <v>1101</v>
      </c>
      <c r="H478" t="b">
        <v>1</v>
      </c>
      <c r="I478" s="48" t="s">
        <v>1102</v>
      </c>
    </row>
    <row r="479" ht="27.75" customHeight="1">
      <c r="A479" s="10" t="s">
        <v>349</v>
      </c>
      <c r="B479" s="10" t="s">
        <v>52</v>
      </c>
      <c r="C479" s="10" t="s">
        <v>238</v>
      </c>
      <c r="D479" s="10">
        <v>3.0</v>
      </c>
      <c r="E479" s="10" t="s">
        <v>1103</v>
      </c>
      <c r="G479" s="18" t="s">
        <v>1104</v>
      </c>
      <c r="H479" t="b">
        <v>0</v>
      </c>
    </row>
    <row r="480" ht="18.0" customHeight="1">
      <c r="A480" s="10" t="s">
        <v>349</v>
      </c>
      <c r="B480" s="10" t="s">
        <v>52</v>
      </c>
      <c r="C480" s="10" t="s">
        <v>238</v>
      </c>
      <c r="D480" s="10">
        <v>3.0</v>
      </c>
      <c r="E480" s="10" t="s">
        <v>1105</v>
      </c>
      <c r="G480" s="18" t="s">
        <v>1106</v>
      </c>
      <c r="H480" t="b">
        <v>0</v>
      </c>
    </row>
    <row r="481">
      <c r="A481" s="10" t="s">
        <v>349</v>
      </c>
      <c r="B481" s="10" t="s">
        <v>52</v>
      </c>
      <c r="C481" s="10" t="s">
        <v>241</v>
      </c>
      <c r="D481" s="10">
        <v>3.0</v>
      </c>
      <c r="E481" s="10" t="s">
        <v>1107</v>
      </c>
      <c r="G481" s="18" t="s">
        <v>1108</v>
      </c>
      <c r="H481" t="b">
        <v>1</v>
      </c>
      <c r="I481" s="48" t="s">
        <v>1109</v>
      </c>
    </row>
    <row r="482" ht="22.5" customHeight="1">
      <c r="A482" s="10" t="s">
        <v>349</v>
      </c>
      <c r="B482" s="10" t="s">
        <v>52</v>
      </c>
      <c r="C482" s="10" t="s">
        <v>241</v>
      </c>
      <c r="D482" s="10">
        <v>3.0</v>
      </c>
      <c r="E482" s="10" t="s">
        <v>1110</v>
      </c>
      <c r="G482" s="18" t="s">
        <v>1111</v>
      </c>
      <c r="H482" t="b">
        <v>0</v>
      </c>
    </row>
    <row r="483" ht="19.5" customHeight="1">
      <c r="A483" s="10" t="s">
        <v>349</v>
      </c>
      <c r="B483" s="10" t="s">
        <v>52</v>
      </c>
      <c r="C483" s="10" t="s">
        <v>241</v>
      </c>
      <c r="D483" s="10">
        <v>3.0</v>
      </c>
      <c r="E483" s="10" t="s">
        <v>1112</v>
      </c>
      <c r="G483" s="18" t="s">
        <v>1113</v>
      </c>
      <c r="H483" t="b">
        <v>0</v>
      </c>
    </row>
    <row r="484" ht="21.0" customHeight="1">
      <c r="A484" s="10" t="s">
        <v>349</v>
      </c>
      <c r="B484" s="10" t="s">
        <v>52</v>
      </c>
      <c r="C484" s="10" t="s">
        <v>244</v>
      </c>
      <c r="D484" s="10">
        <v>3.0</v>
      </c>
      <c r="E484" s="10" t="s">
        <v>1114</v>
      </c>
      <c r="G484" s="18" t="s">
        <v>1115</v>
      </c>
      <c r="H484" t="b">
        <v>0</v>
      </c>
    </row>
    <row r="485">
      <c r="A485" s="10" t="s">
        <v>349</v>
      </c>
      <c r="B485" s="10" t="s">
        <v>52</v>
      </c>
      <c r="C485" s="10" t="s">
        <v>247</v>
      </c>
      <c r="D485" s="10">
        <v>3.0</v>
      </c>
      <c r="E485" s="10" t="s">
        <v>1116</v>
      </c>
      <c r="G485" s="18" t="s">
        <v>1117</v>
      </c>
      <c r="H485" t="b">
        <v>1</v>
      </c>
      <c r="I485" s="48" t="s">
        <v>1118</v>
      </c>
    </row>
    <row r="486" ht="13.5" customHeight="1">
      <c r="A486" s="10" t="s">
        <v>349</v>
      </c>
      <c r="B486" s="10" t="s">
        <v>52</v>
      </c>
      <c r="C486" s="10" t="s">
        <v>247</v>
      </c>
      <c r="D486" s="10">
        <v>3.0</v>
      </c>
      <c r="E486" s="10" t="s">
        <v>1119</v>
      </c>
      <c r="G486" s="18" t="s">
        <v>1120</v>
      </c>
      <c r="H486" t="b">
        <v>0</v>
      </c>
    </row>
    <row r="487" ht="16.5" customHeight="1">
      <c r="A487" s="10" t="s">
        <v>349</v>
      </c>
      <c r="B487" s="10" t="s">
        <v>52</v>
      </c>
      <c r="C487" s="10" t="s">
        <v>247</v>
      </c>
      <c r="D487" s="10">
        <v>3.0</v>
      </c>
      <c r="E487" s="10" t="s">
        <v>1121</v>
      </c>
      <c r="G487" s="18" t="s">
        <v>1122</v>
      </c>
      <c r="H487" t="b">
        <v>0</v>
      </c>
    </row>
    <row r="488">
      <c r="A488" s="10" t="s">
        <v>349</v>
      </c>
      <c r="B488" s="10" t="s">
        <v>52</v>
      </c>
      <c r="C488" s="10" t="s">
        <v>250</v>
      </c>
      <c r="D488" s="10">
        <v>3.0</v>
      </c>
      <c r="E488" s="10" t="s">
        <v>1123</v>
      </c>
      <c r="G488" s="18" t="s">
        <v>1124</v>
      </c>
      <c r="H488" t="b">
        <v>1</v>
      </c>
      <c r="I488" s="48" t="s">
        <v>1125</v>
      </c>
    </row>
    <row r="489" ht="24.0" customHeight="1">
      <c r="A489" s="10" t="s">
        <v>349</v>
      </c>
      <c r="B489" s="10" t="s">
        <v>52</v>
      </c>
      <c r="C489" s="10" t="s">
        <v>250</v>
      </c>
      <c r="D489" s="10">
        <v>3.0</v>
      </c>
      <c r="E489" s="10" t="s">
        <v>1126</v>
      </c>
      <c r="G489" s="18" t="s">
        <v>1127</v>
      </c>
      <c r="H489" t="b">
        <v>0</v>
      </c>
    </row>
    <row r="490">
      <c r="A490" s="10" t="s">
        <v>349</v>
      </c>
      <c r="B490" s="10" t="s">
        <v>52</v>
      </c>
      <c r="C490" s="10" t="s">
        <v>250</v>
      </c>
      <c r="D490" s="10">
        <v>3.0</v>
      </c>
      <c r="E490" s="10" t="s">
        <v>1128</v>
      </c>
      <c r="G490" s="18" t="s">
        <v>1129</v>
      </c>
      <c r="H490" t="b">
        <v>0</v>
      </c>
    </row>
    <row r="491" ht="15.0" customHeight="1">
      <c r="A491" s="66" t="s">
        <v>337</v>
      </c>
      <c r="B491" s="10" t="s">
        <v>52</v>
      </c>
      <c r="C491" s="66"/>
      <c r="D491" s="67">
        <v>4.0</v>
      </c>
      <c r="E491" s="66" t="s">
        <v>372</v>
      </c>
      <c r="F491" s="66"/>
      <c r="G491" s="65" t="s">
        <v>433</v>
      </c>
      <c r="H491" s="68" t="b">
        <v>1</v>
      </c>
      <c r="I491" s="69" t="s">
        <v>374</v>
      </c>
    </row>
    <row r="492">
      <c r="A492" s="10" t="s">
        <v>349</v>
      </c>
      <c r="B492" s="10" t="s">
        <v>52</v>
      </c>
      <c r="C492" s="10" t="s">
        <v>235</v>
      </c>
      <c r="D492" s="10">
        <v>5.0</v>
      </c>
      <c r="E492" s="10" t="s">
        <v>1130</v>
      </c>
      <c r="G492" s="18" t="s">
        <v>1131</v>
      </c>
      <c r="H492" t="b">
        <v>0</v>
      </c>
    </row>
    <row r="493">
      <c r="A493" s="10" t="s">
        <v>349</v>
      </c>
      <c r="B493" s="10" t="s">
        <v>52</v>
      </c>
      <c r="C493" s="10" t="s">
        <v>238</v>
      </c>
      <c r="D493" s="10">
        <v>5.0</v>
      </c>
      <c r="E493" s="10" t="s">
        <v>379</v>
      </c>
      <c r="G493" s="18" t="s">
        <v>434</v>
      </c>
      <c r="H493" t="b">
        <v>0</v>
      </c>
    </row>
    <row r="494">
      <c r="A494" s="10" t="s">
        <v>349</v>
      </c>
      <c r="B494" s="10" t="s">
        <v>52</v>
      </c>
      <c r="C494" s="10" t="s">
        <v>244</v>
      </c>
      <c r="D494" s="10">
        <v>5.0</v>
      </c>
      <c r="E494" s="10" t="s">
        <v>379</v>
      </c>
      <c r="G494" s="18" t="s">
        <v>434</v>
      </c>
      <c r="H494" t="b">
        <v>0</v>
      </c>
    </row>
    <row r="495">
      <c r="A495" s="10" t="s">
        <v>349</v>
      </c>
      <c r="B495" s="10" t="s">
        <v>52</v>
      </c>
      <c r="C495" s="10" t="s">
        <v>247</v>
      </c>
      <c r="D495" s="10">
        <v>5.0</v>
      </c>
      <c r="E495" s="10" t="s">
        <v>379</v>
      </c>
      <c r="G495" s="18" t="s">
        <v>434</v>
      </c>
      <c r="H495" t="b">
        <v>0</v>
      </c>
    </row>
    <row r="496" ht="15.0" customHeight="1">
      <c r="A496" s="41" t="s">
        <v>341</v>
      </c>
      <c r="B496" s="10" t="s">
        <v>52</v>
      </c>
      <c r="D496" s="10">
        <v>6.0</v>
      </c>
      <c r="E496" s="10" t="s">
        <v>1132</v>
      </c>
      <c r="G496" s="18" t="s">
        <v>1133</v>
      </c>
      <c r="H496" s="13" t="b">
        <v>0</v>
      </c>
    </row>
    <row r="497">
      <c r="A497" s="10" t="s">
        <v>349</v>
      </c>
      <c r="B497" s="10" t="s">
        <v>52</v>
      </c>
      <c r="C497" s="10" t="s">
        <v>235</v>
      </c>
      <c r="D497" s="10">
        <v>7.0</v>
      </c>
      <c r="E497" s="10" t="s">
        <v>1134</v>
      </c>
      <c r="G497" s="18" t="s">
        <v>1135</v>
      </c>
      <c r="H497" t="b">
        <v>0</v>
      </c>
    </row>
    <row r="498">
      <c r="A498" s="10" t="s">
        <v>349</v>
      </c>
      <c r="B498" s="10" t="s">
        <v>52</v>
      </c>
      <c r="C498" s="10" t="s">
        <v>238</v>
      </c>
      <c r="D498" s="10">
        <v>7.0</v>
      </c>
      <c r="E498" s="10" t="s">
        <v>1136</v>
      </c>
      <c r="G498" s="18" t="s">
        <v>1137</v>
      </c>
      <c r="H498" t="b">
        <v>0</v>
      </c>
    </row>
    <row r="499" ht="15.0" customHeight="1">
      <c r="A499" s="10" t="s">
        <v>349</v>
      </c>
      <c r="B499" s="10" t="s">
        <v>52</v>
      </c>
      <c r="C499" s="10" t="s">
        <v>241</v>
      </c>
      <c r="D499" s="10">
        <v>7.0</v>
      </c>
      <c r="E499" s="10" t="s">
        <v>1138</v>
      </c>
      <c r="G499" s="18" t="s">
        <v>1139</v>
      </c>
      <c r="H499" t="b">
        <v>0</v>
      </c>
    </row>
    <row r="500" ht="25.5" customHeight="1">
      <c r="A500" s="10" t="s">
        <v>349</v>
      </c>
      <c r="B500" s="10" t="s">
        <v>52</v>
      </c>
      <c r="C500" s="10" t="s">
        <v>244</v>
      </c>
      <c r="D500" s="10">
        <v>7.0</v>
      </c>
      <c r="E500" s="10" t="s">
        <v>1140</v>
      </c>
      <c r="G500" s="18" t="s">
        <v>1141</v>
      </c>
      <c r="H500" t="b">
        <v>0</v>
      </c>
    </row>
    <row r="501">
      <c r="A501" s="10" t="s">
        <v>349</v>
      </c>
      <c r="B501" s="10" t="s">
        <v>52</v>
      </c>
      <c r="C501" s="10" t="s">
        <v>247</v>
      </c>
      <c r="D501" s="10">
        <v>7.0</v>
      </c>
      <c r="E501" s="10" t="s">
        <v>1142</v>
      </c>
      <c r="G501" s="18" t="s">
        <v>1143</v>
      </c>
      <c r="H501" t="b">
        <v>0</v>
      </c>
    </row>
    <row r="502">
      <c r="A502" s="10" t="s">
        <v>349</v>
      </c>
      <c r="B502" s="10" t="s">
        <v>52</v>
      </c>
      <c r="C502" s="10" t="s">
        <v>250</v>
      </c>
      <c r="D502" s="10">
        <v>7.0</v>
      </c>
      <c r="E502" s="10" t="s">
        <v>1144</v>
      </c>
      <c r="G502" s="18" t="s">
        <v>1145</v>
      </c>
      <c r="H502" t="b">
        <v>0</v>
      </c>
    </row>
    <row r="503">
      <c r="A503" s="41" t="s">
        <v>341</v>
      </c>
      <c r="B503" s="10" t="s">
        <v>52</v>
      </c>
      <c r="D503" s="10">
        <v>8.0</v>
      </c>
      <c r="E503" s="10" t="s">
        <v>1146</v>
      </c>
      <c r="G503" s="18" t="s">
        <v>1147</v>
      </c>
      <c r="H503" s="13" t="b">
        <v>0</v>
      </c>
    </row>
    <row r="504" ht="15.75" customHeight="1">
      <c r="A504" s="66" t="s">
        <v>337</v>
      </c>
      <c r="B504" s="10" t="s">
        <v>52</v>
      </c>
      <c r="C504" s="66"/>
      <c r="D504" s="70">
        <v>8.0</v>
      </c>
      <c r="E504" s="66" t="s">
        <v>372</v>
      </c>
      <c r="F504" s="66"/>
      <c r="G504" s="65" t="s">
        <v>433</v>
      </c>
      <c r="H504" s="68" t="b">
        <v>1</v>
      </c>
      <c r="I504" s="69" t="s">
        <v>374</v>
      </c>
    </row>
    <row r="505" ht="22.5" customHeight="1">
      <c r="A505" s="41" t="s">
        <v>341</v>
      </c>
      <c r="B505" s="10" t="s">
        <v>52</v>
      </c>
      <c r="D505" s="10">
        <v>10.0</v>
      </c>
      <c r="E505" s="10" t="s">
        <v>1148</v>
      </c>
      <c r="G505" s="18" t="s">
        <v>1149</v>
      </c>
      <c r="H505" s="13" t="b">
        <v>0</v>
      </c>
    </row>
    <row r="506" ht="22.5" customHeight="1">
      <c r="A506" s="10" t="s">
        <v>349</v>
      </c>
      <c r="B506" s="10" t="s">
        <v>52</v>
      </c>
      <c r="C506" s="10" t="s">
        <v>235</v>
      </c>
      <c r="D506" s="10">
        <v>11.0</v>
      </c>
      <c r="E506" s="10" t="s">
        <v>1150</v>
      </c>
      <c r="G506" s="18" t="s">
        <v>1151</v>
      </c>
      <c r="H506" t="b">
        <v>0</v>
      </c>
    </row>
    <row r="507" ht="18.0" customHeight="1">
      <c r="A507" s="10" t="s">
        <v>349</v>
      </c>
      <c r="B507" s="10" t="s">
        <v>52</v>
      </c>
      <c r="C507" s="10" t="s">
        <v>238</v>
      </c>
      <c r="D507" s="10">
        <v>11.0</v>
      </c>
      <c r="E507" s="10" t="s">
        <v>1152</v>
      </c>
      <c r="G507" s="18" t="s">
        <v>1153</v>
      </c>
      <c r="H507" t="b">
        <v>0</v>
      </c>
    </row>
    <row r="508" ht="12.75" customHeight="1">
      <c r="A508" s="10" t="s">
        <v>349</v>
      </c>
      <c r="B508" s="10" t="s">
        <v>52</v>
      </c>
      <c r="C508" s="10" t="s">
        <v>241</v>
      </c>
      <c r="D508" s="10">
        <v>11.0</v>
      </c>
      <c r="E508" s="10" t="s">
        <v>1154</v>
      </c>
      <c r="G508" s="18" t="s">
        <v>1155</v>
      </c>
      <c r="H508" t="b">
        <v>0</v>
      </c>
    </row>
    <row r="509" ht="15.0" customHeight="1">
      <c r="A509" s="10" t="s">
        <v>349</v>
      </c>
      <c r="B509" s="10" t="s">
        <v>52</v>
      </c>
      <c r="C509" s="10" t="s">
        <v>244</v>
      </c>
      <c r="D509" s="10">
        <v>11.0</v>
      </c>
      <c r="E509" s="10" t="s">
        <v>1156</v>
      </c>
      <c r="G509" s="18" t="s">
        <v>1157</v>
      </c>
      <c r="H509" t="b">
        <v>0</v>
      </c>
    </row>
    <row r="510" ht="13.5" customHeight="1">
      <c r="A510" s="10" t="s">
        <v>349</v>
      </c>
      <c r="B510" s="10" t="s">
        <v>52</v>
      </c>
      <c r="C510" s="10" t="s">
        <v>247</v>
      </c>
      <c r="D510" s="10">
        <v>11.0</v>
      </c>
      <c r="E510" s="10" t="s">
        <v>1158</v>
      </c>
      <c r="G510" s="18" t="s">
        <v>1159</v>
      </c>
      <c r="H510" t="b">
        <v>0</v>
      </c>
    </row>
    <row r="511" ht="15.75" customHeight="1">
      <c r="A511" s="10" t="s">
        <v>349</v>
      </c>
      <c r="B511" s="10" t="s">
        <v>52</v>
      </c>
      <c r="C511" s="10" t="s">
        <v>250</v>
      </c>
      <c r="D511" s="10">
        <v>11.0</v>
      </c>
      <c r="E511" s="10" t="s">
        <v>1160</v>
      </c>
      <c r="G511" s="18" t="s">
        <v>1161</v>
      </c>
      <c r="H511" t="b">
        <v>0</v>
      </c>
    </row>
    <row r="512" ht="13.5" customHeight="1">
      <c r="A512" s="66" t="s">
        <v>337</v>
      </c>
      <c r="B512" s="10" t="s">
        <v>52</v>
      </c>
      <c r="C512" s="66"/>
      <c r="D512" s="70">
        <v>12.0</v>
      </c>
      <c r="E512" s="66" t="s">
        <v>372</v>
      </c>
      <c r="F512" s="66"/>
      <c r="G512" s="65" t="s">
        <v>433</v>
      </c>
      <c r="H512" s="68" t="b">
        <v>1</v>
      </c>
      <c r="I512" s="69" t="s">
        <v>374</v>
      </c>
    </row>
    <row r="513">
      <c r="A513" s="41" t="s">
        <v>341</v>
      </c>
      <c r="B513" s="10" t="s">
        <v>52</v>
      </c>
      <c r="D513" s="10">
        <v>14.0</v>
      </c>
      <c r="E513" s="10" t="s">
        <v>1162</v>
      </c>
      <c r="G513" s="18" t="s">
        <v>1163</v>
      </c>
      <c r="H513" s="13" t="b">
        <v>0</v>
      </c>
    </row>
    <row r="514">
      <c r="A514" s="10" t="s">
        <v>349</v>
      </c>
      <c r="B514" s="10" t="s">
        <v>52</v>
      </c>
      <c r="C514" s="10" t="s">
        <v>235</v>
      </c>
      <c r="D514" s="10">
        <v>15.0</v>
      </c>
      <c r="E514" s="10" t="s">
        <v>1164</v>
      </c>
      <c r="G514" s="18" t="s">
        <v>1165</v>
      </c>
      <c r="H514" t="b">
        <v>0</v>
      </c>
    </row>
    <row r="515">
      <c r="A515" s="10" t="s">
        <v>349</v>
      </c>
      <c r="B515" s="10" t="s">
        <v>52</v>
      </c>
      <c r="C515" s="10" t="s">
        <v>238</v>
      </c>
      <c r="D515" s="10">
        <v>15.0</v>
      </c>
      <c r="E515" s="10" t="s">
        <v>1166</v>
      </c>
      <c r="G515" s="18" t="s">
        <v>1167</v>
      </c>
      <c r="H515" t="b">
        <v>0</v>
      </c>
    </row>
    <row r="516">
      <c r="A516" s="10" t="s">
        <v>349</v>
      </c>
      <c r="B516" s="10" t="s">
        <v>52</v>
      </c>
      <c r="C516" s="10" t="s">
        <v>241</v>
      </c>
      <c r="D516" s="10">
        <v>15.0</v>
      </c>
      <c r="E516" s="10" t="s">
        <v>1168</v>
      </c>
      <c r="G516" s="18" t="s">
        <v>1169</v>
      </c>
      <c r="H516" t="b">
        <v>0</v>
      </c>
    </row>
    <row r="517" ht="16.5" customHeight="1">
      <c r="A517" s="10" t="s">
        <v>349</v>
      </c>
      <c r="B517" s="10" t="s">
        <v>52</v>
      </c>
      <c r="C517" s="10" t="s">
        <v>244</v>
      </c>
      <c r="D517" s="10">
        <v>15.0</v>
      </c>
      <c r="E517" s="10" t="s">
        <v>1170</v>
      </c>
      <c r="G517" s="18" t="s">
        <v>1171</v>
      </c>
      <c r="H517" t="b">
        <v>0</v>
      </c>
    </row>
    <row r="518">
      <c r="A518" s="10" t="s">
        <v>349</v>
      </c>
      <c r="B518" s="10" t="s">
        <v>52</v>
      </c>
      <c r="C518" s="10" t="s">
        <v>247</v>
      </c>
      <c r="D518" s="10">
        <v>15.0</v>
      </c>
      <c r="E518" s="10" t="s">
        <v>1172</v>
      </c>
      <c r="G518" s="18" t="s">
        <v>1173</v>
      </c>
      <c r="H518" t="b">
        <v>0</v>
      </c>
    </row>
    <row r="519">
      <c r="A519" s="10" t="s">
        <v>349</v>
      </c>
      <c r="B519" s="10" t="s">
        <v>52</v>
      </c>
      <c r="C519" s="10" t="s">
        <v>250</v>
      </c>
      <c r="D519" s="10">
        <v>15.0</v>
      </c>
      <c r="E519" s="10" t="s">
        <v>1174</v>
      </c>
      <c r="G519" s="18" t="s">
        <v>1175</v>
      </c>
      <c r="H519" t="b">
        <v>0</v>
      </c>
    </row>
    <row r="520" ht="15.75" customHeight="1">
      <c r="A520" s="66" t="s">
        <v>337</v>
      </c>
      <c r="B520" s="10" t="s">
        <v>52</v>
      </c>
      <c r="C520" s="66"/>
      <c r="D520" s="70">
        <v>16.0</v>
      </c>
      <c r="E520" s="66" t="s">
        <v>372</v>
      </c>
      <c r="F520" s="66"/>
      <c r="G520" s="65" t="s">
        <v>433</v>
      </c>
      <c r="H520" s="68" t="b">
        <v>1</v>
      </c>
      <c r="I520" s="69" t="s">
        <v>374</v>
      </c>
    </row>
    <row r="521" ht="15.75" customHeight="1">
      <c r="A521" s="41" t="s">
        <v>341</v>
      </c>
      <c r="B521" s="10" t="s">
        <v>52</v>
      </c>
      <c r="D521" s="10">
        <v>18.0</v>
      </c>
      <c r="E521" s="10" t="s">
        <v>1176</v>
      </c>
      <c r="G521" s="18" t="s">
        <v>1177</v>
      </c>
      <c r="H521" s="13" t="b">
        <v>0</v>
      </c>
      <c r="I521" s="13"/>
    </row>
    <row r="522" ht="17.25" customHeight="1">
      <c r="A522" s="66" t="s">
        <v>337</v>
      </c>
      <c r="B522" s="10" t="s">
        <v>52</v>
      </c>
      <c r="C522" s="66"/>
      <c r="D522" s="70">
        <v>19.0</v>
      </c>
      <c r="E522" s="66" t="s">
        <v>372</v>
      </c>
      <c r="F522" s="66"/>
      <c r="G522" s="65" t="s">
        <v>433</v>
      </c>
      <c r="H522" s="68" t="b">
        <v>1</v>
      </c>
      <c r="I522" s="69" t="s">
        <v>374</v>
      </c>
    </row>
    <row r="523">
      <c r="A523" s="41" t="s">
        <v>341</v>
      </c>
      <c r="B523" s="10" t="s">
        <v>52</v>
      </c>
      <c r="D523" s="10">
        <v>20.0</v>
      </c>
      <c r="E523" s="10" t="s">
        <v>1178</v>
      </c>
      <c r="G523" s="18" t="s">
        <v>1179</v>
      </c>
      <c r="H523" s="13" t="b">
        <v>0</v>
      </c>
    </row>
    <row r="524" ht="18.75" customHeight="1">
      <c r="A524" s="41" t="s">
        <v>337</v>
      </c>
      <c r="B524" s="10" t="s">
        <v>56</v>
      </c>
      <c r="C524" s="10"/>
      <c r="D524" s="10">
        <v>0.0</v>
      </c>
      <c r="E524" s="10" t="s">
        <v>1180</v>
      </c>
      <c r="G524" s="18" t="s">
        <v>1181</v>
      </c>
      <c r="H524" s="53" t="b">
        <v>1</v>
      </c>
      <c r="I524" s="59" t="s">
        <v>340</v>
      </c>
    </row>
    <row r="525" ht="19.5" customHeight="1">
      <c r="A525" s="41" t="s">
        <v>341</v>
      </c>
      <c r="B525" s="10" t="s">
        <v>56</v>
      </c>
      <c r="D525" s="10" t="s">
        <v>1182</v>
      </c>
      <c r="E525" s="10" t="s">
        <v>493</v>
      </c>
      <c r="G525" s="18" t="s">
        <v>1183</v>
      </c>
      <c r="H525" s="13" t="b">
        <v>1</v>
      </c>
      <c r="I525" s="63" t="s">
        <v>1184</v>
      </c>
    </row>
    <row r="526" ht="18.75" customHeight="1">
      <c r="A526" s="41" t="s">
        <v>341</v>
      </c>
      <c r="B526" s="10" t="s">
        <v>56</v>
      </c>
      <c r="D526" s="10">
        <v>1.0</v>
      </c>
      <c r="E526" s="10" t="s">
        <v>1185</v>
      </c>
      <c r="G526" s="18" t="s">
        <v>1186</v>
      </c>
      <c r="H526" s="13" t="b">
        <v>0</v>
      </c>
      <c r="I526" s="13"/>
    </row>
    <row r="527" ht="12.75" customHeight="1">
      <c r="A527" s="41" t="s">
        <v>341</v>
      </c>
      <c r="B527" s="10" t="s">
        <v>56</v>
      </c>
      <c r="D527" s="10">
        <v>1.0</v>
      </c>
      <c r="E527" s="10" t="s">
        <v>1187</v>
      </c>
      <c r="G527" s="18" t="s">
        <v>1188</v>
      </c>
      <c r="H527" s="13" t="b">
        <v>0</v>
      </c>
      <c r="I527" s="13"/>
    </row>
    <row r="528">
      <c r="A528" s="41" t="s">
        <v>341</v>
      </c>
      <c r="B528" s="10" t="s">
        <v>56</v>
      </c>
      <c r="D528" s="10">
        <v>2.0</v>
      </c>
      <c r="E528" s="10" t="s">
        <v>1189</v>
      </c>
      <c r="G528" s="18" t="s">
        <v>1190</v>
      </c>
      <c r="H528" s="13" t="b">
        <v>0</v>
      </c>
      <c r="I528" s="13"/>
    </row>
    <row r="529" ht="20.25" customHeight="1">
      <c r="A529" s="10" t="s">
        <v>349</v>
      </c>
      <c r="B529" s="10" t="s">
        <v>56</v>
      </c>
      <c r="C529" s="10" t="s">
        <v>253</v>
      </c>
      <c r="D529" s="10">
        <v>3.0</v>
      </c>
      <c r="E529" s="10" t="s">
        <v>1191</v>
      </c>
      <c r="G529" s="18" t="s">
        <v>1192</v>
      </c>
      <c r="H529" t="b">
        <v>0</v>
      </c>
    </row>
    <row r="530">
      <c r="A530" s="10" t="s">
        <v>349</v>
      </c>
      <c r="B530" s="10" t="s">
        <v>56</v>
      </c>
      <c r="C530" s="10" t="s">
        <v>256</v>
      </c>
      <c r="D530" s="10">
        <v>3.0</v>
      </c>
      <c r="E530" s="10" t="s">
        <v>575</v>
      </c>
      <c r="G530" s="18" t="s">
        <v>1193</v>
      </c>
      <c r="H530" t="b">
        <v>0</v>
      </c>
    </row>
    <row r="531">
      <c r="A531" s="10" t="s">
        <v>349</v>
      </c>
      <c r="B531" s="10" t="s">
        <v>56</v>
      </c>
      <c r="C531" s="10" t="s">
        <v>256</v>
      </c>
      <c r="D531" s="10">
        <v>3.0</v>
      </c>
      <c r="E531" s="10" t="s">
        <v>1194</v>
      </c>
      <c r="G531" s="18" t="s">
        <v>1195</v>
      </c>
      <c r="H531" t="b">
        <v>0</v>
      </c>
    </row>
    <row r="532">
      <c r="A532" s="10" t="s">
        <v>349</v>
      </c>
      <c r="B532" s="10" t="s">
        <v>56</v>
      </c>
      <c r="C532" s="10" t="s">
        <v>259</v>
      </c>
      <c r="D532" s="10">
        <v>3.0</v>
      </c>
      <c r="E532" s="10" t="s">
        <v>1196</v>
      </c>
      <c r="G532" s="18" t="s">
        <v>1197</v>
      </c>
      <c r="H532" t="b">
        <v>0</v>
      </c>
    </row>
    <row r="533">
      <c r="A533" s="10" t="s">
        <v>349</v>
      </c>
      <c r="B533" s="10" t="s">
        <v>56</v>
      </c>
      <c r="C533" s="10" t="s">
        <v>259</v>
      </c>
      <c r="D533" s="10">
        <v>3.0</v>
      </c>
      <c r="E533" s="10" t="s">
        <v>1198</v>
      </c>
      <c r="G533" s="18" t="s">
        <v>1199</v>
      </c>
      <c r="H533" t="b">
        <v>0</v>
      </c>
    </row>
    <row r="534" ht="19.5" customHeight="1">
      <c r="A534" s="10" t="s">
        <v>349</v>
      </c>
      <c r="B534" s="10" t="s">
        <v>56</v>
      </c>
      <c r="C534" s="10" t="s">
        <v>259</v>
      </c>
      <c r="D534" s="10">
        <v>3.0</v>
      </c>
      <c r="E534" s="10" t="s">
        <v>1200</v>
      </c>
      <c r="G534" s="18" t="s">
        <v>1201</v>
      </c>
      <c r="H534" t="b">
        <v>0</v>
      </c>
    </row>
    <row r="535" ht="15.0" customHeight="1">
      <c r="A535" s="10" t="s">
        <v>349</v>
      </c>
      <c r="B535" s="10" t="s">
        <v>56</v>
      </c>
      <c r="C535" s="10" t="s">
        <v>262</v>
      </c>
      <c r="D535" s="10">
        <v>3.0</v>
      </c>
      <c r="E535" s="10" t="s">
        <v>1202</v>
      </c>
      <c r="G535" s="18" t="s">
        <v>1203</v>
      </c>
      <c r="H535" t="b">
        <v>0</v>
      </c>
    </row>
    <row r="536">
      <c r="A536" s="10" t="s">
        <v>349</v>
      </c>
      <c r="B536" s="10" t="s">
        <v>56</v>
      </c>
      <c r="C536" s="10" t="s">
        <v>262</v>
      </c>
      <c r="D536" s="10">
        <v>3.0</v>
      </c>
      <c r="E536" s="10" t="s">
        <v>1204</v>
      </c>
      <c r="G536" s="18" t="s">
        <v>1205</v>
      </c>
      <c r="H536" t="b">
        <v>0</v>
      </c>
    </row>
    <row r="537">
      <c r="A537" s="10" t="s">
        <v>349</v>
      </c>
      <c r="B537" s="10" t="s">
        <v>56</v>
      </c>
      <c r="C537" s="10" t="s">
        <v>178</v>
      </c>
      <c r="D537" s="10">
        <v>3.0</v>
      </c>
      <c r="E537" s="10" t="s">
        <v>1206</v>
      </c>
      <c r="G537" s="18" t="s">
        <v>1207</v>
      </c>
      <c r="H537" t="b">
        <v>0</v>
      </c>
    </row>
    <row r="538">
      <c r="A538" s="10" t="s">
        <v>349</v>
      </c>
      <c r="B538" s="10" t="s">
        <v>56</v>
      </c>
      <c r="C538" s="10" t="s">
        <v>178</v>
      </c>
      <c r="D538" s="10">
        <v>3.0</v>
      </c>
      <c r="E538" s="10" t="s">
        <v>1208</v>
      </c>
      <c r="G538" s="18" t="s">
        <v>1209</v>
      </c>
      <c r="H538" t="b">
        <v>0</v>
      </c>
    </row>
    <row r="539">
      <c r="A539" s="10" t="s">
        <v>349</v>
      </c>
      <c r="B539" s="10" t="s">
        <v>56</v>
      </c>
      <c r="C539" s="10" t="s">
        <v>267</v>
      </c>
      <c r="D539" s="10">
        <v>3.0</v>
      </c>
      <c r="E539" s="10" t="s">
        <v>1210</v>
      </c>
      <c r="G539" s="18" t="s">
        <v>1211</v>
      </c>
      <c r="H539" t="b">
        <v>0</v>
      </c>
    </row>
    <row r="540" ht="16.5" customHeight="1">
      <c r="A540" s="10" t="s">
        <v>349</v>
      </c>
      <c r="B540" s="10" t="s">
        <v>56</v>
      </c>
      <c r="C540" s="10" t="s">
        <v>267</v>
      </c>
      <c r="D540" s="10">
        <v>3.0</v>
      </c>
      <c r="E540" s="10" t="s">
        <v>1212</v>
      </c>
      <c r="G540" s="18" t="s">
        <v>1213</v>
      </c>
      <c r="H540" t="b">
        <v>0</v>
      </c>
    </row>
    <row r="541">
      <c r="A541" s="10" t="s">
        <v>349</v>
      </c>
      <c r="B541" s="10" t="s">
        <v>56</v>
      </c>
      <c r="C541" s="10" t="s">
        <v>270</v>
      </c>
      <c r="D541" s="10">
        <v>3.0</v>
      </c>
      <c r="E541" s="10" t="s">
        <v>1214</v>
      </c>
      <c r="G541" s="18" t="s">
        <v>1215</v>
      </c>
      <c r="H541" t="b">
        <v>0</v>
      </c>
    </row>
    <row r="542" ht="12.0" customHeight="1">
      <c r="A542" s="10" t="s">
        <v>349</v>
      </c>
      <c r="B542" s="10" t="s">
        <v>56</v>
      </c>
      <c r="C542" s="10" t="s">
        <v>270</v>
      </c>
      <c r="D542" s="10">
        <v>3.0</v>
      </c>
      <c r="E542" s="10" t="s">
        <v>1216</v>
      </c>
      <c r="G542" s="18" t="s">
        <v>1217</v>
      </c>
      <c r="H542" t="b">
        <v>0</v>
      </c>
    </row>
    <row r="543" ht="18.0" customHeight="1">
      <c r="A543" s="66" t="s">
        <v>337</v>
      </c>
      <c r="B543" s="10" t="s">
        <v>56</v>
      </c>
      <c r="C543" s="66"/>
      <c r="D543" s="67">
        <v>4.0</v>
      </c>
      <c r="E543" s="66" t="s">
        <v>372</v>
      </c>
      <c r="F543" s="66"/>
      <c r="G543" s="65" t="s">
        <v>433</v>
      </c>
      <c r="H543" s="68" t="b">
        <v>1</v>
      </c>
      <c r="I543" s="69" t="s">
        <v>374</v>
      </c>
    </row>
    <row r="544">
      <c r="A544" s="41" t="s">
        <v>341</v>
      </c>
      <c r="B544" s="10" t="s">
        <v>56</v>
      </c>
      <c r="D544" s="10">
        <v>5.0</v>
      </c>
      <c r="E544" s="10" t="s">
        <v>1218</v>
      </c>
      <c r="G544" s="18" t="s">
        <v>1219</v>
      </c>
      <c r="H544" s="13" t="b">
        <v>0</v>
      </c>
    </row>
    <row r="545">
      <c r="A545" s="41" t="s">
        <v>341</v>
      </c>
      <c r="B545" s="10" t="s">
        <v>56</v>
      </c>
      <c r="D545" s="72">
        <v>7.0</v>
      </c>
      <c r="E545" s="50" t="s">
        <v>962</v>
      </c>
      <c r="G545" s="18" t="s">
        <v>1220</v>
      </c>
      <c r="H545" s="13" t="b">
        <v>0</v>
      </c>
    </row>
    <row r="546" ht="15.75" customHeight="1">
      <c r="A546" s="66" t="s">
        <v>337</v>
      </c>
      <c r="B546" s="10" t="s">
        <v>56</v>
      </c>
      <c r="C546" s="66"/>
      <c r="D546" s="70">
        <v>8.0</v>
      </c>
      <c r="E546" s="66" t="s">
        <v>372</v>
      </c>
      <c r="F546" s="66"/>
      <c r="G546" s="65" t="s">
        <v>433</v>
      </c>
      <c r="H546" s="68" t="b">
        <v>1</v>
      </c>
      <c r="I546" s="69" t="s">
        <v>374</v>
      </c>
    </row>
    <row r="547">
      <c r="A547" s="10" t="s">
        <v>349</v>
      </c>
      <c r="B547" s="10" t="s">
        <v>56</v>
      </c>
      <c r="C547" s="10" t="s">
        <v>253</v>
      </c>
      <c r="D547" s="10">
        <v>9.0</v>
      </c>
      <c r="E547" s="10" t="s">
        <v>1221</v>
      </c>
      <c r="G547" s="18" t="s">
        <v>1222</v>
      </c>
      <c r="H547" t="b">
        <v>0</v>
      </c>
    </row>
    <row r="548" ht="24.0" customHeight="1">
      <c r="A548" s="10" t="s">
        <v>349</v>
      </c>
      <c r="B548" s="10" t="s">
        <v>56</v>
      </c>
      <c r="C548" s="10" t="s">
        <v>256</v>
      </c>
      <c r="D548" s="10">
        <v>9.0</v>
      </c>
      <c r="E548" s="10" t="s">
        <v>1223</v>
      </c>
      <c r="G548" s="18" t="s">
        <v>1224</v>
      </c>
      <c r="H548" t="b">
        <v>0</v>
      </c>
    </row>
    <row r="549">
      <c r="A549" s="10" t="s">
        <v>349</v>
      </c>
      <c r="B549" s="10" t="s">
        <v>56</v>
      </c>
      <c r="C549" s="10" t="s">
        <v>259</v>
      </c>
      <c r="D549" s="10">
        <v>9.0</v>
      </c>
      <c r="E549" s="10" t="s">
        <v>1225</v>
      </c>
      <c r="G549" s="18" t="s">
        <v>1226</v>
      </c>
      <c r="H549" t="b">
        <v>0</v>
      </c>
    </row>
    <row r="550" ht="20.25" customHeight="1">
      <c r="A550" s="10" t="s">
        <v>349</v>
      </c>
      <c r="B550" s="10" t="s">
        <v>56</v>
      </c>
      <c r="C550" s="10" t="s">
        <v>262</v>
      </c>
      <c r="D550" s="10">
        <v>9.0</v>
      </c>
      <c r="E550" s="10" t="s">
        <v>1227</v>
      </c>
      <c r="G550" s="18" t="s">
        <v>1228</v>
      </c>
      <c r="H550" t="b">
        <v>0</v>
      </c>
    </row>
    <row r="551">
      <c r="A551" s="10" t="s">
        <v>349</v>
      </c>
      <c r="B551" s="10" t="s">
        <v>56</v>
      </c>
      <c r="C551" s="10" t="s">
        <v>178</v>
      </c>
      <c r="D551" s="10">
        <v>9.0</v>
      </c>
      <c r="E551" s="10" t="s">
        <v>1229</v>
      </c>
      <c r="G551" s="18" t="s">
        <v>1230</v>
      </c>
      <c r="H551" t="b">
        <v>0</v>
      </c>
    </row>
    <row r="552" ht="19.5" customHeight="1">
      <c r="A552" s="10" t="s">
        <v>349</v>
      </c>
      <c r="B552" s="10" t="s">
        <v>56</v>
      </c>
      <c r="C552" s="10" t="s">
        <v>267</v>
      </c>
      <c r="D552" s="10">
        <v>9.0</v>
      </c>
      <c r="E552" s="10" t="s">
        <v>1231</v>
      </c>
      <c r="G552" s="18" t="s">
        <v>1232</v>
      </c>
      <c r="H552" t="b">
        <v>0</v>
      </c>
    </row>
    <row r="553">
      <c r="A553" s="10" t="s">
        <v>349</v>
      </c>
      <c r="B553" s="10" t="s">
        <v>56</v>
      </c>
      <c r="C553" s="10" t="s">
        <v>270</v>
      </c>
      <c r="D553" s="10">
        <v>9.0</v>
      </c>
      <c r="E553" s="10" t="s">
        <v>1233</v>
      </c>
      <c r="G553" s="18" t="s">
        <v>1234</v>
      </c>
      <c r="H553" t="b">
        <v>0</v>
      </c>
    </row>
    <row r="554">
      <c r="A554" s="41" t="s">
        <v>341</v>
      </c>
      <c r="B554" s="10" t="s">
        <v>56</v>
      </c>
      <c r="D554" s="72">
        <v>11.0</v>
      </c>
      <c r="E554" s="50" t="s">
        <v>1235</v>
      </c>
      <c r="G554" s="18" t="s">
        <v>1236</v>
      </c>
      <c r="H554" s="13" t="b">
        <v>0</v>
      </c>
    </row>
    <row r="555" ht="13.5" customHeight="1">
      <c r="A555" s="66" t="s">
        <v>337</v>
      </c>
      <c r="B555" s="10" t="s">
        <v>56</v>
      </c>
      <c r="C555" s="66"/>
      <c r="D555" s="70">
        <v>12.0</v>
      </c>
      <c r="E555" s="66" t="s">
        <v>372</v>
      </c>
      <c r="F555" s="66"/>
      <c r="G555" s="65" t="s">
        <v>433</v>
      </c>
      <c r="H555" s="68" t="b">
        <v>1</v>
      </c>
      <c r="I555" s="69" t="s">
        <v>374</v>
      </c>
    </row>
    <row r="556">
      <c r="A556" s="10" t="s">
        <v>349</v>
      </c>
      <c r="B556" s="10" t="s">
        <v>56</v>
      </c>
      <c r="C556" s="10" t="s">
        <v>253</v>
      </c>
      <c r="D556" s="10">
        <v>13.0</v>
      </c>
      <c r="E556" s="10" t="s">
        <v>1237</v>
      </c>
      <c r="G556" s="18" t="s">
        <v>1238</v>
      </c>
      <c r="H556" t="b">
        <v>0</v>
      </c>
    </row>
    <row r="557" ht="12.75" customHeight="1">
      <c r="A557" s="10" t="s">
        <v>349</v>
      </c>
      <c r="B557" s="10" t="s">
        <v>56</v>
      </c>
      <c r="C557" s="10" t="s">
        <v>256</v>
      </c>
      <c r="D557" s="10">
        <v>13.0</v>
      </c>
      <c r="E557" s="10" t="s">
        <v>1239</v>
      </c>
      <c r="G557" s="18" t="s">
        <v>1240</v>
      </c>
      <c r="H557" t="b">
        <v>0</v>
      </c>
    </row>
    <row r="558" ht="12.75" customHeight="1">
      <c r="A558" s="10" t="s">
        <v>349</v>
      </c>
      <c r="B558" s="10" t="s">
        <v>56</v>
      </c>
      <c r="C558" s="10" t="s">
        <v>259</v>
      </c>
      <c r="D558" s="10">
        <v>13.0</v>
      </c>
      <c r="E558" s="10" t="s">
        <v>1241</v>
      </c>
      <c r="G558" s="18" t="s">
        <v>1242</v>
      </c>
      <c r="H558" t="b">
        <v>0</v>
      </c>
    </row>
    <row r="559">
      <c r="A559" s="10" t="s">
        <v>349</v>
      </c>
      <c r="B559" s="10" t="s">
        <v>56</v>
      </c>
      <c r="C559" s="10" t="s">
        <v>262</v>
      </c>
      <c r="D559" s="10">
        <v>13.0</v>
      </c>
      <c r="E559" s="10" t="s">
        <v>1243</v>
      </c>
      <c r="G559" s="18" t="s">
        <v>1244</v>
      </c>
      <c r="H559" t="b">
        <v>0</v>
      </c>
    </row>
    <row r="560" ht="17.25" customHeight="1">
      <c r="A560" s="10" t="s">
        <v>349</v>
      </c>
      <c r="B560" s="10" t="s">
        <v>56</v>
      </c>
      <c r="C560" s="10" t="s">
        <v>178</v>
      </c>
      <c r="D560" s="10">
        <v>13.0</v>
      </c>
      <c r="E560" s="10" t="s">
        <v>1245</v>
      </c>
      <c r="G560" s="18" t="s">
        <v>1246</v>
      </c>
      <c r="H560" t="b">
        <v>0</v>
      </c>
    </row>
    <row r="561">
      <c r="A561" s="10" t="s">
        <v>349</v>
      </c>
      <c r="B561" s="10" t="s">
        <v>56</v>
      </c>
      <c r="C561" s="10" t="s">
        <v>267</v>
      </c>
      <c r="D561" s="10">
        <v>13.0</v>
      </c>
      <c r="E561" s="10" t="s">
        <v>1247</v>
      </c>
      <c r="G561" s="18" t="s">
        <v>1248</v>
      </c>
      <c r="H561" t="b">
        <v>0</v>
      </c>
    </row>
    <row r="562">
      <c r="A562" s="10" t="s">
        <v>349</v>
      </c>
      <c r="B562" s="10" t="s">
        <v>56</v>
      </c>
      <c r="C562" s="10" t="s">
        <v>270</v>
      </c>
      <c r="D562" s="10">
        <v>13.0</v>
      </c>
      <c r="E562" s="10" t="s">
        <v>1249</v>
      </c>
      <c r="G562" s="18" t="s">
        <v>1250</v>
      </c>
      <c r="H562" t="b">
        <v>0</v>
      </c>
    </row>
    <row r="563">
      <c r="A563" s="41" t="s">
        <v>341</v>
      </c>
      <c r="B563" s="10" t="s">
        <v>56</v>
      </c>
      <c r="D563" s="10">
        <v>14.0</v>
      </c>
      <c r="E563" s="10" t="s">
        <v>1251</v>
      </c>
      <c r="G563" s="18" t="s">
        <v>1252</v>
      </c>
      <c r="H563" s="13" t="b">
        <v>0</v>
      </c>
    </row>
    <row r="564">
      <c r="A564" s="41" t="s">
        <v>341</v>
      </c>
      <c r="B564" s="10" t="s">
        <v>56</v>
      </c>
      <c r="D564" s="10">
        <v>15.0</v>
      </c>
      <c r="E564" s="10" t="s">
        <v>1253</v>
      </c>
      <c r="G564" s="18" t="s">
        <v>1254</v>
      </c>
      <c r="H564" s="13" t="b">
        <v>0</v>
      </c>
    </row>
    <row r="565" ht="19.5" customHeight="1">
      <c r="A565" s="66" t="s">
        <v>337</v>
      </c>
      <c r="B565" s="10" t="s">
        <v>56</v>
      </c>
      <c r="C565" s="66"/>
      <c r="D565" s="70">
        <v>16.0</v>
      </c>
      <c r="E565" s="66" t="s">
        <v>372</v>
      </c>
      <c r="F565" s="66"/>
      <c r="G565" s="65" t="s">
        <v>433</v>
      </c>
      <c r="H565" s="68" t="b">
        <v>1</v>
      </c>
      <c r="I565" s="69" t="s">
        <v>374</v>
      </c>
    </row>
    <row r="566" ht="23.25" customHeight="1">
      <c r="A566" s="10" t="s">
        <v>349</v>
      </c>
      <c r="B566" s="10" t="s">
        <v>56</v>
      </c>
      <c r="C566" s="10" t="s">
        <v>253</v>
      </c>
      <c r="D566" s="10">
        <v>17.0</v>
      </c>
      <c r="E566" s="10" t="s">
        <v>1255</v>
      </c>
      <c r="G566" s="18" t="s">
        <v>1256</v>
      </c>
      <c r="H566" t="b">
        <v>0</v>
      </c>
    </row>
    <row r="567">
      <c r="A567" s="10" t="s">
        <v>349</v>
      </c>
      <c r="B567" s="10" t="s">
        <v>56</v>
      </c>
      <c r="C567" s="10" t="s">
        <v>256</v>
      </c>
      <c r="D567" s="10">
        <v>17.0</v>
      </c>
      <c r="E567" s="10" t="s">
        <v>1257</v>
      </c>
      <c r="G567" s="18" t="s">
        <v>1258</v>
      </c>
      <c r="H567" t="b">
        <v>0</v>
      </c>
    </row>
    <row r="568">
      <c r="A568" s="10" t="s">
        <v>349</v>
      </c>
      <c r="B568" s="10" t="s">
        <v>56</v>
      </c>
      <c r="C568" s="10" t="s">
        <v>259</v>
      </c>
      <c r="D568" s="10">
        <v>17.0</v>
      </c>
      <c r="E568" s="10" t="s">
        <v>1259</v>
      </c>
      <c r="G568" s="18" t="s">
        <v>1260</v>
      </c>
      <c r="H568" t="b">
        <v>0</v>
      </c>
    </row>
    <row r="569" ht="13.5" customHeight="1">
      <c r="A569" s="10" t="s">
        <v>349</v>
      </c>
      <c r="B569" s="10" t="s">
        <v>56</v>
      </c>
      <c r="C569" s="10" t="s">
        <v>262</v>
      </c>
      <c r="D569" s="10">
        <v>17.0</v>
      </c>
      <c r="E569" s="10" t="s">
        <v>1261</v>
      </c>
      <c r="G569" s="18" t="s">
        <v>1262</v>
      </c>
      <c r="H569" t="b">
        <v>0</v>
      </c>
      <c r="I569" s="71"/>
    </row>
    <row r="570">
      <c r="A570" s="10" t="s">
        <v>349</v>
      </c>
      <c r="B570" s="10" t="s">
        <v>56</v>
      </c>
      <c r="C570" s="10" t="s">
        <v>178</v>
      </c>
      <c r="D570" s="10">
        <v>17.0</v>
      </c>
      <c r="E570" s="10" t="s">
        <v>1263</v>
      </c>
      <c r="G570" s="18" t="s">
        <v>1264</v>
      </c>
      <c r="H570" t="b">
        <v>0</v>
      </c>
    </row>
    <row r="571">
      <c r="A571" s="10" t="s">
        <v>349</v>
      </c>
      <c r="B571" s="10" t="s">
        <v>56</v>
      </c>
      <c r="C571" s="10" t="s">
        <v>267</v>
      </c>
      <c r="D571" s="10">
        <v>17.0</v>
      </c>
      <c r="E571" s="10" t="s">
        <v>1265</v>
      </c>
      <c r="G571" s="18" t="s">
        <v>1266</v>
      </c>
      <c r="H571" t="b">
        <v>0</v>
      </c>
    </row>
    <row r="572">
      <c r="A572" s="10" t="s">
        <v>349</v>
      </c>
      <c r="B572" s="10" t="s">
        <v>56</v>
      </c>
      <c r="C572" s="10" t="s">
        <v>270</v>
      </c>
      <c r="D572" s="10">
        <v>17.0</v>
      </c>
      <c r="E572" s="10" t="s">
        <v>1267</v>
      </c>
      <c r="G572" s="18" t="s">
        <v>1268</v>
      </c>
      <c r="H572" t="b">
        <v>0</v>
      </c>
    </row>
    <row r="573">
      <c r="A573" s="41" t="s">
        <v>341</v>
      </c>
      <c r="B573" s="10" t="s">
        <v>56</v>
      </c>
      <c r="D573" s="10">
        <v>18.0</v>
      </c>
      <c r="E573" s="10" t="s">
        <v>1269</v>
      </c>
      <c r="G573" s="18" t="s">
        <v>1270</v>
      </c>
      <c r="H573" s="13" t="b">
        <v>0</v>
      </c>
    </row>
    <row r="574" ht="21.0" customHeight="1">
      <c r="A574" s="66" t="s">
        <v>337</v>
      </c>
      <c r="B574" s="10" t="s">
        <v>56</v>
      </c>
      <c r="C574" s="66"/>
      <c r="D574" s="70">
        <v>19.0</v>
      </c>
      <c r="E574" s="66" t="s">
        <v>372</v>
      </c>
      <c r="F574" s="66"/>
      <c r="G574" s="65" t="s">
        <v>433</v>
      </c>
      <c r="H574" s="68" t="b">
        <v>1</v>
      </c>
      <c r="I574" s="69" t="s">
        <v>374</v>
      </c>
    </row>
    <row r="575" ht="15.0" customHeight="1">
      <c r="A575" s="41" t="s">
        <v>341</v>
      </c>
      <c r="B575" s="10" t="s">
        <v>56</v>
      </c>
      <c r="D575" s="10">
        <v>20.0</v>
      </c>
      <c r="E575" s="10" t="s">
        <v>1271</v>
      </c>
      <c r="G575" s="18" t="s">
        <v>1272</v>
      </c>
      <c r="H575" s="13" t="b">
        <v>1</v>
      </c>
      <c r="I575" s="63" t="s">
        <v>1273</v>
      </c>
    </row>
    <row r="576" ht="18.0" customHeight="1">
      <c r="A576" s="41" t="s">
        <v>337</v>
      </c>
      <c r="B576" s="10" t="s">
        <v>60</v>
      </c>
      <c r="C576" s="10"/>
      <c r="D576" s="10">
        <v>0.0</v>
      </c>
      <c r="E576" s="10"/>
      <c r="G576" s="18" t="s">
        <v>1274</v>
      </c>
      <c r="H576" s="53" t="b">
        <v>1</v>
      </c>
      <c r="I576" s="59" t="s">
        <v>340</v>
      </c>
    </row>
    <row r="577">
      <c r="A577" s="10" t="s">
        <v>349</v>
      </c>
      <c r="B577" s="10" t="s">
        <v>60</v>
      </c>
      <c r="C577" s="10" t="s">
        <v>273</v>
      </c>
      <c r="D577" s="10">
        <v>1.0</v>
      </c>
      <c r="E577" s="10" t="s">
        <v>1275</v>
      </c>
      <c r="G577" s="18" t="s">
        <v>1276</v>
      </c>
      <c r="H577" t="b">
        <v>0</v>
      </c>
    </row>
    <row r="578" ht="24.0" customHeight="1">
      <c r="A578" s="10" t="s">
        <v>349</v>
      </c>
      <c r="B578" s="10" t="s">
        <v>60</v>
      </c>
      <c r="C578" s="10" t="s">
        <v>273</v>
      </c>
      <c r="D578" s="10">
        <v>1.0</v>
      </c>
      <c r="E578" s="10" t="s">
        <v>1277</v>
      </c>
      <c r="G578" s="18" t="s">
        <v>1278</v>
      </c>
      <c r="H578" t="b">
        <v>0</v>
      </c>
    </row>
    <row r="579" ht="19.5" customHeight="1">
      <c r="A579" s="10" t="s">
        <v>349</v>
      </c>
      <c r="B579" s="10" t="s">
        <v>60</v>
      </c>
      <c r="C579" s="10" t="s">
        <v>276</v>
      </c>
      <c r="D579" s="10">
        <v>1.0</v>
      </c>
      <c r="E579" s="10" t="s">
        <v>1279</v>
      </c>
      <c r="G579" s="18" t="s">
        <v>1280</v>
      </c>
      <c r="H579" t="b">
        <v>0</v>
      </c>
    </row>
    <row r="580" ht="23.25" customHeight="1">
      <c r="A580" s="10" t="s">
        <v>349</v>
      </c>
      <c r="B580" s="10" t="s">
        <v>60</v>
      </c>
      <c r="C580" s="10" t="s">
        <v>276</v>
      </c>
      <c r="D580" s="10">
        <v>1.0</v>
      </c>
      <c r="E580" s="10" t="s">
        <v>1281</v>
      </c>
      <c r="G580" s="18" t="s">
        <v>1282</v>
      </c>
      <c r="H580" t="b">
        <v>0</v>
      </c>
    </row>
    <row r="581">
      <c r="A581" s="10" t="s">
        <v>349</v>
      </c>
      <c r="B581" s="10" t="s">
        <v>60</v>
      </c>
      <c r="C581" s="10" t="s">
        <v>279</v>
      </c>
      <c r="D581" s="10">
        <v>1.0</v>
      </c>
      <c r="E581" s="10" t="s">
        <v>1283</v>
      </c>
      <c r="G581" s="18" t="s">
        <v>1284</v>
      </c>
      <c r="H581" t="b">
        <v>0</v>
      </c>
    </row>
    <row r="582">
      <c r="A582" s="10" t="s">
        <v>349</v>
      </c>
      <c r="B582" s="10" t="s">
        <v>60</v>
      </c>
      <c r="C582" s="10" t="s">
        <v>279</v>
      </c>
      <c r="D582" s="10">
        <v>1.0</v>
      </c>
      <c r="E582" s="10" t="s">
        <v>1285</v>
      </c>
      <c r="G582" s="18" t="s">
        <v>1286</v>
      </c>
      <c r="H582" t="b">
        <v>1</v>
      </c>
    </row>
    <row r="583">
      <c r="A583" s="10" t="s">
        <v>349</v>
      </c>
      <c r="B583" s="10" t="s">
        <v>60</v>
      </c>
      <c r="C583" s="10" t="s">
        <v>281</v>
      </c>
      <c r="D583" s="10">
        <v>1.0</v>
      </c>
      <c r="E583" s="10" t="s">
        <v>1287</v>
      </c>
      <c r="G583" s="18" t="s">
        <v>1288</v>
      </c>
      <c r="H583" t="b">
        <v>0</v>
      </c>
    </row>
    <row r="584" ht="22.5" customHeight="1">
      <c r="A584" s="10" t="s">
        <v>349</v>
      </c>
      <c r="B584" s="10" t="s">
        <v>60</v>
      </c>
      <c r="C584" s="10" t="s">
        <v>281</v>
      </c>
      <c r="D584" s="10">
        <v>1.0</v>
      </c>
      <c r="E584" s="10" t="s">
        <v>1289</v>
      </c>
      <c r="G584" s="18" t="s">
        <v>1290</v>
      </c>
      <c r="H584" t="b">
        <v>0</v>
      </c>
    </row>
    <row r="585" ht="15.75" customHeight="1">
      <c r="A585" s="10" t="s">
        <v>349</v>
      </c>
      <c r="B585" s="10" t="s">
        <v>60</v>
      </c>
      <c r="C585" s="10" t="s">
        <v>283</v>
      </c>
      <c r="D585" s="10">
        <v>1.0</v>
      </c>
      <c r="E585" s="10" t="s">
        <v>1291</v>
      </c>
      <c r="G585" s="18" t="s">
        <v>1292</v>
      </c>
      <c r="H585" t="b">
        <v>0</v>
      </c>
    </row>
    <row r="586" ht="24.0" customHeight="1">
      <c r="A586" s="10" t="s">
        <v>349</v>
      </c>
      <c r="B586" s="10" t="s">
        <v>60</v>
      </c>
      <c r="C586" s="10" t="s">
        <v>285</v>
      </c>
      <c r="D586" s="10">
        <v>1.0</v>
      </c>
      <c r="E586" s="10" t="s">
        <v>1293</v>
      </c>
      <c r="G586" s="18" t="s">
        <v>1294</v>
      </c>
      <c r="H586" t="b">
        <v>0</v>
      </c>
    </row>
    <row r="587" ht="18.75" customHeight="1">
      <c r="A587" s="10" t="s">
        <v>349</v>
      </c>
      <c r="B587" s="10" t="s">
        <v>60</v>
      </c>
      <c r="C587" s="10" t="s">
        <v>285</v>
      </c>
      <c r="D587" s="10">
        <v>1.0</v>
      </c>
      <c r="E587" s="10" t="s">
        <v>1295</v>
      </c>
      <c r="G587" s="18" t="s">
        <v>1296</v>
      </c>
      <c r="H587" t="b">
        <v>0</v>
      </c>
    </row>
    <row r="588" ht="22.5" customHeight="1">
      <c r="A588" s="10" t="s">
        <v>349</v>
      </c>
      <c r="B588" s="10" t="s">
        <v>60</v>
      </c>
      <c r="C588" s="10" t="s">
        <v>286</v>
      </c>
      <c r="D588" s="10">
        <v>1.0</v>
      </c>
      <c r="E588" s="10" t="s">
        <v>1297</v>
      </c>
      <c r="G588" s="18" t="s">
        <v>1298</v>
      </c>
      <c r="H588" t="b">
        <v>0</v>
      </c>
    </row>
    <row r="589" ht="12.0" customHeight="1">
      <c r="A589" s="10" t="s">
        <v>349</v>
      </c>
      <c r="B589" s="10" t="s">
        <v>60</v>
      </c>
      <c r="C589" s="10" t="s">
        <v>286</v>
      </c>
      <c r="D589" s="10">
        <v>1.0</v>
      </c>
      <c r="E589" s="10" t="s">
        <v>1299</v>
      </c>
      <c r="G589" s="18" t="s">
        <v>1300</v>
      </c>
      <c r="H589" t="b">
        <v>0</v>
      </c>
    </row>
    <row r="590">
      <c r="A590" s="10" t="s">
        <v>349</v>
      </c>
      <c r="B590" s="10" t="s">
        <v>60</v>
      </c>
      <c r="C590" s="10" t="s">
        <v>287</v>
      </c>
      <c r="D590" s="10">
        <v>1.0</v>
      </c>
      <c r="E590" s="10" t="s">
        <v>575</v>
      </c>
      <c r="G590" s="18" t="s">
        <v>1301</v>
      </c>
      <c r="H590" t="b">
        <v>0</v>
      </c>
    </row>
    <row r="591">
      <c r="A591" s="10" t="s">
        <v>349</v>
      </c>
      <c r="B591" s="10" t="s">
        <v>60</v>
      </c>
      <c r="C591" s="10" t="s">
        <v>287</v>
      </c>
      <c r="D591" s="10">
        <v>1.0</v>
      </c>
      <c r="E591" s="10" t="s">
        <v>1302</v>
      </c>
      <c r="G591" s="18" t="s">
        <v>1303</v>
      </c>
      <c r="H591" t="b">
        <v>0</v>
      </c>
    </row>
    <row r="592" ht="18.75" customHeight="1">
      <c r="A592" s="10" t="s">
        <v>349</v>
      </c>
      <c r="B592" s="10" t="s">
        <v>60</v>
      </c>
      <c r="C592" s="10" t="s">
        <v>287</v>
      </c>
      <c r="D592" s="10">
        <v>1.0</v>
      </c>
      <c r="E592" s="10" t="s">
        <v>1304</v>
      </c>
      <c r="G592" s="18" t="s">
        <v>1305</v>
      </c>
      <c r="H592" t="b">
        <v>0</v>
      </c>
    </row>
    <row r="593">
      <c r="A593" s="10" t="s">
        <v>349</v>
      </c>
      <c r="B593" s="10" t="s">
        <v>60</v>
      </c>
      <c r="C593" s="10" t="s">
        <v>288</v>
      </c>
      <c r="D593" s="10">
        <v>1.0</v>
      </c>
      <c r="E593" s="10" t="s">
        <v>1306</v>
      </c>
      <c r="G593" s="18" t="s">
        <v>1307</v>
      </c>
      <c r="H593" t="b">
        <v>0</v>
      </c>
    </row>
    <row r="594">
      <c r="A594" s="10" t="s">
        <v>349</v>
      </c>
      <c r="B594" s="10" t="s">
        <v>60</v>
      </c>
      <c r="C594" s="10" t="s">
        <v>288</v>
      </c>
      <c r="D594" s="10">
        <v>1.0</v>
      </c>
      <c r="E594" s="10" t="s">
        <v>1308</v>
      </c>
      <c r="G594" s="18" t="s">
        <v>1309</v>
      </c>
      <c r="H594" t="b">
        <v>0</v>
      </c>
    </row>
    <row r="595">
      <c r="A595" s="10" t="s">
        <v>349</v>
      </c>
      <c r="B595" s="10" t="s">
        <v>60</v>
      </c>
      <c r="C595" s="10" t="s">
        <v>289</v>
      </c>
      <c r="D595" s="10">
        <v>1.0</v>
      </c>
      <c r="E595" s="10" t="s">
        <v>1310</v>
      </c>
      <c r="G595" s="18" t="s">
        <v>1311</v>
      </c>
      <c r="H595" t="b">
        <v>1</v>
      </c>
      <c r="I595" s="45" t="s">
        <v>1312</v>
      </c>
    </row>
    <row r="596" ht="18.75" customHeight="1">
      <c r="A596" s="10" t="s">
        <v>349</v>
      </c>
      <c r="B596" s="10" t="s">
        <v>60</v>
      </c>
      <c r="C596" s="10" t="s">
        <v>289</v>
      </c>
      <c r="D596" s="10">
        <v>1.0</v>
      </c>
      <c r="E596" s="10" t="s">
        <v>1313</v>
      </c>
      <c r="G596" s="18" t="s">
        <v>1314</v>
      </c>
      <c r="H596" t="b">
        <v>1</v>
      </c>
    </row>
    <row r="597" ht="24.0" customHeight="1">
      <c r="A597" s="41" t="s">
        <v>341</v>
      </c>
      <c r="B597" s="10" t="s">
        <v>60</v>
      </c>
      <c r="D597" s="10">
        <v>2.0</v>
      </c>
      <c r="E597" s="10" t="s">
        <v>1315</v>
      </c>
      <c r="G597" s="18" t="s">
        <v>1316</v>
      </c>
      <c r="H597" s="13" t="b">
        <v>0</v>
      </c>
    </row>
    <row r="598" ht="19.5" customHeight="1">
      <c r="A598" s="41" t="s">
        <v>341</v>
      </c>
      <c r="B598" s="10" t="s">
        <v>60</v>
      </c>
      <c r="D598" s="10">
        <v>3.0</v>
      </c>
      <c r="E598" s="10" t="s">
        <v>1317</v>
      </c>
      <c r="G598" s="18" t="s">
        <v>1318</v>
      </c>
      <c r="H598" s="13" t="b">
        <v>0</v>
      </c>
    </row>
    <row r="599" ht="18.75" customHeight="1">
      <c r="A599" s="66" t="s">
        <v>337</v>
      </c>
      <c r="B599" s="10" t="s">
        <v>60</v>
      </c>
      <c r="C599" s="66"/>
      <c r="D599" s="70">
        <v>4.0</v>
      </c>
      <c r="E599" s="66" t="s">
        <v>372</v>
      </c>
      <c r="F599" s="66"/>
      <c r="G599" s="65" t="s">
        <v>433</v>
      </c>
      <c r="H599" s="68" t="b">
        <v>1</v>
      </c>
      <c r="I599" s="69" t="s">
        <v>374</v>
      </c>
    </row>
    <row r="600">
      <c r="A600" s="10" t="s">
        <v>349</v>
      </c>
      <c r="B600" s="10" t="s">
        <v>60</v>
      </c>
      <c r="C600" s="10" t="s">
        <v>273</v>
      </c>
      <c r="D600" s="10">
        <v>6.0</v>
      </c>
      <c r="E600" s="10" t="s">
        <v>1319</v>
      </c>
      <c r="G600" s="18" t="s">
        <v>1320</v>
      </c>
      <c r="H600" t="b">
        <v>0</v>
      </c>
    </row>
    <row r="601">
      <c r="A601" s="10" t="s">
        <v>349</v>
      </c>
      <c r="B601" s="10" t="s">
        <v>60</v>
      </c>
      <c r="C601" s="10" t="s">
        <v>276</v>
      </c>
      <c r="D601" s="10">
        <v>6.0</v>
      </c>
      <c r="E601" s="10" t="s">
        <v>1321</v>
      </c>
      <c r="G601" s="18" t="s">
        <v>1322</v>
      </c>
      <c r="H601" t="b">
        <v>0</v>
      </c>
    </row>
    <row r="602" ht="21.75" customHeight="1">
      <c r="A602" s="10" t="s">
        <v>349</v>
      </c>
      <c r="B602" s="10" t="s">
        <v>60</v>
      </c>
      <c r="C602" s="10" t="s">
        <v>279</v>
      </c>
      <c r="D602" s="10">
        <v>6.0</v>
      </c>
      <c r="E602" s="10" t="s">
        <v>1323</v>
      </c>
      <c r="G602" s="18" t="s">
        <v>1324</v>
      </c>
      <c r="H602" t="b">
        <v>0</v>
      </c>
    </row>
    <row r="603" ht="21.0" customHeight="1">
      <c r="A603" s="10" t="s">
        <v>349</v>
      </c>
      <c r="B603" s="10" t="s">
        <v>60</v>
      </c>
      <c r="C603" s="10" t="s">
        <v>281</v>
      </c>
      <c r="D603" s="10">
        <v>6.0</v>
      </c>
      <c r="E603" s="10" t="s">
        <v>1325</v>
      </c>
      <c r="G603" s="18" t="s">
        <v>1326</v>
      </c>
      <c r="H603" t="b">
        <v>0</v>
      </c>
    </row>
    <row r="604">
      <c r="A604" s="10" t="s">
        <v>349</v>
      </c>
      <c r="B604" s="10" t="s">
        <v>60</v>
      </c>
      <c r="C604" s="10" t="s">
        <v>283</v>
      </c>
      <c r="D604" s="10">
        <v>6.0</v>
      </c>
      <c r="E604" s="10" t="s">
        <v>1327</v>
      </c>
      <c r="G604" s="18" t="s">
        <v>1328</v>
      </c>
      <c r="H604" t="b">
        <v>0</v>
      </c>
    </row>
    <row r="605" ht="22.5" customHeight="1">
      <c r="A605" s="10" t="s">
        <v>349</v>
      </c>
      <c r="B605" s="10" t="s">
        <v>60</v>
      </c>
      <c r="C605" s="10" t="s">
        <v>285</v>
      </c>
      <c r="D605" s="10">
        <v>6.0</v>
      </c>
      <c r="E605" s="10" t="s">
        <v>1329</v>
      </c>
      <c r="G605" s="18" t="s">
        <v>1330</v>
      </c>
      <c r="H605" t="b">
        <v>0</v>
      </c>
    </row>
    <row r="606" ht="19.5" customHeight="1">
      <c r="A606" s="10" t="s">
        <v>349</v>
      </c>
      <c r="B606" s="10" t="s">
        <v>60</v>
      </c>
      <c r="C606" s="10" t="s">
        <v>287</v>
      </c>
      <c r="D606" s="10">
        <v>6.0</v>
      </c>
      <c r="E606" s="10" t="s">
        <v>1331</v>
      </c>
      <c r="G606" s="18" t="s">
        <v>1332</v>
      </c>
      <c r="H606" t="b">
        <v>0</v>
      </c>
    </row>
    <row r="607" ht="27.75" customHeight="1">
      <c r="A607" s="10" t="s">
        <v>349</v>
      </c>
      <c r="B607" s="10" t="s">
        <v>60</v>
      </c>
      <c r="C607" s="10" t="s">
        <v>286</v>
      </c>
      <c r="D607" s="10">
        <v>6.0</v>
      </c>
      <c r="E607" s="10" t="s">
        <v>1333</v>
      </c>
      <c r="G607" s="18" t="s">
        <v>1334</v>
      </c>
      <c r="H607" t="b">
        <v>0</v>
      </c>
    </row>
    <row r="608" ht="17.25" customHeight="1">
      <c r="A608" s="10" t="s">
        <v>349</v>
      </c>
      <c r="B608" s="10" t="s">
        <v>60</v>
      </c>
      <c r="C608" s="10" t="s">
        <v>288</v>
      </c>
      <c r="D608" s="10">
        <v>6.0</v>
      </c>
      <c r="E608" s="10" t="s">
        <v>1335</v>
      </c>
      <c r="G608" s="18" t="s">
        <v>1336</v>
      </c>
      <c r="H608" t="b">
        <v>0</v>
      </c>
    </row>
    <row r="609" ht="12.0" customHeight="1">
      <c r="A609" s="10" t="s">
        <v>349</v>
      </c>
      <c r="B609" s="10" t="s">
        <v>60</v>
      </c>
      <c r="C609" s="10" t="s">
        <v>288</v>
      </c>
      <c r="D609" s="10">
        <v>6.0</v>
      </c>
      <c r="E609" s="10" t="s">
        <v>1337</v>
      </c>
      <c r="G609" s="18" t="s">
        <v>1338</v>
      </c>
      <c r="H609" t="b">
        <v>0</v>
      </c>
    </row>
    <row r="610">
      <c r="A610" s="10" t="s">
        <v>349</v>
      </c>
      <c r="B610" s="10" t="s">
        <v>60</v>
      </c>
      <c r="C610" s="10" t="s">
        <v>289</v>
      </c>
      <c r="D610" s="10">
        <v>6.0</v>
      </c>
      <c r="E610" s="10" t="s">
        <v>1339</v>
      </c>
      <c r="G610" s="18" t="s">
        <v>1340</v>
      </c>
      <c r="H610" t="b">
        <v>0</v>
      </c>
    </row>
    <row r="611" ht="15.75" customHeight="1">
      <c r="A611" s="66" t="s">
        <v>337</v>
      </c>
      <c r="B611" s="10" t="s">
        <v>60</v>
      </c>
      <c r="C611" s="66"/>
      <c r="D611" s="70">
        <v>8.0</v>
      </c>
      <c r="E611" s="66" t="s">
        <v>372</v>
      </c>
      <c r="F611" s="66"/>
      <c r="G611" s="65" t="s">
        <v>433</v>
      </c>
      <c r="H611" s="68" t="b">
        <v>1</v>
      </c>
      <c r="I611" s="69" t="s">
        <v>374</v>
      </c>
    </row>
    <row r="612" ht="23.25" customHeight="1">
      <c r="A612" s="41" t="s">
        <v>341</v>
      </c>
      <c r="B612" s="10" t="s">
        <v>60</v>
      </c>
      <c r="D612" s="10">
        <v>10.0</v>
      </c>
      <c r="E612" s="10" t="s">
        <v>1317</v>
      </c>
      <c r="G612" s="18" t="s">
        <v>1318</v>
      </c>
      <c r="H612" s="13" t="b">
        <v>0</v>
      </c>
    </row>
    <row r="613">
      <c r="A613" s="66" t="s">
        <v>337</v>
      </c>
      <c r="B613" s="10" t="s">
        <v>60</v>
      </c>
      <c r="C613" s="66"/>
      <c r="D613" s="70">
        <v>12.0</v>
      </c>
      <c r="E613" s="66" t="s">
        <v>372</v>
      </c>
      <c r="F613" s="66"/>
      <c r="G613" s="65" t="s">
        <v>433</v>
      </c>
      <c r="H613" s="68" t="b">
        <v>1</v>
      </c>
      <c r="I613" s="69" t="s">
        <v>374</v>
      </c>
    </row>
    <row r="614" ht="18.0" customHeight="1">
      <c r="A614" s="10" t="s">
        <v>349</v>
      </c>
      <c r="B614" s="10" t="s">
        <v>60</v>
      </c>
      <c r="C614" s="10" t="s">
        <v>273</v>
      </c>
      <c r="D614" s="10">
        <v>14.0</v>
      </c>
      <c r="E614" s="10" t="s">
        <v>1341</v>
      </c>
      <c r="G614" s="18" t="s">
        <v>1342</v>
      </c>
      <c r="H614" t="b">
        <v>0</v>
      </c>
    </row>
    <row r="615" ht="16.5" customHeight="1">
      <c r="A615" s="10" t="s">
        <v>349</v>
      </c>
      <c r="B615" s="10" t="s">
        <v>60</v>
      </c>
      <c r="C615" s="10" t="s">
        <v>276</v>
      </c>
      <c r="D615" s="10">
        <v>14.0</v>
      </c>
      <c r="E615" s="10" t="s">
        <v>1343</v>
      </c>
      <c r="G615" s="18" t="s">
        <v>1344</v>
      </c>
      <c r="H615" t="b">
        <v>0</v>
      </c>
    </row>
    <row r="616" ht="16.5" customHeight="1">
      <c r="A616" s="10" t="s">
        <v>349</v>
      </c>
      <c r="B616" s="10" t="s">
        <v>60</v>
      </c>
      <c r="C616" s="10" t="s">
        <v>279</v>
      </c>
      <c r="D616" s="10">
        <v>14.0</v>
      </c>
      <c r="E616" s="10" t="s">
        <v>1345</v>
      </c>
      <c r="G616" s="18" t="s">
        <v>1346</v>
      </c>
      <c r="H616" t="b">
        <v>0</v>
      </c>
    </row>
    <row r="617">
      <c r="A617" s="10" t="s">
        <v>349</v>
      </c>
      <c r="B617" s="10" t="s">
        <v>60</v>
      </c>
      <c r="C617" s="10" t="s">
        <v>281</v>
      </c>
      <c r="D617" s="10">
        <v>14.0</v>
      </c>
      <c r="E617" s="10" t="s">
        <v>1347</v>
      </c>
      <c r="G617" s="18" t="s">
        <v>1348</v>
      </c>
      <c r="H617" t="b">
        <v>0</v>
      </c>
    </row>
    <row r="618">
      <c r="A618" s="10" t="s">
        <v>349</v>
      </c>
      <c r="B618" s="10" t="s">
        <v>60</v>
      </c>
      <c r="C618" s="10" t="s">
        <v>283</v>
      </c>
      <c r="D618" s="10">
        <v>14.0</v>
      </c>
      <c r="E618" s="10" t="s">
        <v>1349</v>
      </c>
      <c r="G618" s="18" t="s">
        <v>1350</v>
      </c>
      <c r="H618" t="b">
        <v>0</v>
      </c>
    </row>
    <row r="619" ht="18.0" customHeight="1">
      <c r="A619" s="10" t="s">
        <v>349</v>
      </c>
      <c r="B619" s="10" t="s">
        <v>60</v>
      </c>
      <c r="C619" s="10" t="s">
        <v>285</v>
      </c>
      <c r="D619" s="10">
        <v>14.0</v>
      </c>
      <c r="E619" s="10" t="s">
        <v>1351</v>
      </c>
      <c r="G619" s="18" t="s">
        <v>1352</v>
      </c>
      <c r="H619" t="b">
        <v>0</v>
      </c>
    </row>
    <row r="620">
      <c r="A620" s="10" t="s">
        <v>349</v>
      </c>
      <c r="B620" s="10" t="s">
        <v>60</v>
      </c>
      <c r="C620" s="10" t="s">
        <v>287</v>
      </c>
      <c r="D620" s="10">
        <v>14.0</v>
      </c>
      <c r="E620" s="10" t="s">
        <v>1353</v>
      </c>
      <c r="G620" s="18" t="s">
        <v>1354</v>
      </c>
      <c r="H620" t="b">
        <v>0</v>
      </c>
    </row>
    <row r="621">
      <c r="A621" s="10" t="s">
        <v>349</v>
      </c>
      <c r="B621" s="10" t="s">
        <v>60</v>
      </c>
      <c r="C621" s="10" t="s">
        <v>286</v>
      </c>
      <c r="D621" s="10">
        <v>14.0</v>
      </c>
      <c r="E621" s="10" t="s">
        <v>1355</v>
      </c>
      <c r="G621" s="18" t="s">
        <v>1356</v>
      </c>
      <c r="H621" t="b">
        <v>0</v>
      </c>
    </row>
    <row r="622">
      <c r="A622" s="10" t="s">
        <v>349</v>
      </c>
      <c r="B622" s="10" t="s">
        <v>60</v>
      </c>
      <c r="C622" s="10" t="s">
        <v>288</v>
      </c>
      <c r="D622" s="10">
        <v>14.0</v>
      </c>
      <c r="E622" s="10" t="s">
        <v>1357</v>
      </c>
      <c r="G622" s="18" t="s">
        <v>1358</v>
      </c>
      <c r="H622" t="b">
        <v>0</v>
      </c>
    </row>
    <row r="623">
      <c r="A623" s="10" t="s">
        <v>349</v>
      </c>
      <c r="B623" s="10" t="s">
        <v>60</v>
      </c>
      <c r="C623" s="10" t="s">
        <v>289</v>
      </c>
      <c r="D623" s="10">
        <v>14.0</v>
      </c>
      <c r="E623" s="10" t="s">
        <v>1359</v>
      </c>
      <c r="G623" s="18" t="s">
        <v>1360</v>
      </c>
      <c r="H623" t="b">
        <v>1</v>
      </c>
    </row>
    <row r="624" ht="18.0" customHeight="1">
      <c r="A624" s="66" t="s">
        <v>337</v>
      </c>
      <c r="B624" s="10" t="s">
        <v>60</v>
      </c>
      <c r="C624" s="66"/>
      <c r="D624" s="70">
        <v>16.0</v>
      </c>
      <c r="E624" s="66" t="s">
        <v>372</v>
      </c>
      <c r="F624" s="66"/>
      <c r="G624" s="65" t="s">
        <v>433</v>
      </c>
      <c r="H624" s="68" t="b">
        <v>1</v>
      </c>
      <c r="I624" s="69" t="s">
        <v>374</v>
      </c>
    </row>
    <row r="625" ht="15.75" customHeight="1">
      <c r="A625" s="41" t="s">
        <v>341</v>
      </c>
      <c r="B625" s="10" t="s">
        <v>60</v>
      </c>
      <c r="D625" s="10">
        <v>17.0</v>
      </c>
      <c r="E625" s="10" t="s">
        <v>1317</v>
      </c>
      <c r="G625" s="18" t="s">
        <v>1318</v>
      </c>
      <c r="H625" s="13" t="b">
        <v>0</v>
      </c>
    </row>
    <row r="626">
      <c r="A626" s="10" t="s">
        <v>349</v>
      </c>
      <c r="B626" s="10" t="s">
        <v>60</v>
      </c>
      <c r="C626" s="10" t="s">
        <v>273</v>
      </c>
      <c r="D626" s="10">
        <v>18.0</v>
      </c>
      <c r="E626" s="10" t="s">
        <v>1361</v>
      </c>
      <c r="G626" s="18" t="s">
        <v>1362</v>
      </c>
      <c r="H626" t="b">
        <v>0</v>
      </c>
    </row>
    <row r="627" ht="19.5" customHeight="1">
      <c r="A627" s="10" t="s">
        <v>349</v>
      </c>
      <c r="B627" s="10" t="s">
        <v>60</v>
      </c>
      <c r="C627" s="10" t="s">
        <v>276</v>
      </c>
      <c r="D627" s="10">
        <v>18.0</v>
      </c>
      <c r="E627" s="10" t="s">
        <v>1363</v>
      </c>
      <c r="G627" s="18" t="s">
        <v>1364</v>
      </c>
      <c r="H627" t="b">
        <v>0</v>
      </c>
    </row>
    <row r="628" ht="18.0" customHeight="1">
      <c r="A628" s="10" t="s">
        <v>349</v>
      </c>
      <c r="B628" s="10" t="s">
        <v>60</v>
      </c>
      <c r="C628" s="10" t="s">
        <v>279</v>
      </c>
      <c r="D628" s="10">
        <v>18.0</v>
      </c>
      <c r="E628" s="10" t="s">
        <v>899</v>
      </c>
      <c r="G628" s="18" t="s">
        <v>1365</v>
      </c>
      <c r="H628" t="b">
        <v>0</v>
      </c>
    </row>
    <row r="629" ht="24.0" customHeight="1">
      <c r="A629" s="10" t="s">
        <v>349</v>
      </c>
      <c r="B629" s="10" t="s">
        <v>60</v>
      </c>
      <c r="C629" s="10" t="s">
        <v>281</v>
      </c>
      <c r="D629" s="10">
        <v>18.0</v>
      </c>
      <c r="E629" s="10" t="s">
        <v>1366</v>
      </c>
      <c r="G629" s="18" t="s">
        <v>1367</v>
      </c>
      <c r="H629" t="b">
        <v>0</v>
      </c>
    </row>
    <row r="630">
      <c r="A630" s="10" t="s">
        <v>349</v>
      </c>
      <c r="B630" s="10" t="s">
        <v>60</v>
      </c>
      <c r="C630" s="10" t="s">
        <v>283</v>
      </c>
      <c r="D630" s="10">
        <v>18.0</v>
      </c>
      <c r="E630" s="10" t="s">
        <v>1368</v>
      </c>
      <c r="G630" s="18" t="s">
        <v>1369</v>
      </c>
      <c r="H630" t="b">
        <v>0</v>
      </c>
    </row>
    <row r="631" ht="16.5" customHeight="1">
      <c r="A631" s="10" t="s">
        <v>349</v>
      </c>
      <c r="B631" s="10" t="s">
        <v>60</v>
      </c>
      <c r="C631" s="10" t="s">
        <v>285</v>
      </c>
      <c r="D631" s="10">
        <v>18.0</v>
      </c>
      <c r="E631" s="10" t="s">
        <v>1370</v>
      </c>
      <c r="G631" s="18" t="s">
        <v>1371</v>
      </c>
      <c r="H631" t="b">
        <v>0</v>
      </c>
    </row>
    <row r="632" ht="15.0" customHeight="1">
      <c r="A632" s="10" t="s">
        <v>349</v>
      </c>
      <c r="B632" s="10" t="s">
        <v>60</v>
      </c>
      <c r="C632" s="10" t="s">
        <v>286</v>
      </c>
      <c r="D632" s="10">
        <v>18.0</v>
      </c>
      <c r="E632" s="10" t="s">
        <v>1372</v>
      </c>
      <c r="G632" s="18" t="s">
        <v>1373</v>
      </c>
      <c r="H632" t="b">
        <v>0</v>
      </c>
    </row>
    <row r="633">
      <c r="A633" s="10" t="s">
        <v>349</v>
      </c>
      <c r="B633" s="10" t="s">
        <v>60</v>
      </c>
      <c r="C633" s="10" t="s">
        <v>287</v>
      </c>
      <c r="D633" s="10">
        <v>18.0</v>
      </c>
      <c r="E633" s="10" t="s">
        <v>1374</v>
      </c>
      <c r="G633" s="18" t="s">
        <v>1375</v>
      </c>
      <c r="H633" t="b">
        <v>0</v>
      </c>
    </row>
    <row r="634" ht="17.25" customHeight="1">
      <c r="A634" s="10" t="s">
        <v>349</v>
      </c>
      <c r="B634" s="10" t="s">
        <v>60</v>
      </c>
      <c r="C634" s="10" t="s">
        <v>288</v>
      </c>
      <c r="D634" s="10">
        <v>18.0</v>
      </c>
      <c r="E634" s="10" t="s">
        <v>1376</v>
      </c>
      <c r="G634" s="18" t="s">
        <v>1377</v>
      </c>
      <c r="H634" t="b">
        <v>0</v>
      </c>
    </row>
    <row r="635">
      <c r="A635" s="10" t="s">
        <v>349</v>
      </c>
      <c r="B635" s="10" t="s">
        <v>60</v>
      </c>
      <c r="C635" s="10" t="s">
        <v>289</v>
      </c>
      <c r="D635" s="10">
        <v>18.0</v>
      </c>
      <c r="E635" s="10" t="s">
        <v>1378</v>
      </c>
      <c r="G635" s="18" t="s">
        <v>1379</v>
      </c>
      <c r="H635" t="b">
        <v>0</v>
      </c>
    </row>
    <row r="636" ht="19.5" customHeight="1">
      <c r="A636" s="66" t="s">
        <v>337</v>
      </c>
      <c r="B636" s="10" t="s">
        <v>60</v>
      </c>
      <c r="C636" s="66"/>
      <c r="D636" s="70">
        <v>19.0</v>
      </c>
      <c r="E636" s="66" t="s">
        <v>372</v>
      </c>
      <c r="F636" s="66"/>
      <c r="G636" s="65" t="s">
        <v>433</v>
      </c>
      <c r="H636" s="68" t="b">
        <v>1</v>
      </c>
      <c r="I636" s="69" t="s">
        <v>374</v>
      </c>
    </row>
    <row r="637">
      <c r="A637" s="41" t="s">
        <v>341</v>
      </c>
      <c r="B637" s="10" t="s">
        <v>60</v>
      </c>
      <c r="D637" s="10">
        <v>20.0</v>
      </c>
      <c r="E637" s="10" t="s">
        <v>1380</v>
      </c>
      <c r="G637" s="18" t="s">
        <v>1381</v>
      </c>
      <c r="H637" s="13" t="b">
        <v>1</v>
      </c>
      <c r="I637" s="63" t="s">
        <v>1382</v>
      </c>
    </row>
    <row r="638" ht="18.0" customHeight="1">
      <c r="A638" s="41" t="s">
        <v>337</v>
      </c>
      <c r="B638" s="10" t="s">
        <v>65</v>
      </c>
      <c r="C638" s="10"/>
      <c r="D638" s="10">
        <v>0.0</v>
      </c>
      <c r="E638" s="10"/>
      <c r="G638" s="18" t="s">
        <v>1383</v>
      </c>
      <c r="H638" s="53" t="b">
        <v>1</v>
      </c>
      <c r="I638" s="59" t="s">
        <v>340</v>
      </c>
    </row>
    <row r="639" ht="19.5" customHeight="1">
      <c r="A639" s="10" t="s">
        <v>349</v>
      </c>
      <c r="B639" s="10" t="s">
        <v>65</v>
      </c>
      <c r="C639" s="10" t="s">
        <v>290</v>
      </c>
      <c r="D639" s="10">
        <v>1.0</v>
      </c>
      <c r="E639" s="10" t="s">
        <v>1384</v>
      </c>
      <c r="G639" s="18" t="s">
        <v>1385</v>
      </c>
      <c r="H639" t="b">
        <v>0</v>
      </c>
    </row>
    <row r="640">
      <c r="A640" s="10" t="s">
        <v>349</v>
      </c>
      <c r="B640" s="10" t="s">
        <v>65</v>
      </c>
      <c r="C640" s="10" t="s">
        <v>291</v>
      </c>
      <c r="D640" s="10">
        <v>1.0</v>
      </c>
      <c r="E640" s="10" t="s">
        <v>1386</v>
      </c>
      <c r="G640" s="18" t="s">
        <v>1387</v>
      </c>
      <c r="H640" t="b">
        <v>0</v>
      </c>
    </row>
    <row r="641" ht="23.25" customHeight="1">
      <c r="A641" s="10" t="s">
        <v>349</v>
      </c>
      <c r="B641" s="10" t="s">
        <v>65</v>
      </c>
      <c r="C641" s="10" t="s">
        <v>291</v>
      </c>
      <c r="D641" s="10">
        <v>1.0</v>
      </c>
      <c r="E641" s="10" t="s">
        <v>1388</v>
      </c>
      <c r="G641" s="18" t="s">
        <v>1389</v>
      </c>
      <c r="H641" t="b">
        <v>0</v>
      </c>
    </row>
    <row r="642">
      <c r="A642" s="10" t="s">
        <v>349</v>
      </c>
      <c r="B642" s="10" t="s">
        <v>65</v>
      </c>
      <c r="C642" s="10" t="s">
        <v>292</v>
      </c>
      <c r="D642" s="10">
        <v>1.0</v>
      </c>
      <c r="E642" s="10" t="s">
        <v>1390</v>
      </c>
      <c r="G642" s="18" t="s">
        <v>1391</v>
      </c>
      <c r="H642" t="b">
        <v>0</v>
      </c>
    </row>
    <row r="643">
      <c r="A643" s="10" t="s">
        <v>349</v>
      </c>
      <c r="B643" s="10" t="s">
        <v>65</v>
      </c>
      <c r="C643" s="10" t="s">
        <v>293</v>
      </c>
      <c r="D643" s="10">
        <v>1.0</v>
      </c>
      <c r="E643" s="10" t="s">
        <v>1392</v>
      </c>
      <c r="G643" s="18" t="s">
        <v>1393</v>
      </c>
      <c r="H643" t="b">
        <v>0</v>
      </c>
    </row>
    <row r="644" ht="16.5" customHeight="1">
      <c r="A644" s="10" t="s">
        <v>349</v>
      </c>
      <c r="B644" s="10" t="s">
        <v>65</v>
      </c>
      <c r="C644" s="10" t="s">
        <v>294</v>
      </c>
      <c r="D644" s="10">
        <v>1.0</v>
      </c>
      <c r="E644" s="10" t="s">
        <v>1394</v>
      </c>
      <c r="G644" s="18" t="s">
        <v>1395</v>
      </c>
      <c r="H644" t="b">
        <v>0</v>
      </c>
    </row>
    <row r="645" ht="15.75" customHeight="1">
      <c r="A645" s="10" t="s">
        <v>349</v>
      </c>
      <c r="B645" s="10" t="s">
        <v>65</v>
      </c>
      <c r="C645" s="10" t="s">
        <v>294</v>
      </c>
      <c r="D645" s="10">
        <v>1.0</v>
      </c>
      <c r="E645" s="10" t="s">
        <v>1396</v>
      </c>
      <c r="G645" s="18" t="s">
        <v>1397</v>
      </c>
      <c r="H645" t="b">
        <v>0</v>
      </c>
    </row>
    <row r="646">
      <c r="A646" s="10" t="s">
        <v>349</v>
      </c>
      <c r="B646" s="10" t="s">
        <v>65</v>
      </c>
      <c r="C646" s="10" t="s">
        <v>295</v>
      </c>
      <c r="D646" s="10">
        <v>1.0</v>
      </c>
      <c r="E646" s="10" t="s">
        <v>1398</v>
      </c>
      <c r="G646" s="18" t="s">
        <v>1399</v>
      </c>
      <c r="H646" t="b">
        <v>0</v>
      </c>
    </row>
    <row r="647" ht="24.0" customHeight="1">
      <c r="A647" s="10" t="s">
        <v>349</v>
      </c>
      <c r="B647" s="10" t="s">
        <v>65</v>
      </c>
      <c r="C647" s="10" t="s">
        <v>296</v>
      </c>
      <c r="D647" s="10">
        <v>1.0</v>
      </c>
      <c r="E647" s="10" t="s">
        <v>1400</v>
      </c>
      <c r="G647" s="18" t="s">
        <v>1401</v>
      </c>
      <c r="H647" t="b">
        <v>0</v>
      </c>
    </row>
    <row r="648" ht="18.0" customHeight="1">
      <c r="A648" s="10" t="s">
        <v>349</v>
      </c>
      <c r="B648" s="10" t="s">
        <v>65</v>
      </c>
      <c r="C648" s="10" t="s">
        <v>297</v>
      </c>
      <c r="D648" s="10">
        <v>1.0</v>
      </c>
      <c r="E648" s="10" t="s">
        <v>1402</v>
      </c>
      <c r="G648" s="18" t="s">
        <v>1403</v>
      </c>
      <c r="H648" t="b">
        <v>0</v>
      </c>
    </row>
    <row r="649" ht="18.0" customHeight="1">
      <c r="A649" s="10" t="s">
        <v>349</v>
      </c>
      <c r="B649" s="10" t="s">
        <v>65</v>
      </c>
      <c r="C649" s="10" t="s">
        <v>298</v>
      </c>
      <c r="D649" s="10">
        <v>1.0</v>
      </c>
      <c r="E649" s="10" t="s">
        <v>1404</v>
      </c>
      <c r="G649" s="18" t="s">
        <v>1405</v>
      </c>
      <c r="H649" t="b">
        <v>0</v>
      </c>
    </row>
    <row r="650" ht="23.25" customHeight="1">
      <c r="A650" s="10" t="s">
        <v>349</v>
      </c>
      <c r="B650" s="10" t="s">
        <v>65</v>
      </c>
      <c r="D650" s="10">
        <v>2.0</v>
      </c>
      <c r="E650" s="10" t="s">
        <v>1406</v>
      </c>
      <c r="G650" s="18" t="s">
        <v>1407</v>
      </c>
      <c r="H650" s="13" t="b">
        <v>0</v>
      </c>
    </row>
    <row r="651" ht="13.5" customHeight="1">
      <c r="A651" s="10" t="s">
        <v>349</v>
      </c>
      <c r="B651" s="10" t="s">
        <v>65</v>
      </c>
      <c r="D651" s="10">
        <v>3.0</v>
      </c>
      <c r="E651" s="10" t="s">
        <v>1408</v>
      </c>
      <c r="G651" s="18" t="s">
        <v>1409</v>
      </c>
      <c r="H651" s="13" t="b">
        <v>0</v>
      </c>
    </row>
    <row r="652" ht="13.5" customHeight="1">
      <c r="A652" s="10" t="s">
        <v>349</v>
      </c>
      <c r="B652" s="10" t="s">
        <v>65</v>
      </c>
      <c r="C652" s="10" t="s">
        <v>297</v>
      </c>
      <c r="D652" s="10">
        <v>3.0</v>
      </c>
      <c r="E652" s="10" t="s">
        <v>1410</v>
      </c>
      <c r="G652" s="18" t="s">
        <v>1411</v>
      </c>
      <c r="H652" t="b">
        <v>0</v>
      </c>
    </row>
    <row r="653" ht="20.25" customHeight="1">
      <c r="A653" s="66" t="s">
        <v>337</v>
      </c>
      <c r="B653" s="10" t="s">
        <v>65</v>
      </c>
      <c r="C653" s="66"/>
      <c r="D653" s="70">
        <v>4.0</v>
      </c>
      <c r="E653" s="66" t="s">
        <v>372</v>
      </c>
      <c r="F653" s="66"/>
      <c r="G653" s="65" t="s">
        <v>433</v>
      </c>
      <c r="H653" s="68" t="b">
        <v>1</v>
      </c>
      <c r="I653" s="69" t="s">
        <v>374</v>
      </c>
    </row>
    <row r="654" ht="17.25" customHeight="1">
      <c r="A654" s="10" t="s">
        <v>349</v>
      </c>
      <c r="B654" s="10" t="s">
        <v>65</v>
      </c>
      <c r="C654" s="10" t="s">
        <v>290</v>
      </c>
      <c r="D654" s="10">
        <v>6.0</v>
      </c>
      <c r="E654" s="10" t="s">
        <v>1412</v>
      </c>
      <c r="G654" s="18" t="s">
        <v>1413</v>
      </c>
      <c r="H654" t="b">
        <v>0</v>
      </c>
    </row>
    <row r="655">
      <c r="A655" s="10" t="s">
        <v>349</v>
      </c>
      <c r="B655" s="10" t="s">
        <v>65</v>
      </c>
      <c r="C655" s="10" t="s">
        <v>291</v>
      </c>
      <c r="D655" s="10">
        <v>6.0</v>
      </c>
      <c r="E655" s="10" t="s">
        <v>1414</v>
      </c>
      <c r="G655" s="18" t="s">
        <v>1415</v>
      </c>
      <c r="H655" t="b">
        <v>0</v>
      </c>
    </row>
    <row r="656" ht="16.5" customHeight="1">
      <c r="A656" s="10" t="s">
        <v>349</v>
      </c>
      <c r="B656" s="10" t="s">
        <v>65</v>
      </c>
      <c r="C656" s="10" t="s">
        <v>292</v>
      </c>
      <c r="D656" s="10">
        <v>6.0</v>
      </c>
      <c r="E656" s="10" t="s">
        <v>1416</v>
      </c>
      <c r="G656" s="18" t="s">
        <v>1417</v>
      </c>
      <c r="H656" t="b">
        <v>0</v>
      </c>
    </row>
    <row r="657" ht="13.5" customHeight="1">
      <c r="A657" s="10" t="s">
        <v>349</v>
      </c>
      <c r="B657" s="10" t="s">
        <v>65</v>
      </c>
      <c r="C657" s="10" t="s">
        <v>293</v>
      </c>
      <c r="D657" s="10">
        <v>6.0</v>
      </c>
      <c r="E657" s="10" t="s">
        <v>1418</v>
      </c>
      <c r="G657" s="18" t="s">
        <v>1419</v>
      </c>
      <c r="H657" t="b">
        <v>0</v>
      </c>
    </row>
    <row r="658" ht="18.75" customHeight="1">
      <c r="A658" s="10" t="s">
        <v>349</v>
      </c>
      <c r="B658" s="10" t="s">
        <v>65</v>
      </c>
      <c r="C658" s="10" t="s">
        <v>294</v>
      </c>
      <c r="D658" s="10">
        <v>6.0</v>
      </c>
      <c r="E658" s="10" t="s">
        <v>1420</v>
      </c>
      <c r="G658" s="18" t="s">
        <v>1421</v>
      </c>
      <c r="H658" t="b">
        <v>0</v>
      </c>
    </row>
    <row r="659">
      <c r="A659" s="10" t="s">
        <v>349</v>
      </c>
      <c r="B659" s="10" t="s">
        <v>65</v>
      </c>
      <c r="C659" s="10" t="s">
        <v>295</v>
      </c>
      <c r="D659" s="10">
        <v>6.0</v>
      </c>
      <c r="E659" s="10" t="s">
        <v>1422</v>
      </c>
      <c r="G659" s="18" t="s">
        <v>1423</v>
      </c>
      <c r="H659" t="b">
        <v>0</v>
      </c>
    </row>
    <row r="660" ht="21.0" customHeight="1">
      <c r="A660" s="10" t="s">
        <v>349</v>
      </c>
      <c r="B660" s="10" t="s">
        <v>65</v>
      </c>
      <c r="C660" s="10" t="s">
        <v>296</v>
      </c>
      <c r="D660" s="10">
        <v>6.0</v>
      </c>
      <c r="E660" s="10" t="s">
        <v>1424</v>
      </c>
      <c r="G660" s="18" t="s">
        <v>1425</v>
      </c>
      <c r="H660" t="b">
        <v>0</v>
      </c>
    </row>
    <row r="661">
      <c r="A661" s="10" t="s">
        <v>349</v>
      </c>
      <c r="B661" s="10" t="s">
        <v>65</v>
      </c>
      <c r="C661" s="10" t="s">
        <v>297</v>
      </c>
      <c r="D661" s="10">
        <v>6.0</v>
      </c>
      <c r="E661" s="10" t="s">
        <v>1426</v>
      </c>
      <c r="G661" s="18" t="s">
        <v>1427</v>
      </c>
      <c r="H661" t="b">
        <v>0</v>
      </c>
    </row>
    <row r="662" ht="12.0" customHeight="1">
      <c r="A662" s="10" t="s">
        <v>349</v>
      </c>
      <c r="B662" s="10" t="s">
        <v>65</v>
      </c>
      <c r="C662" s="10" t="s">
        <v>298</v>
      </c>
      <c r="D662" s="10">
        <v>6.0</v>
      </c>
      <c r="E662" s="10" t="s">
        <v>1428</v>
      </c>
      <c r="G662" s="18" t="s">
        <v>1429</v>
      </c>
      <c r="H662" t="b">
        <v>0</v>
      </c>
    </row>
    <row r="663" ht="21.75" customHeight="1">
      <c r="A663" t="s">
        <v>337</v>
      </c>
      <c r="B663" s="10" t="s">
        <v>65</v>
      </c>
      <c r="D663" s="10">
        <v>8.0</v>
      </c>
      <c r="E663" t="s">
        <v>372</v>
      </c>
      <c r="G663" s="10" t="s">
        <v>433</v>
      </c>
      <c r="H663" s="10" t="b">
        <v>1</v>
      </c>
      <c r="I663" s="69" t="s">
        <v>374</v>
      </c>
    </row>
    <row r="664">
      <c r="A664" s="10" t="s">
        <v>349</v>
      </c>
      <c r="B664" s="10" t="s">
        <v>65</v>
      </c>
      <c r="C664" s="10" t="s">
        <v>290</v>
      </c>
      <c r="D664" s="10">
        <v>10.0</v>
      </c>
      <c r="E664" s="10" t="s">
        <v>1430</v>
      </c>
      <c r="G664" s="18" t="s">
        <v>1431</v>
      </c>
      <c r="H664" t="b">
        <v>0</v>
      </c>
    </row>
    <row r="665">
      <c r="A665" s="10" t="s">
        <v>349</v>
      </c>
      <c r="B665" s="10" t="s">
        <v>65</v>
      </c>
      <c r="C665" s="10" t="s">
        <v>291</v>
      </c>
      <c r="D665" s="10">
        <v>10.0</v>
      </c>
      <c r="E665" s="10" t="s">
        <v>1432</v>
      </c>
      <c r="G665" s="18" t="s">
        <v>1433</v>
      </c>
      <c r="H665" t="b">
        <v>0</v>
      </c>
    </row>
    <row r="666">
      <c r="A666" s="10" t="s">
        <v>349</v>
      </c>
      <c r="B666" s="10" t="s">
        <v>65</v>
      </c>
      <c r="C666" s="10" t="s">
        <v>292</v>
      </c>
      <c r="D666" s="10">
        <v>10.0</v>
      </c>
      <c r="E666" s="10" t="s">
        <v>1434</v>
      </c>
      <c r="G666" s="18" t="s">
        <v>1435</v>
      </c>
      <c r="H666" t="b">
        <v>0</v>
      </c>
    </row>
    <row r="667">
      <c r="A667" s="10" t="s">
        <v>349</v>
      </c>
      <c r="B667" s="10" t="s">
        <v>65</v>
      </c>
      <c r="C667" s="10" t="s">
        <v>293</v>
      </c>
      <c r="D667" s="10">
        <v>10.0</v>
      </c>
      <c r="E667" s="10" t="s">
        <v>1436</v>
      </c>
      <c r="G667" s="18" t="s">
        <v>1437</v>
      </c>
      <c r="H667" t="b">
        <v>0</v>
      </c>
    </row>
    <row r="668">
      <c r="A668" s="10" t="s">
        <v>349</v>
      </c>
      <c r="B668" s="10" t="s">
        <v>65</v>
      </c>
      <c r="C668" s="10" t="s">
        <v>294</v>
      </c>
      <c r="D668" s="10">
        <v>10.0</v>
      </c>
      <c r="E668" s="10" t="s">
        <v>1438</v>
      </c>
      <c r="G668" s="18" t="s">
        <v>1439</v>
      </c>
      <c r="H668" t="b">
        <v>0</v>
      </c>
    </row>
    <row r="669">
      <c r="A669" s="10" t="s">
        <v>349</v>
      </c>
      <c r="B669" s="10" t="s">
        <v>65</v>
      </c>
      <c r="C669" s="10" t="s">
        <v>295</v>
      </c>
      <c r="D669" s="10">
        <v>10.0</v>
      </c>
      <c r="E669" s="10" t="s">
        <v>1440</v>
      </c>
      <c r="G669" s="18" t="s">
        <v>1441</v>
      </c>
      <c r="H669" t="b">
        <v>0</v>
      </c>
    </row>
    <row r="670">
      <c r="A670" s="10" t="s">
        <v>349</v>
      </c>
      <c r="B670" s="10" t="s">
        <v>65</v>
      </c>
      <c r="C670" s="10" t="s">
        <v>296</v>
      </c>
      <c r="D670" s="10">
        <v>10.0</v>
      </c>
      <c r="E670" s="10" t="s">
        <v>1442</v>
      </c>
      <c r="G670" s="18" t="s">
        <v>1443</v>
      </c>
      <c r="H670" t="b">
        <v>0</v>
      </c>
    </row>
    <row r="671">
      <c r="A671" s="10" t="s">
        <v>349</v>
      </c>
      <c r="B671" s="10" t="s">
        <v>65</v>
      </c>
      <c r="C671" s="10" t="s">
        <v>297</v>
      </c>
      <c r="D671" s="10">
        <v>10.0</v>
      </c>
      <c r="E671" s="10" t="s">
        <v>1444</v>
      </c>
      <c r="G671" s="18" t="s">
        <v>1445</v>
      </c>
      <c r="H671" t="b">
        <v>0</v>
      </c>
    </row>
    <row r="672" ht="15.0" customHeight="1">
      <c r="A672" s="10" t="s">
        <v>349</v>
      </c>
      <c r="B672" s="10" t="s">
        <v>65</v>
      </c>
      <c r="C672" s="10" t="s">
        <v>298</v>
      </c>
      <c r="D672" s="10">
        <v>10.0</v>
      </c>
      <c r="E672" s="10" t="s">
        <v>1446</v>
      </c>
      <c r="G672" s="18" t="s">
        <v>1447</v>
      </c>
      <c r="H672" t="b">
        <v>0</v>
      </c>
    </row>
    <row r="673" ht="24.0" customHeight="1">
      <c r="A673" s="10" t="s">
        <v>349</v>
      </c>
      <c r="B673" s="10" t="s">
        <v>65</v>
      </c>
      <c r="D673" s="10">
        <v>11.0</v>
      </c>
      <c r="E673" s="10" t="s">
        <v>1448</v>
      </c>
      <c r="G673" s="18" t="s">
        <v>1449</v>
      </c>
      <c r="H673" s="13" t="b">
        <v>0</v>
      </c>
    </row>
    <row r="674" ht="18.75" customHeight="1">
      <c r="A674" s="66" t="s">
        <v>337</v>
      </c>
      <c r="B674" s="10" t="s">
        <v>65</v>
      </c>
      <c r="C674" s="66"/>
      <c r="D674" s="70">
        <v>12.0</v>
      </c>
      <c r="E674" s="66" t="s">
        <v>372</v>
      </c>
      <c r="F674" s="66"/>
      <c r="G674" s="65" t="s">
        <v>433</v>
      </c>
      <c r="H674" s="68" t="b">
        <v>1</v>
      </c>
      <c r="I674" s="69" t="s">
        <v>374</v>
      </c>
    </row>
    <row r="675" ht="21.0" customHeight="1">
      <c r="A675" s="10" t="s">
        <v>349</v>
      </c>
      <c r="B675" s="10" t="s">
        <v>65</v>
      </c>
      <c r="D675" s="10">
        <v>13.0</v>
      </c>
      <c r="E675" s="10" t="s">
        <v>1448</v>
      </c>
      <c r="G675" s="18" t="s">
        <v>1449</v>
      </c>
      <c r="H675" s="13" t="b">
        <v>0</v>
      </c>
    </row>
    <row r="676" ht="21.0" customHeight="1">
      <c r="A676" s="10" t="s">
        <v>349</v>
      </c>
      <c r="B676" s="10" t="s">
        <v>65</v>
      </c>
      <c r="C676" s="10" t="s">
        <v>290</v>
      </c>
      <c r="D676" s="10">
        <v>14.0</v>
      </c>
      <c r="E676" s="10" t="s">
        <v>1450</v>
      </c>
      <c r="G676" s="18" t="s">
        <v>1451</v>
      </c>
      <c r="H676" t="b">
        <v>0</v>
      </c>
    </row>
    <row r="677" ht="11.25" customHeight="1">
      <c r="A677" s="10" t="s">
        <v>349</v>
      </c>
      <c r="B677" s="10" t="s">
        <v>65</v>
      </c>
      <c r="C677" s="10" t="s">
        <v>291</v>
      </c>
      <c r="D677" s="10">
        <v>14.0</v>
      </c>
      <c r="E677" s="10" t="s">
        <v>1452</v>
      </c>
      <c r="G677" s="18" t="s">
        <v>1453</v>
      </c>
      <c r="H677" t="b">
        <v>0</v>
      </c>
    </row>
    <row r="678" ht="24.0" customHeight="1">
      <c r="A678" s="10" t="s">
        <v>349</v>
      </c>
      <c r="B678" s="10" t="s">
        <v>65</v>
      </c>
      <c r="C678" s="10" t="s">
        <v>292</v>
      </c>
      <c r="D678" s="10">
        <v>14.0</v>
      </c>
      <c r="E678" s="10" t="s">
        <v>1454</v>
      </c>
      <c r="G678" s="18" t="s">
        <v>1455</v>
      </c>
      <c r="H678" t="b">
        <v>0</v>
      </c>
    </row>
    <row r="679" ht="20.25" customHeight="1">
      <c r="A679" s="10" t="s">
        <v>349</v>
      </c>
      <c r="B679" s="10" t="s">
        <v>65</v>
      </c>
      <c r="C679" s="10" t="s">
        <v>293</v>
      </c>
      <c r="D679" s="10">
        <v>14.0</v>
      </c>
      <c r="E679" s="10" t="s">
        <v>1456</v>
      </c>
      <c r="G679" s="18" t="s">
        <v>1457</v>
      </c>
      <c r="H679" t="b">
        <v>0</v>
      </c>
    </row>
    <row r="680">
      <c r="A680" s="10" t="s">
        <v>349</v>
      </c>
      <c r="B680" s="10" t="s">
        <v>65</v>
      </c>
      <c r="C680" s="10" t="s">
        <v>294</v>
      </c>
      <c r="D680" s="10">
        <v>14.0</v>
      </c>
      <c r="E680" s="10" t="s">
        <v>1458</v>
      </c>
      <c r="G680" s="18" t="s">
        <v>1459</v>
      </c>
      <c r="H680" t="b">
        <v>0</v>
      </c>
    </row>
    <row r="681" ht="24.75" customHeight="1">
      <c r="A681" s="10" t="s">
        <v>349</v>
      </c>
      <c r="B681" s="10" t="s">
        <v>65</v>
      </c>
      <c r="C681" s="10" t="s">
        <v>295</v>
      </c>
      <c r="D681" s="10">
        <v>14.0</v>
      </c>
      <c r="E681" s="10" t="s">
        <v>1460</v>
      </c>
      <c r="G681" s="18" t="s">
        <v>1461</v>
      </c>
      <c r="H681" t="b">
        <v>0</v>
      </c>
    </row>
    <row r="682">
      <c r="A682" s="10" t="s">
        <v>349</v>
      </c>
      <c r="B682" s="10" t="s">
        <v>65</v>
      </c>
      <c r="C682" s="10" t="s">
        <v>296</v>
      </c>
      <c r="D682" s="10">
        <v>14.0</v>
      </c>
      <c r="E682" s="10" t="s">
        <v>1462</v>
      </c>
      <c r="G682" s="18" t="s">
        <v>1463</v>
      </c>
      <c r="H682" t="b">
        <v>0</v>
      </c>
    </row>
    <row r="683" ht="23.25" customHeight="1">
      <c r="A683" s="10" t="s">
        <v>349</v>
      </c>
      <c r="B683" s="10" t="s">
        <v>65</v>
      </c>
      <c r="C683" s="10" t="s">
        <v>297</v>
      </c>
      <c r="D683" s="10">
        <v>14.0</v>
      </c>
      <c r="E683" s="10" t="s">
        <v>1464</v>
      </c>
      <c r="G683" s="18" t="s">
        <v>1465</v>
      </c>
      <c r="H683" t="b">
        <v>0</v>
      </c>
    </row>
    <row r="684" ht="19.5" customHeight="1">
      <c r="A684" s="10" t="s">
        <v>349</v>
      </c>
      <c r="B684" s="10" t="s">
        <v>65</v>
      </c>
      <c r="C684" s="10" t="s">
        <v>298</v>
      </c>
      <c r="D684" s="10">
        <v>14.0</v>
      </c>
      <c r="E684" s="10" t="s">
        <v>1466</v>
      </c>
      <c r="G684" s="18" t="s">
        <v>1467</v>
      </c>
      <c r="H684" t="b">
        <v>0</v>
      </c>
    </row>
    <row r="685" ht="19.5" customHeight="1">
      <c r="A685" s="10" t="s">
        <v>349</v>
      </c>
      <c r="B685" s="10" t="s">
        <v>65</v>
      </c>
    </row>
    <row r="686" ht="21.75" customHeight="1">
      <c r="A686" s="66" t="s">
        <v>337</v>
      </c>
      <c r="B686" s="10" t="s">
        <v>65</v>
      </c>
      <c r="C686" s="66"/>
      <c r="D686" s="70">
        <v>16.0</v>
      </c>
      <c r="E686" s="66" t="s">
        <v>372</v>
      </c>
      <c r="F686" s="66"/>
      <c r="G686" s="65" t="s">
        <v>433</v>
      </c>
      <c r="H686" s="68" t="b">
        <v>1</v>
      </c>
      <c r="I686" s="69" t="s">
        <v>374</v>
      </c>
    </row>
    <row r="687" ht="16.5" customHeight="1">
      <c r="A687" s="41" t="s">
        <v>341</v>
      </c>
      <c r="B687" s="10" t="s">
        <v>65</v>
      </c>
      <c r="D687" s="10">
        <v>17.0</v>
      </c>
      <c r="E687" s="10" t="s">
        <v>1448</v>
      </c>
      <c r="G687" s="18" t="s">
        <v>1449</v>
      </c>
      <c r="H687" s="13" t="b">
        <v>0</v>
      </c>
    </row>
    <row r="688" ht="17.25" customHeight="1">
      <c r="A688" s="66" t="s">
        <v>337</v>
      </c>
      <c r="B688" s="10" t="s">
        <v>65</v>
      </c>
      <c r="C688" s="66"/>
      <c r="D688" s="70">
        <v>19.0</v>
      </c>
      <c r="E688" s="66" t="s">
        <v>372</v>
      </c>
      <c r="F688" s="66"/>
      <c r="G688" s="65" t="s">
        <v>433</v>
      </c>
      <c r="H688" s="68" t="b">
        <v>1</v>
      </c>
      <c r="I688" s="69" t="s">
        <v>374</v>
      </c>
    </row>
    <row r="689">
      <c r="B689" s="10" t="s">
        <v>65</v>
      </c>
      <c r="D689" s="10">
        <v>20.0</v>
      </c>
      <c r="E689" s="10" t="s">
        <v>1468</v>
      </c>
      <c r="G689" s="18" t="s">
        <v>1469</v>
      </c>
      <c r="H689" s="13" t="b">
        <v>0</v>
      </c>
    </row>
    <row r="690" ht="16.5" customHeight="1">
      <c r="A690" s="41" t="s">
        <v>337</v>
      </c>
      <c r="B690" s="10" t="s">
        <v>69</v>
      </c>
      <c r="C690" s="10"/>
      <c r="D690" s="10">
        <v>0.0</v>
      </c>
      <c r="E690" s="10"/>
      <c r="G690" s="18" t="s">
        <v>1470</v>
      </c>
      <c r="H690" s="53" t="b">
        <v>1</v>
      </c>
      <c r="I690" s="59" t="s">
        <v>340</v>
      </c>
    </row>
    <row r="691">
      <c r="A691" s="41" t="s">
        <v>341</v>
      </c>
      <c r="B691" s="10" t="s">
        <v>69</v>
      </c>
      <c r="D691" s="10">
        <v>1.0</v>
      </c>
      <c r="E691" s="10" t="s">
        <v>1471</v>
      </c>
      <c r="G691" s="18" t="s">
        <v>1472</v>
      </c>
      <c r="H691" s="13" t="b">
        <v>0</v>
      </c>
    </row>
    <row r="692">
      <c r="A692" s="10" t="s">
        <v>349</v>
      </c>
      <c r="B692" s="10" t="s">
        <v>69</v>
      </c>
      <c r="C692" s="10" t="s">
        <v>299</v>
      </c>
      <c r="D692" s="10">
        <v>2.0</v>
      </c>
      <c r="E692" s="10" t="s">
        <v>1473</v>
      </c>
      <c r="G692" s="18" t="s">
        <v>1474</v>
      </c>
      <c r="H692" t="b">
        <v>0</v>
      </c>
    </row>
    <row r="693" ht="31.5" customHeight="1">
      <c r="A693" s="10" t="s">
        <v>349</v>
      </c>
      <c r="B693" s="10" t="s">
        <v>69</v>
      </c>
      <c r="C693" s="10" t="s">
        <v>299</v>
      </c>
      <c r="D693" s="10">
        <v>2.0</v>
      </c>
      <c r="E693" s="10" t="s">
        <v>1475</v>
      </c>
      <c r="G693" s="18" t="s">
        <v>1476</v>
      </c>
      <c r="H693" t="b">
        <v>0</v>
      </c>
    </row>
    <row r="694" ht="16.5" customHeight="1">
      <c r="A694" s="10" t="s">
        <v>349</v>
      </c>
      <c r="B694" s="10" t="s">
        <v>69</v>
      </c>
      <c r="C694" s="10" t="s">
        <v>1477</v>
      </c>
      <c r="D694" s="10">
        <v>2.0</v>
      </c>
      <c r="E694" s="10" t="s">
        <v>1478</v>
      </c>
      <c r="G694" s="18" t="s">
        <v>1479</v>
      </c>
      <c r="H694" t="b">
        <v>0</v>
      </c>
    </row>
    <row r="695" ht="18.0" customHeight="1">
      <c r="A695" s="10" t="s">
        <v>349</v>
      </c>
      <c r="B695" s="10" t="s">
        <v>69</v>
      </c>
      <c r="C695" s="10" t="s">
        <v>1477</v>
      </c>
      <c r="D695" s="10">
        <v>2.0</v>
      </c>
      <c r="E695" s="10" t="s">
        <v>1480</v>
      </c>
      <c r="G695" s="18" t="s">
        <v>1481</v>
      </c>
      <c r="H695" t="b">
        <v>0</v>
      </c>
    </row>
    <row r="696">
      <c r="A696" s="10" t="s">
        <v>349</v>
      </c>
      <c r="B696" s="10" t="s">
        <v>69</v>
      </c>
      <c r="C696" s="10" t="s">
        <v>301</v>
      </c>
      <c r="D696" s="10">
        <v>2.0</v>
      </c>
      <c r="E696" s="10" t="s">
        <v>1482</v>
      </c>
      <c r="G696" s="18" t="s">
        <v>1483</v>
      </c>
      <c r="H696" t="b">
        <v>0</v>
      </c>
    </row>
    <row r="697" ht="13.5" customHeight="1">
      <c r="A697" s="10" t="s">
        <v>349</v>
      </c>
      <c r="B697" s="10" t="s">
        <v>69</v>
      </c>
      <c r="C697" s="10" t="s">
        <v>301</v>
      </c>
      <c r="D697" s="10">
        <v>2.0</v>
      </c>
      <c r="E697" s="10" t="s">
        <v>1484</v>
      </c>
      <c r="G697" s="18" t="s">
        <v>1485</v>
      </c>
      <c r="H697" t="b">
        <v>0</v>
      </c>
    </row>
    <row r="698">
      <c r="A698" s="10" t="s">
        <v>349</v>
      </c>
      <c r="B698" s="10" t="s">
        <v>69</v>
      </c>
      <c r="C698" s="10" t="s">
        <v>302</v>
      </c>
      <c r="D698" s="10">
        <v>2.0</v>
      </c>
      <c r="E698" s="10" t="s">
        <v>1486</v>
      </c>
      <c r="G698" s="18" t="s">
        <v>1487</v>
      </c>
      <c r="H698" t="b">
        <v>0</v>
      </c>
    </row>
    <row r="699" ht="13.5" customHeight="1">
      <c r="A699" s="10" t="s">
        <v>349</v>
      </c>
      <c r="B699" s="10" t="s">
        <v>69</v>
      </c>
      <c r="C699" s="10" t="s">
        <v>302</v>
      </c>
      <c r="D699" s="10">
        <v>2.0</v>
      </c>
      <c r="E699" s="10" t="s">
        <v>1488</v>
      </c>
      <c r="G699" s="18" t="s">
        <v>1489</v>
      </c>
      <c r="H699" t="b">
        <v>0</v>
      </c>
    </row>
    <row r="700">
      <c r="A700" s="10" t="s">
        <v>349</v>
      </c>
      <c r="B700" s="10" t="s">
        <v>69</v>
      </c>
      <c r="C700" s="10" t="s">
        <v>302</v>
      </c>
      <c r="D700" s="10">
        <v>2.0</v>
      </c>
      <c r="E700" s="10" t="s">
        <v>1486</v>
      </c>
      <c r="G700" s="18" t="s">
        <v>1487</v>
      </c>
      <c r="H700" t="b">
        <v>0</v>
      </c>
      <c r="I700" s="59"/>
    </row>
    <row r="701" ht="15.0" customHeight="1">
      <c r="A701" s="10" t="s">
        <v>349</v>
      </c>
      <c r="B701" s="10" t="s">
        <v>69</v>
      </c>
      <c r="C701" s="10" t="s">
        <v>302</v>
      </c>
      <c r="D701" s="10">
        <v>2.0</v>
      </c>
      <c r="E701" s="10" t="s">
        <v>1488</v>
      </c>
      <c r="G701" s="18" t="s">
        <v>1489</v>
      </c>
      <c r="H701" t="b">
        <v>0</v>
      </c>
    </row>
    <row r="702">
      <c r="A702" s="10" t="s">
        <v>349</v>
      </c>
      <c r="B702" s="10" t="s">
        <v>69</v>
      </c>
      <c r="C702" s="10" t="s">
        <v>303</v>
      </c>
      <c r="D702" s="10">
        <v>2.0</v>
      </c>
      <c r="E702" s="10" t="s">
        <v>1490</v>
      </c>
      <c r="G702" s="18" t="s">
        <v>1491</v>
      </c>
      <c r="H702" t="b">
        <v>0</v>
      </c>
    </row>
    <row r="703" ht="21.0" customHeight="1">
      <c r="A703" s="10" t="s">
        <v>349</v>
      </c>
      <c r="B703" s="10" t="s">
        <v>69</v>
      </c>
      <c r="C703" s="10" t="s">
        <v>303</v>
      </c>
      <c r="D703" s="10">
        <v>2.0</v>
      </c>
      <c r="E703" s="10" t="s">
        <v>1492</v>
      </c>
      <c r="G703" s="18" t="s">
        <v>1493</v>
      </c>
      <c r="H703" t="b">
        <v>0</v>
      </c>
    </row>
    <row r="704">
      <c r="A704" s="10" t="s">
        <v>349</v>
      </c>
      <c r="B704" s="10" t="s">
        <v>69</v>
      </c>
      <c r="C704" s="10" t="s">
        <v>302</v>
      </c>
      <c r="D704" s="10">
        <v>2.0</v>
      </c>
      <c r="E704" s="10" t="s">
        <v>1486</v>
      </c>
      <c r="G704" s="18" t="s">
        <v>1487</v>
      </c>
      <c r="H704" t="b">
        <v>0</v>
      </c>
    </row>
    <row r="705" ht="16.5" customHeight="1">
      <c r="A705" s="10" t="s">
        <v>349</v>
      </c>
      <c r="B705" s="10" t="s">
        <v>69</v>
      </c>
      <c r="C705" s="10" t="s">
        <v>302</v>
      </c>
      <c r="D705" s="10">
        <v>2.0</v>
      </c>
      <c r="E705" s="10" t="s">
        <v>1488</v>
      </c>
      <c r="G705" s="18" t="s">
        <v>1489</v>
      </c>
      <c r="H705" t="b">
        <v>0</v>
      </c>
    </row>
    <row r="706">
      <c r="A706" s="10" t="s">
        <v>349</v>
      </c>
      <c r="B706" s="10" t="s">
        <v>69</v>
      </c>
      <c r="C706" s="10" t="s">
        <v>302</v>
      </c>
      <c r="D706" s="10">
        <v>2.0</v>
      </c>
      <c r="E706" s="10" t="s">
        <v>1486</v>
      </c>
      <c r="G706" s="18" t="s">
        <v>1487</v>
      </c>
      <c r="H706" t="b">
        <v>0</v>
      </c>
    </row>
    <row r="707" ht="16.5" customHeight="1">
      <c r="A707" s="10" t="s">
        <v>349</v>
      </c>
      <c r="B707" s="10" t="s">
        <v>69</v>
      </c>
      <c r="C707" s="10" t="s">
        <v>302</v>
      </c>
      <c r="D707" s="10">
        <v>2.0</v>
      </c>
      <c r="E707" s="10" t="s">
        <v>1488</v>
      </c>
      <c r="G707" s="18" t="s">
        <v>1489</v>
      </c>
      <c r="H707" t="b">
        <v>0</v>
      </c>
    </row>
    <row r="708">
      <c r="A708" s="10" t="s">
        <v>349</v>
      </c>
      <c r="B708" s="10" t="s">
        <v>69</v>
      </c>
      <c r="C708" s="10" t="s">
        <v>303</v>
      </c>
      <c r="D708" s="10">
        <v>2.0</v>
      </c>
      <c r="E708" s="10" t="s">
        <v>1490</v>
      </c>
      <c r="G708" s="18" t="s">
        <v>1491</v>
      </c>
      <c r="H708" t="b">
        <v>0</v>
      </c>
    </row>
    <row r="709" ht="21.0" customHeight="1">
      <c r="A709" s="10" t="s">
        <v>349</v>
      </c>
      <c r="B709" s="10" t="s">
        <v>69</v>
      </c>
      <c r="C709" s="10" t="s">
        <v>303</v>
      </c>
      <c r="D709" s="10">
        <v>2.0</v>
      </c>
      <c r="E709" s="10" t="s">
        <v>1492</v>
      </c>
      <c r="G709" s="18" t="s">
        <v>1493</v>
      </c>
      <c r="H709" t="b">
        <v>0</v>
      </c>
    </row>
    <row r="710">
      <c r="A710" s="10" t="s">
        <v>349</v>
      </c>
      <c r="B710" s="10" t="s">
        <v>69</v>
      </c>
      <c r="C710" s="10" t="s">
        <v>304</v>
      </c>
      <c r="D710" s="10">
        <v>2.0</v>
      </c>
      <c r="E710" s="10" t="s">
        <v>1494</v>
      </c>
      <c r="G710" s="18" t="s">
        <v>1495</v>
      </c>
      <c r="H710" t="b">
        <v>0</v>
      </c>
    </row>
    <row r="711">
      <c r="A711" s="10" t="s">
        <v>349</v>
      </c>
      <c r="B711" s="10" t="s">
        <v>69</v>
      </c>
      <c r="C711" s="10" t="s">
        <v>304</v>
      </c>
      <c r="D711" s="10">
        <v>2.0</v>
      </c>
      <c r="E711" s="10" t="s">
        <v>1496</v>
      </c>
      <c r="G711" s="18" t="s">
        <v>1497</v>
      </c>
      <c r="H711" t="b">
        <v>0</v>
      </c>
    </row>
    <row r="712">
      <c r="A712" s="10" t="s">
        <v>349</v>
      </c>
      <c r="B712" s="10" t="s">
        <v>69</v>
      </c>
      <c r="C712" s="10" t="s">
        <v>305</v>
      </c>
      <c r="D712" s="10">
        <v>2.0</v>
      </c>
      <c r="E712" s="10" t="s">
        <v>1498</v>
      </c>
      <c r="G712" s="18" t="s">
        <v>1499</v>
      </c>
      <c r="H712" t="b">
        <v>0</v>
      </c>
    </row>
    <row r="713" ht="20.25" customHeight="1">
      <c r="A713" s="10" t="s">
        <v>349</v>
      </c>
      <c r="B713" s="10" t="s">
        <v>69</v>
      </c>
      <c r="C713" s="10" t="s">
        <v>305</v>
      </c>
      <c r="D713" s="10">
        <v>2.0</v>
      </c>
      <c r="E713" s="10" t="s">
        <v>1500</v>
      </c>
      <c r="G713" s="18" t="s">
        <v>1501</v>
      </c>
      <c r="H713" t="b">
        <v>0</v>
      </c>
    </row>
    <row r="714">
      <c r="A714" s="10" t="s">
        <v>349</v>
      </c>
      <c r="B714" s="10" t="s">
        <v>69</v>
      </c>
      <c r="C714" s="10" t="s">
        <v>306</v>
      </c>
      <c r="D714" s="10">
        <v>2.0</v>
      </c>
      <c r="E714" s="10" t="s">
        <v>1502</v>
      </c>
      <c r="G714" s="18" t="s">
        <v>1503</v>
      </c>
      <c r="H714" t="b">
        <v>0</v>
      </c>
    </row>
    <row r="715" ht="22.5" customHeight="1">
      <c r="A715" s="10" t="s">
        <v>349</v>
      </c>
      <c r="B715" s="10" t="s">
        <v>69</v>
      </c>
      <c r="C715" s="10" t="s">
        <v>306</v>
      </c>
      <c r="D715" s="10">
        <v>2.0</v>
      </c>
      <c r="E715" s="10" t="s">
        <v>1504</v>
      </c>
      <c r="G715" s="18" t="s">
        <v>1505</v>
      </c>
      <c r="H715" t="b">
        <v>0</v>
      </c>
    </row>
    <row r="716" ht="16.5" customHeight="1">
      <c r="A716" s="10" t="s">
        <v>349</v>
      </c>
      <c r="B716" s="10" t="s">
        <v>69</v>
      </c>
      <c r="C716" s="10" t="s">
        <v>306</v>
      </c>
      <c r="D716" s="10">
        <v>2.0</v>
      </c>
      <c r="E716" s="10" t="s">
        <v>1506</v>
      </c>
      <c r="G716" s="18" t="s">
        <v>1507</v>
      </c>
      <c r="H716" t="b">
        <v>0</v>
      </c>
    </row>
    <row r="717" ht="13.5" customHeight="1">
      <c r="A717" s="10" t="s">
        <v>349</v>
      </c>
      <c r="B717" s="10" t="s">
        <v>69</v>
      </c>
      <c r="C717" s="10" t="s">
        <v>307</v>
      </c>
      <c r="D717" s="10">
        <v>2.0</v>
      </c>
      <c r="E717" s="10" t="s">
        <v>307</v>
      </c>
      <c r="G717" s="18" t="s">
        <v>1508</v>
      </c>
      <c r="H717" t="b">
        <v>0</v>
      </c>
    </row>
    <row r="718" ht="27.0" customHeight="1">
      <c r="A718" s="10" t="s">
        <v>349</v>
      </c>
      <c r="B718" s="10" t="s">
        <v>69</v>
      </c>
      <c r="C718" s="10" t="s">
        <v>307</v>
      </c>
      <c r="D718" s="10">
        <v>2.0</v>
      </c>
      <c r="E718" s="10" t="s">
        <v>1509</v>
      </c>
      <c r="G718" s="18" t="s">
        <v>1510</v>
      </c>
      <c r="H718" t="b">
        <v>0</v>
      </c>
    </row>
    <row r="719">
      <c r="A719" s="10" t="s">
        <v>349</v>
      </c>
      <c r="B719" s="10" t="s">
        <v>69</v>
      </c>
      <c r="C719" s="10" t="s">
        <v>307</v>
      </c>
      <c r="D719" s="10">
        <v>2.0</v>
      </c>
      <c r="E719" s="10" t="s">
        <v>1511</v>
      </c>
      <c r="G719" s="18" t="s">
        <v>1512</v>
      </c>
      <c r="H719" t="b">
        <v>0</v>
      </c>
    </row>
    <row r="720">
      <c r="A720" s="10" t="s">
        <v>349</v>
      </c>
      <c r="B720" s="10" t="s">
        <v>69</v>
      </c>
      <c r="C720" s="10" t="s">
        <v>307</v>
      </c>
      <c r="D720" s="10">
        <v>2.0</v>
      </c>
      <c r="E720" s="10" t="s">
        <v>307</v>
      </c>
      <c r="G720" s="18" t="s">
        <v>1508</v>
      </c>
      <c r="H720" t="b">
        <v>0</v>
      </c>
    </row>
    <row r="721" ht="28.5" customHeight="1">
      <c r="A721" s="10" t="s">
        <v>349</v>
      </c>
      <c r="B721" s="10" t="s">
        <v>69</v>
      </c>
      <c r="C721" s="10" t="s">
        <v>307</v>
      </c>
      <c r="D721" s="10">
        <v>2.0</v>
      </c>
      <c r="E721" s="10" t="s">
        <v>1509</v>
      </c>
      <c r="G721" s="18" t="s">
        <v>1510</v>
      </c>
      <c r="H721" t="b">
        <v>0</v>
      </c>
    </row>
    <row r="722">
      <c r="A722" s="10" t="s">
        <v>349</v>
      </c>
      <c r="B722" s="10" t="s">
        <v>69</v>
      </c>
      <c r="C722" s="10" t="s">
        <v>307</v>
      </c>
      <c r="D722" s="10">
        <v>2.0</v>
      </c>
      <c r="E722" s="10" t="s">
        <v>1511</v>
      </c>
      <c r="G722" s="18" t="s">
        <v>1512</v>
      </c>
      <c r="H722" t="b">
        <v>0</v>
      </c>
    </row>
    <row r="723">
      <c r="A723" s="10" t="s">
        <v>349</v>
      </c>
      <c r="B723" s="10" t="s">
        <v>69</v>
      </c>
      <c r="C723" s="10" t="s">
        <v>308</v>
      </c>
      <c r="D723" s="10">
        <v>2.0</v>
      </c>
      <c r="E723" s="10" t="s">
        <v>1513</v>
      </c>
      <c r="G723" s="18" t="s">
        <v>1514</v>
      </c>
      <c r="H723" t="b">
        <v>0</v>
      </c>
    </row>
    <row r="724">
      <c r="A724" s="10" t="s">
        <v>349</v>
      </c>
      <c r="B724" s="10" t="s">
        <v>69</v>
      </c>
      <c r="C724" s="10" t="s">
        <v>308</v>
      </c>
      <c r="D724" s="10">
        <v>2.0</v>
      </c>
      <c r="E724" s="10" t="s">
        <v>1515</v>
      </c>
      <c r="G724" s="18" t="s">
        <v>1516</v>
      </c>
      <c r="H724" t="b">
        <v>0</v>
      </c>
    </row>
    <row r="725">
      <c r="A725" s="10" t="s">
        <v>349</v>
      </c>
      <c r="B725" s="10" t="s">
        <v>69</v>
      </c>
      <c r="C725" s="10" t="s">
        <v>309</v>
      </c>
      <c r="D725" s="10">
        <v>2.0</v>
      </c>
      <c r="E725" s="10" t="s">
        <v>1517</v>
      </c>
      <c r="G725" s="18" t="s">
        <v>1518</v>
      </c>
      <c r="H725" t="b">
        <v>0</v>
      </c>
    </row>
    <row r="726" ht="19.5" customHeight="1">
      <c r="A726" s="10" t="s">
        <v>349</v>
      </c>
      <c r="B726" s="10" t="s">
        <v>69</v>
      </c>
      <c r="C726" s="10" t="s">
        <v>309</v>
      </c>
      <c r="D726" s="10">
        <v>2.0</v>
      </c>
      <c r="E726" s="10" t="s">
        <v>547</v>
      </c>
      <c r="G726" s="18" t="s">
        <v>1519</v>
      </c>
      <c r="H726" t="b">
        <v>0</v>
      </c>
    </row>
    <row r="727" ht="21.75" customHeight="1">
      <c r="A727" s="10" t="s">
        <v>349</v>
      </c>
      <c r="B727" s="10" t="s">
        <v>69</v>
      </c>
      <c r="C727" s="10" t="s">
        <v>309</v>
      </c>
      <c r="D727" s="10">
        <v>2.0</v>
      </c>
      <c r="E727" s="10" t="s">
        <v>1520</v>
      </c>
      <c r="G727" s="18" t="s">
        <v>1521</v>
      </c>
      <c r="H727" t="b">
        <v>1</v>
      </c>
    </row>
    <row r="728">
      <c r="A728" s="10" t="s">
        <v>349</v>
      </c>
      <c r="B728" s="10" t="s">
        <v>69</v>
      </c>
      <c r="C728" s="10" t="s">
        <v>309</v>
      </c>
      <c r="D728" s="10">
        <v>2.0</v>
      </c>
      <c r="E728" s="10" t="s">
        <v>1522</v>
      </c>
      <c r="G728" s="18" t="s">
        <v>1523</v>
      </c>
      <c r="H728" s="10" t="b">
        <v>0</v>
      </c>
    </row>
    <row r="729">
      <c r="A729" s="10" t="s">
        <v>349</v>
      </c>
      <c r="B729" s="10" t="s">
        <v>69</v>
      </c>
      <c r="C729" s="10" t="s">
        <v>310</v>
      </c>
      <c r="D729" s="10">
        <v>2.0</v>
      </c>
      <c r="E729" s="10" t="s">
        <v>1524</v>
      </c>
      <c r="G729" s="18" t="s">
        <v>1525</v>
      </c>
      <c r="H729" s="10" t="b">
        <v>0</v>
      </c>
    </row>
    <row r="730">
      <c r="A730" s="10" t="s">
        <v>349</v>
      </c>
      <c r="B730" s="10" t="s">
        <v>69</v>
      </c>
      <c r="C730" s="10" t="s">
        <v>310</v>
      </c>
      <c r="D730" s="10">
        <v>2.0</v>
      </c>
      <c r="E730" s="10" t="s">
        <v>1526</v>
      </c>
      <c r="G730" s="18" t="s">
        <v>1527</v>
      </c>
      <c r="H730" s="10" t="b">
        <v>0</v>
      </c>
    </row>
    <row r="731" ht="15.75" customHeight="1">
      <c r="A731" s="10" t="s">
        <v>349</v>
      </c>
      <c r="B731" s="10" t="s">
        <v>69</v>
      </c>
      <c r="C731" s="10" t="s">
        <v>311</v>
      </c>
      <c r="D731" s="10">
        <v>2.0</v>
      </c>
      <c r="E731" s="10" t="s">
        <v>1528</v>
      </c>
      <c r="G731" s="18" t="s">
        <v>1529</v>
      </c>
      <c r="H731" s="10" t="b">
        <v>0</v>
      </c>
    </row>
    <row r="732">
      <c r="A732" s="10" t="s">
        <v>349</v>
      </c>
      <c r="B732" s="10" t="s">
        <v>69</v>
      </c>
      <c r="C732" s="10" t="s">
        <v>311</v>
      </c>
      <c r="D732" s="10">
        <v>2.0</v>
      </c>
      <c r="E732" s="10" t="s">
        <v>1530</v>
      </c>
      <c r="G732" s="18" t="s">
        <v>1531</v>
      </c>
      <c r="H732" s="10" t="b">
        <v>0</v>
      </c>
    </row>
    <row r="733" ht="12.75" customHeight="1">
      <c r="A733" s="10" t="s">
        <v>349</v>
      </c>
      <c r="B733" s="10" t="s">
        <v>69</v>
      </c>
      <c r="D733" s="10">
        <v>3.0</v>
      </c>
      <c r="E733" s="10" t="s">
        <v>1532</v>
      </c>
      <c r="G733" s="73" t="s">
        <v>1533</v>
      </c>
      <c r="H733" s="10" t="b">
        <v>0</v>
      </c>
    </row>
    <row r="734" ht="21.75" customHeight="1">
      <c r="A734" s="66" t="s">
        <v>337</v>
      </c>
      <c r="B734" s="10" t="s">
        <v>69</v>
      </c>
      <c r="C734" s="66"/>
      <c r="D734" s="70">
        <v>4.0</v>
      </c>
      <c r="E734" s="66" t="s">
        <v>372</v>
      </c>
      <c r="F734" s="66"/>
      <c r="G734" s="65" t="s">
        <v>433</v>
      </c>
      <c r="H734" s="68" t="b">
        <v>1</v>
      </c>
      <c r="I734" s="69" t="s">
        <v>374</v>
      </c>
    </row>
    <row r="735">
      <c r="A735" s="10" t="s">
        <v>349</v>
      </c>
      <c r="B735" s="10" t="s">
        <v>69</v>
      </c>
      <c r="C735" s="10" t="s">
        <v>299</v>
      </c>
      <c r="D735" s="10">
        <v>6.0</v>
      </c>
      <c r="E735" s="10" t="s">
        <v>1534</v>
      </c>
      <c r="G735" s="18" t="s">
        <v>1535</v>
      </c>
      <c r="H735" t="b">
        <v>0</v>
      </c>
    </row>
    <row r="736">
      <c r="A736" s="10" t="s">
        <v>349</v>
      </c>
      <c r="B736" s="10" t="s">
        <v>69</v>
      </c>
      <c r="C736" s="10" t="s">
        <v>1477</v>
      </c>
      <c r="D736" s="10">
        <v>6.0</v>
      </c>
      <c r="E736" s="10" t="s">
        <v>379</v>
      </c>
      <c r="G736" s="18" t="s">
        <v>524</v>
      </c>
      <c r="H736" t="b">
        <v>0</v>
      </c>
    </row>
    <row r="737" ht="15.0" customHeight="1">
      <c r="A737" s="10" t="s">
        <v>349</v>
      </c>
      <c r="B737" s="10" t="s">
        <v>69</v>
      </c>
      <c r="C737" s="10" t="s">
        <v>301</v>
      </c>
      <c r="D737" s="10">
        <v>6.0</v>
      </c>
      <c r="E737" s="10" t="s">
        <v>1536</v>
      </c>
      <c r="G737" s="18" t="s">
        <v>1537</v>
      </c>
      <c r="H737" t="b">
        <v>0</v>
      </c>
    </row>
    <row r="738">
      <c r="A738" s="10" t="s">
        <v>349</v>
      </c>
      <c r="B738" s="10" t="s">
        <v>69</v>
      </c>
      <c r="C738" s="10" t="s">
        <v>302</v>
      </c>
      <c r="D738" s="10">
        <v>6.0</v>
      </c>
      <c r="E738" s="10" t="s">
        <v>1538</v>
      </c>
      <c r="G738" s="18" t="s">
        <v>1539</v>
      </c>
      <c r="H738" t="b">
        <v>0</v>
      </c>
    </row>
    <row r="739" ht="24.75" customHeight="1">
      <c r="A739" s="10" t="s">
        <v>349</v>
      </c>
      <c r="B739" s="10" t="s">
        <v>69</v>
      </c>
      <c r="C739" s="10" t="s">
        <v>303</v>
      </c>
      <c r="D739" s="10">
        <v>6.0</v>
      </c>
      <c r="E739" s="10" t="s">
        <v>1540</v>
      </c>
      <c r="G739" s="18" t="s">
        <v>1541</v>
      </c>
      <c r="H739" t="b">
        <v>0</v>
      </c>
    </row>
    <row r="740">
      <c r="A740" s="10" t="s">
        <v>349</v>
      </c>
      <c r="B740" s="10" t="s">
        <v>69</v>
      </c>
      <c r="C740" s="10" t="s">
        <v>304</v>
      </c>
      <c r="D740" s="10">
        <v>6.0</v>
      </c>
      <c r="E740" s="10" t="s">
        <v>1542</v>
      </c>
      <c r="G740" s="18" t="s">
        <v>1543</v>
      </c>
      <c r="H740" t="b">
        <v>0</v>
      </c>
    </row>
    <row r="741">
      <c r="A741" s="10" t="s">
        <v>349</v>
      </c>
      <c r="B741" s="10" t="s">
        <v>69</v>
      </c>
      <c r="C741" s="10" t="s">
        <v>305</v>
      </c>
      <c r="D741" s="10">
        <v>6.0</v>
      </c>
      <c r="E741" s="10" t="s">
        <v>1544</v>
      </c>
      <c r="G741" s="18" t="s">
        <v>1545</v>
      </c>
      <c r="H741" t="b">
        <v>0</v>
      </c>
    </row>
    <row r="742" ht="16.5" customHeight="1">
      <c r="A742" s="10" t="s">
        <v>349</v>
      </c>
      <c r="B742" s="10" t="s">
        <v>69</v>
      </c>
      <c r="C742" s="10" t="s">
        <v>306</v>
      </c>
      <c r="D742" s="10">
        <v>6.0</v>
      </c>
      <c r="E742" s="10" t="s">
        <v>1546</v>
      </c>
      <c r="G742" s="18" t="s">
        <v>1547</v>
      </c>
      <c r="H742" t="b">
        <v>0</v>
      </c>
    </row>
    <row r="743" ht="18.75" customHeight="1">
      <c r="A743" s="10" t="s">
        <v>349</v>
      </c>
      <c r="B743" s="10" t="s">
        <v>69</v>
      </c>
      <c r="C743" s="10" t="s">
        <v>308</v>
      </c>
      <c r="D743" s="10">
        <v>6.0</v>
      </c>
      <c r="E743" s="10" t="s">
        <v>1548</v>
      </c>
      <c r="G743" s="18" t="s">
        <v>1549</v>
      </c>
      <c r="H743" t="b">
        <v>0</v>
      </c>
    </row>
    <row r="744">
      <c r="A744" s="10" t="s">
        <v>349</v>
      </c>
      <c r="B744" s="10" t="s">
        <v>69</v>
      </c>
      <c r="C744" s="10" t="s">
        <v>309</v>
      </c>
      <c r="D744" s="10">
        <v>6.0</v>
      </c>
      <c r="E744" s="10" t="s">
        <v>1550</v>
      </c>
      <c r="G744" s="18" t="s">
        <v>1551</v>
      </c>
      <c r="H744" t="b">
        <v>0</v>
      </c>
    </row>
    <row r="745" ht="24.75" customHeight="1">
      <c r="A745" s="10" t="s">
        <v>349</v>
      </c>
      <c r="B745" s="10" t="s">
        <v>69</v>
      </c>
      <c r="C745" s="10" t="s">
        <v>310</v>
      </c>
      <c r="D745" s="10">
        <v>6.0</v>
      </c>
      <c r="E745" s="10" t="s">
        <v>1552</v>
      </c>
      <c r="G745" s="18" t="s">
        <v>1553</v>
      </c>
      <c r="H745" t="b">
        <v>0</v>
      </c>
    </row>
    <row r="746" ht="13.5" customHeight="1">
      <c r="A746" s="10" t="s">
        <v>349</v>
      </c>
      <c r="B746" s="10" t="s">
        <v>69</v>
      </c>
      <c r="C746" s="10" t="s">
        <v>311</v>
      </c>
      <c r="D746" s="10">
        <v>6.0</v>
      </c>
      <c r="E746" s="10" t="s">
        <v>1554</v>
      </c>
      <c r="G746" s="18" t="s">
        <v>1555</v>
      </c>
      <c r="H746" s="10" t="b">
        <v>0</v>
      </c>
    </row>
    <row r="747" ht="13.5" customHeight="1">
      <c r="A747" s="10" t="s">
        <v>349</v>
      </c>
      <c r="B747" s="10" t="s">
        <v>69</v>
      </c>
      <c r="C747" s="10" t="s">
        <v>307</v>
      </c>
      <c r="D747" s="10">
        <v>6.0</v>
      </c>
      <c r="E747" s="10" t="s">
        <v>1546</v>
      </c>
      <c r="G747" s="18" t="s">
        <v>1556</v>
      </c>
      <c r="H747" s="10" t="b">
        <v>0</v>
      </c>
    </row>
    <row r="748" ht="13.5" customHeight="1">
      <c r="A748" s="10" t="s">
        <v>349</v>
      </c>
      <c r="B748" s="10" t="s">
        <v>69</v>
      </c>
      <c r="C748" s="10" t="s">
        <v>306</v>
      </c>
      <c r="D748" s="10">
        <v>6.0</v>
      </c>
      <c r="E748" s="10" t="s">
        <v>1546</v>
      </c>
      <c r="G748" s="18" t="s">
        <v>1547</v>
      </c>
      <c r="H748" s="10" t="b">
        <v>0</v>
      </c>
    </row>
    <row r="749" ht="13.5" customHeight="1">
      <c r="A749" s="10" t="s">
        <v>349</v>
      </c>
      <c r="B749" s="10" t="s">
        <v>69</v>
      </c>
      <c r="C749" s="10" t="s">
        <v>308</v>
      </c>
      <c r="D749" s="10">
        <v>6.0</v>
      </c>
      <c r="E749" s="10" t="s">
        <v>1548</v>
      </c>
      <c r="G749" s="18" t="s">
        <v>1549</v>
      </c>
      <c r="H749" s="10" t="b">
        <v>0</v>
      </c>
    </row>
    <row r="750" ht="21.75" customHeight="1">
      <c r="A750" s="66" t="s">
        <v>337</v>
      </c>
      <c r="B750" s="10" t="s">
        <v>69</v>
      </c>
      <c r="C750" s="66"/>
      <c r="D750" s="70">
        <v>8.0</v>
      </c>
      <c r="E750" s="66" t="s">
        <v>372</v>
      </c>
      <c r="F750" s="66"/>
      <c r="G750" s="65" t="s">
        <v>433</v>
      </c>
      <c r="H750" s="68" t="b">
        <v>1</v>
      </c>
      <c r="I750" s="69" t="s">
        <v>374</v>
      </c>
    </row>
    <row r="751">
      <c r="A751" s="10" t="s">
        <v>349</v>
      </c>
      <c r="B751" s="10" t="s">
        <v>69</v>
      </c>
      <c r="C751" s="10" t="s">
        <v>299</v>
      </c>
      <c r="D751" s="10">
        <v>10.0</v>
      </c>
      <c r="E751" s="10" t="s">
        <v>1557</v>
      </c>
      <c r="G751" s="18" t="s">
        <v>1558</v>
      </c>
      <c r="H751" t="b">
        <v>0</v>
      </c>
    </row>
    <row r="752">
      <c r="A752" s="10" t="s">
        <v>349</v>
      </c>
      <c r="B752" s="10" t="s">
        <v>69</v>
      </c>
      <c r="C752" s="10" t="s">
        <v>301</v>
      </c>
      <c r="D752" s="10">
        <v>10.0</v>
      </c>
      <c r="E752" s="10" t="s">
        <v>1559</v>
      </c>
      <c r="G752" s="18" t="s">
        <v>1560</v>
      </c>
      <c r="H752" t="b">
        <v>0</v>
      </c>
    </row>
    <row r="753" ht="19.5" customHeight="1">
      <c r="A753" s="10" t="s">
        <v>349</v>
      </c>
      <c r="B753" s="10" t="s">
        <v>69</v>
      </c>
      <c r="C753" s="10" t="s">
        <v>302</v>
      </c>
      <c r="D753" s="10">
        <v>10.0</v>
      </c>
      <c r="E753" s="10" t="s">
        <v>1561</v>
      </c>
      <c r="G753" s="18" t="s">
        <v>1562</v>
      </c>
      <c r="H753" s="53" t="b">
        <v>0</v>
      </c>
    </row>
    <row r="754">
      <c r="A754" s="10" t="s">
        <v>349</v>
      </c>
      <c r="B754" s="10" t="s">
        <v>69</v>
      </c>
      <c r="C754" s="10" t="s">
        <v>1477</v>
      </c>
      <c r="D754" s="10">
        <v>10.0</v>
      </c>
      <c r="E754" s="10" t="s">
        <v>1563</v>
      </c>
      <c r="G754" s="18" t="s">
        <v>1564</v>
      </c>
      <c r="H754" s="53" t="b">
        <v>0</v>
      </c>
    </row>
    <row r="755">
      <c r="A755" s="10" t="s">
        <v>349</v>
      </c>
      <c r="B755" s="10" t="s">
        <v>69</v>
      </c>
      <c r="C755" s="10" t="s">
        <v>303</v>
      </c>
      <c r="D755" s="10">
        <v>10.0</v>
      </c>
      <c r="E755" s="10" t="s">
        <v>1565</v>
      </c>
      <c r="G755" s="18" t="s">
        <v>1566</v>
      </c>
      <c r="H755" s="53" t="b">
        <v>0</v>
      </c>
    </row>
    <row r="756">
      <c r="A756" s="10" t="s">
        <v>349</v>
      </c>
      <c r="B756" s="10" t="s">
        <v>69</v>
      </c>
      <c r="C756" s="10" t="s">
        <v>304</v>
      </c>
      <c r="D756" s="10">
        <v>10.0</v>
      </c>
      <c r="E756" s="10" t="s">
        <v>1567</v>
      </c>
      <c r="G756" s="18" t="s">
        <v>1568</v>
      </c>
      <c r="H756" s="53" t="b">
        <v>0</v>
      </c>
    </row>
    <row r="757">
      <c r="A757" s="10" t="s">
        <v>349</v>
      </c>
      <c r="B757" s="10" t="s">
        <v>69</v>
      </c>
      <c r="C757" s="10" t="s">
        <v>306</v>
      </c>
      <c r="D757" s="10">
        <v>10.0</v>
      </c>
      <c r="E757" s="10" t="s">
        <v>1569</v>
      </c>
      <c r="G757" s="18" t="s">
        <v>1570</v>
      </c>
      <c r="H757" s="53" t="b">
        <v>0</v>
      </c>
    </row>
    <row r="758" ht="23.25" customHeight="1">
      <c r="A758" s="10" t="s">
        <v>349</v>
      </c>
      <c r="B758" s="10" t="s">
        <v>69</v>
      </c>
      <c r="C758" s="10" t="s">
        <v>305</v>
      </c>
      <c r="D758" s="10">
        <v>10.0</v>
      </c>
      <c r="E758" s="10" t="s">
        <v>1571</v>
      </c>
      <c r="G758" s="18" t="s">
        <v>1572</v>
      </c>
      <c r="H758" s="53" t="b">
        <v>0</v>
      </c>
    </row>
    <row r="759">
      <c r="A759" s="10" t="s">
        <v>349</v>
      </c>
      <c r="B759" s="10" t="s">
        <v>69</v>
      </c>
      <c r="C759" s="10" t="s">
        <v>307</v>
      </c>
      <c r="D759" s="10">
        <v>10.0</v>
      </c>
      <c r="E759" s="10" t="s">
        <v>1573</v>
      </c>
      <c r="G759" s="18" t="s">
        <v>1574</v>
      </c>
      <c r="H759" s="53" t="b">
        <v>0</v>
      </c>
    </row>
    <row r="760">
      <c r="A760" s="10" t="s">
        <v>349</v>
      </c>
      <c r="B760" s="10" t="s">
        <v>69</v>
      </c>
      <c r="C760" s="10" t="s">
        <v>308</v>
      </c>
      <c r="D760" s="10">
        <v>10.0</v>
      </c>
      <c r="E760" s="10" t="s">
        <v>1575</v>
      </c>
      <c r="G760" s="18" t="s">
        <v>1576</v>
      </c>
      <c r="H760" s="53" t="b">
        <v>0</v>
      </c>
    </row>
    <row r="761">
      <c r="A761" s="10" t="s">
        <v>349</v>
      </c>
      <c r="B761" s="10" t="s">
        <v>69</v>
      </c>
      <c r="C761" s="10" t="s">
        <v>309</v>
      </c>
      <c r="D761" s="10">
        <v>10.0</v>
      </c>
      <c r="E761" s="10" t="s">
        <v>1577</v>
      </c>
      <c r="G761" s="18" t="s">
        <v>1578</v>
      </c>
      <c r="H761" s="53" t="b">
        <v>0</v>
      </c>
    </row>
    <row r="762">
      <c r="A762" s="10" t="s">
        <v>349</v>
      </c>
      <c r="B762" s="10" t="s">
        <v>69</v>
      </c>
      <c r="C762" s="10" t="s">
        <v>310</v>
      </c>
      <c r="D762" s="10">
        <v>10.0</v>
      </c>
      <c r="E762" s="10" t="s">
        <v>1579</v>
      </c>
      <c r="G762" s="18" t="s">
        <v>1580</v>
      </c>
      <c r="H762" s="53" t="b">
        <v>0</v>
      </c>
    </row>
    <row r="763">
      <c r="A763" s="10" t="s">
        <v>349</v>
      </c>
      <c r="B763" s="10" t="s">
        <v>69</v>
      </c>
      <c r="C763" s="10" t="s">
        <v>311</v>
      </c>
      <c r="D763" s="10">
        <v>10.0</v>
      </c>
      <c r="E763" s="10" t="s">
        <v>1581</v>
      </c>
      <c r="G763" s="18" t="s">
        <v>1582</v>
      </c>
      <c r="H763" s="10" t="b">
        <v>0</v>
      </c>
    </row>
    <row r="764" ht="25.5" customHeight="1">
      <c r="A764" s="66" t="s">
        <v>337</v>
      </c>
      <c r="B764" s="66"/>
      <c r="C764" s="66"/>
      <c r="D764" s="70">
        <v>12.0</v>
      </c>
      <c r="E764" s="66" t="s">
        <v>372</v>
      </c>
      <c r="F764" s="66"/>
      <c r="G764" s="65" t="s">
        <v>433</v>
      </c>
      <c r="H764" s="68" t="b">
        <v>1</v>
      </c>
      <c r="I764" s="69" t="s">
        <v>374</v>
      </c>
    </row>
    <row r="765">
      <c r="A765" s="10" t="s">
        <v>349</v>
      </c>
      <c r="B765" s="10" t="s">
        <v>69</v>
      </c>
      <c r="C765" s="10" t="s">
        <v>302</v>
      </c>
      <c r="D765" s="10">
        <v>14.0</v>
      </c>
      <c r="E765" s="10" t="s">
        <v>1583</v>
      </c>
      <c r="G765" s="18" t="s">
        <v>1584</v>
      </c>
      <c r="H765" s="53" t="b">
        <v>0</v>
      </c>
    </row>
    <row r="766">
      <c r="A766" s="10" t="s">
        <v>349</v>
      </c>
      <c r="B766" s="10" t="s">
        <v>69</v>
      </c>
      <c r="C766" s="10" t="s">
        <v>301</v>
      </c>
      <c r="D766" s="10">
        <v>14.0</v>
      </c>
      <c r="E766" s="10" t="s">
        <v>1585</v>
      </c>
      <c r="G766" s="18" t="s">
        <v>1586</v>
      </c>
      <c r="H766" s="53" t="b">
        <v>0</v>
      </c>
    </row>
    <row r="767" ht="20.25" customHeight="1">
      <c r="A767" s="10" t="s">
        <v>349</v>
      </c>
      <c r="B767" s="10" t="s">
        <v>69</v>
      </c>
      <c r="C767" s="10" t="s">
        <v>299</v>
      </c>
      <c r="D767" s="10">
        <v>14.0</v>
      </c>
      <c r="E767" s="10" t="s">
        <v>1587</v>
      </c>
      <c r="G767" s="18" t="s">
        <v>1588</v>
      </c>
      <c r="H767" s="53" t="b">
        <v>0</v>
      </c>
    </row>
    <row r="768">
      <c r="A768" s="10" t="s">
        <v>349</v>
      </c>
      <c r="B768" s="10" t="s">
        <v>69</v>
      </c>
      <c r="C768" s="10" t="s">
        <v>1477</v>
      </c>
      <c r="D768" s="10">
        <v>14.0</v>
      </c>
      <c r="E768" s="10" t="s">
        <v>1589</v>
      </c>
      <c r="G768" s="18" t="s">
        <v>1590</v>
      </c>
      <c r="H768" s="53" t="b">
        <v>0</v>
      </c>
    </row>
    <row r="769">
      <c r="A769" s="10" t="s">
        <v>349</v>
      </c>
      <c r="B769" s="10" t="s">
        <v>69</v>
      </c>
      <c r="C769" s="10" t="s">
        <v>303</v>
      </c>
      <c r="D769" s="10">
        <v>14.0</v>
      </c>
      <c r="E769" s="10" t="s">
        <v>1591</v>
      </c>
      <c r="G769" s="18" t="s">
        <v>1592</v>
      </c>
      <c r="H769" s="53" t="b">
        <v>0</v>
      </c>
    </row>
    <row r="770">
      <c r="A770" s="10" t="s">
        <v>349</v>
      </c>
      <c r="B770" s="10" t="s">
        <v>69</v>
      </c>
      <c r="C770" s="10" t="s">
        <v>304</v>
      </c>
      <c r="D770" s="10">
        <v>14.0</v>
      </c>
      <c r="E770" s="10" t="s">
        <v>1593</v>
      </c>
      <c r="G770" s="18" t="s">
        <v>1594</v>
      </c>
      <c r="H770" s="53" t="b">
        <v>0</v>
      </c>
    </row>
    <row r="771" ht="23.25" customHeight="1">
      <c r="A771" s="10" t="s">
        <v>349</v>
      </c>
      <c r="B771" s="10" t="s">
        <v>69</v>
      </c>
      <c r="C771" s="10" t="s">
        <v>305</v>
      </c>
      <c r="D771" s="10">
        <v>14.0</v>
      </c>
      <c r="E771" s="10" t="s">
        <v>1595</v>
      </c>
      <c r="G771" s="18" t="s">
        <v>1596</v>
      </c>
      <c r="H771" s="53" t="b">
        <v>0</v>
      </c>
    </row>
    <row r="772">
      <c r="A772" s="10" t="s">
        <v>349</v>
      </c>
      <c r="B772" s="10" t="s">
        <v>69</v>
      </c>
      <c r="C772" s="10" t="s">
        <v>306</v>
      </c>
      <c r="D772" s="10">
        <v>14.0</v>
      </c>
      <c r="E772" s="10" t="s">
        <v>1359</v>
      </c>
      <c r="G772" s="18" t="s">
        <v>1597</v>
      </c>
      <c r="H772" s="53" t="b">
        <v>0</v>
      </c>
    </row>
    <row r="773" ht="25.5" customHeight="1">
      <c r="A773" s="10" t="s">
        <v>349</v>
      </c>
      <c r="B773" s="10" t="s">
        <v>69</v>
      </c>
      <c r="C773" s="10" t="s">
        <v>307</v>
      </c>
      <c r="D773" s="10">
        <v>14.0</v>
      </c>
      <c r="E773" s="10" t="s">
        <v>1598</v>
      </c>
      <c r="G773" s="18" t="s">
        <v>1599</v>
      </c>
      <c r="H773" s="53" t="b">
        <v>0</v>
      </c>
    </row>
    <row r="774" ht="18.75" customHeight="1">
      <c r="A774" s="10" t="s">
        <v>349</v>
      </c>
      <c r="B774" s="10" t="s">
        <v>69</v>
      </c>
      <c r="C774" s="10" t="s">
        <v>308</v>
      </c>
      <c r="D774" s="10">
        <v>14.0</v>
      </c>
      <c r="E774" s="10" t="s">
        <v>1600</v>
      </c>
      <c r="G774" s="18" t="s">
        <v>1601</v>
      </c>
      <c r="H774" s="53" t="b">
        <v>0</v>
      </c>
    </row>
    <row r="775">
      <c r="A775" s="10" t="s">
        <v>349</v>
      </c>
      <c r="B775" s="10" t="s">
        <v>69</v>
      </c>
      <c r="C775" s="10" t="s">
        <v>309</v>
      </c>
      <c r="D775" s="10">
        <v>14.0</v>
      </c>
      <c r="E775" s="10" t="s">
        <v>1602</v>
      </c>
      <c r="G775" s="18" t="s">
        <v>1603</v>
      </c>
      <c r="H775" s="53" t="b">
        <v>0</v>
      </c>
    </row>
    <row r="776" ht="24.75" customHeight="1">
      <c r="A776" s="10" t="s">
        <v>349</v>
      </c>
      <c r="B776" s="10" t="s">
        <v>69</v>
      </c>
      <c r="C776" s="10" t="s">
        <v>310</v>
      </c>
      <c r="D776" s="10">
        <v>14.0</v>
      </c>
      <c r="E776" s="10" t="s">
        <v>1604</v>
      </c>
      <c r="G776" s="18" t="s">
        <v>1605</v>
      </c>
      <c r="H776" s="53" t="b">
        <v>0</v>
      </c>
    </row>
    <row r="777">
      <c r="A777" s="10" t="s">
        <v>349</v>
      </c>
      <c r="B777" s="10" t="s">
        <v>69</v>
      </c>
      <c r="C777" s="10" t="s">
        <v>311</v>
      </c>
      <c r="D777" s="10">
        <v>14.0</v>
      </c>
      <c r="E777" s="10" t="s">
        <v>1606</v>
      </c>
      <c r="G777" s="18" t="s">
        <v>1607</v>
      </c>
      <c r="H777" s="53" t="b">
        <v>0</v>
      </c>
    </row>
    <row r="778" ht="18.75" customHeight="1">
      <c r="A778" s="66" t="s">
        <v>337</v>
      </c>
      <c r="B778" s="10" t="s">
        <v>69</v>
      </c>
      <c r="C778" s="66"/>
      <c r="D778" s="70">
        <v>16.0</v>
      </c>
      <c r="E778" s="66" t="s">
        <v>372</v>
      </c>
      <c r="F778" s="66"/>
      <c r="G778" s="65" t="s">
        <v>433</v>
      </c>
      <c r="H778" s="68" t="b">
        <v>1</v>
      </c>
      <c r="I778" s="69" t="s">
        <v>374</v>
      </c>
    </row>
    <row r="779" ht="20.25" customHeight="1">
      <c r="A779" s="41" t="s">
        <v>341</v>
      </c>
      <c r="B779" s="10" t="s">
        <v>69</v>
      </c>
      <c r="D779" s="10">
        <v>18.0</v>
      </c>
      <c r="E779" s="10" t="s">
        <v>1608</v>
      </c>
      <c r="G779" s="18" t="s">
        <v>1609</v>
      </c>
      <c r="H779" s="13" t="b">
        <v>0</v>
      </c>
    </row>
    <row r="780" ht="13.5" customHeight="1">
      <c r="A780" s="66" t="s">
        <v>337</v>
      </c>
      <c r="B780" s="10" t="s">
        <v>65</v>
      </c>
      <c r="C780" s="66"/>
      <c r="D780" s="70">
        <v>19.0</v>
      </c>
      <c r="E780" s="66" t="s">
        <v>372</v>
      </c>
      <c r="F780" s="66"/>
      <c r="G780" s="65" t="s">
        <v>433</v>
      </c>
      <c r="H780" s="68" t="b">
        <v>1</v>
      </c>
      <c r="I780" s="69" t="s">
        <v>374</v>
      </c>
    </row>
    <row r="781" ht="22.5" customHeight="1">
      <c r="A781" s="41" t="s">
        <v>341</v>
      </c>
      <c r="B781" s="10" t="s">
        <v>69</v>
      </c>
      <c r="D781" s="10">
        <v>20.0</v>
      </c>
      <c r="E781" s="10" t="s">
        <v>1610</v>
      </c>
      <c r="G781" s="18" t="s">
        <v>1611</v>
      </c>
      <c r="H781" s="74" t="b">
        <v>0</v>
      </c>
    </row>
  </sheetData>
  <hyperlinks>
    <hyperlink display="SHEETS_PROF" location="SHEETS_PROF!A1" ref="I2"/>
    <hyperlink display="InfusedItem" location="InfusedItem" ref="I4"/>
    <hyperlink display="AlchemistSpells" location="AlchemistSpells" ref="I6"/>
    <hyperlink display="ExperimentalElixir" location="ExperimentalElixir" ref="I8"/>
    <hyperlink display="ArtilleristSpells" location="ArtilleristSpells" ref="I9"/>
    <hyperlink display="ArcaneTurrets" location="ArcaneTurrets" ref="I11"/>
    <hyperlink display="BattleSmithSpells" location="BattleSmithSpells" ref="I13"/>
    <hyperlink display="ASI_FEAT" location="ASI_FEAT!A1" ref="I16"/>
    <hyperlink display="ASI_FEAT" location="ASI_FEAT!A1" ref="I22"/>
    <hyperlink display="ASI_FEAT" location="ASI_FEAT!A1" ref="I32"/>
    <hyperlink display="ASI_FEAT" location="ASI_FEAT!A1" ref="I34"/>
    <hyperlink display="SHEETS_PROF" location="SHEETS_PROF!A1" ref="I36"/>
    <hyperlink display="Rage" location="Rage" ref="I37"/>
    <hyperlink display="ASI_FEAT" location="ASI_FEAT!A1" ref="I49"/>
    <hyperlink display="ASI_FEAT" location="ASI_FEAT!A1" ref="I59"/>
    <hyperlink display="ASI_FEAT" location="ASI_FEAT!A1" ref="I68"/>
    <hyperlink display="ASI_FEAT" location="ASI_FEAT!A1" ref="I76"/>
    <hyperlink display="ASI_FEAT" location="ASI_FEAT!A1" ref="I78"/>
    <hyperlink display="SHEETS_PROF" location="SHEETS_PROF!A1" ref="I80"/>
    <hyperlink display="ASI_FEAT" location="ASI_FEAT!A1" ref="I96"/>
    <hyperlink display="ASI_FEAT" location="ASI_FEAT!A1" ref="I105"/>
    <hyperlink display="ASI_FEAT" location="ASI_FEAT!A1" ref="I107"/>
    <hyperlink display="ASI_FEAT" location="ASI_FEAT!A1" ref="I114"/>
    <hyperlink display="ASI_FEAT" location="ASI_FEAT!A1" ref="I115"/>
    <hyperlink display="SHEETS_PROF" location="SHEETS_PROF!A1" ref="I117"/>
    <hyperlink display="DestroyUndead" location="DestroyUndead" ref="I166"/>
    <hyperlink display="ASI_FEAT" location="ASI_FEAT!A1" ref="I184"/>
    <hyperlink display="ASI_FEAT" location="ASI_FEAT!A1" ref="I203"/>
    <hyperlink display="ASI_FEAT" location="ASI_FEAT!A1" ref="I221"/>
    <hyperlink display="ASI_FEAT" location="ASI_FEAT!A1" ref="I222"/>
    <hyperlink display="ASI_FEAT" location="ASI_FEAT!A1" ref="I240"/>
    <hyperlink display="SHEETS_PROF" location="SHEETS_PROF!A1" ref="I241"/>
    <hyperlink display="WildShape" location="WildShape" ref="I242"/>
    <hyperlink display="LandCircleSpells" location="LandCircleSpells" ref="I243"/>
    <hyperlink display="SporesCircleSpells" location="SporesCircleSpells" ref="I251"/>
    <hyperlink display="ASI_FEAT" location="ASI_FEAT!A1" ref="I256"/>
    <hyperlink display="ASI_FEAT" location="ASI_FEAT!A1" ref="I264"/>
    <hyperlink display="ASI_FEAT" location="ASI_FEAT!A1" ref="I271"/>
    <hyperlink display="ASI_FEAT" location="ASI_FEAT!A1" ref="I278"/>
    <hyperlink display="ASI_FEAT" location="ASI_FEAT!A1" ref="I281"/>
    <hyperlink display="SHEETS_PROF" location="SHEETS_PROF!A1" ref="I283"/>
    <hyperlink display="ASI_FEAT" location="ASI_FEAT!A1" ref="I312"/>
    <hyperlink display="ASI_FEAT" location="ASI_FEAT!A1" ref="I326"/>
    <hyperlink display="ASI_FEAT" location="ASI_FEAT!A1" ref="I339"/>
    <hyperlink display="ASI_FEAT" location="ASI_FEAT!A1" ref="I352"/>
    <hyperlink display="ASI_FEAT" location="ASI_FEAT!A1" ref="I360"/>
    <hyperlink display="SHEETS_PROF" location="SHEETS_PROF!A1" ref="I361"/>
    <hyperlink display="MonkTable" location="MonkTable" ref="I362"/>
    <hyperlink display="MonkTable" location="MonkTable" ref="I363"/>
    <hyperlink display="MonkTable" location="MonkTable" ref="I364"/>
    <hyperlink display="DiscipleoftheElements" location="DiscipleoftheElements" ref="I369"/>
    <hyperlink display="ASI_FEAT" location="ASI_FEAT!A1" ref="I379"/>
    <hyperlink display="ASI_FEAT" location="ASI_FEAT!A1" ref="I394"/>
    <hyperlink display="ASI_FEAT" location="ASI_FEAT!A1" ref="I404"/>
    <hyperlink display="ASI_FEAT" location="ASI_FEAT!A1" ref="I408"/>
    <hyperlink display="ASI_FEAT" location="ASI_FEAT!A1" ref="I418"/>
    <hyperlink display="SHEETS_PROF" location="SHEETS_PROF!A1" ref="I420"/>
    <hyperlink display="ASI_FEAT" location="ASI_FEAT!A1" ref="I426"/>
    <hyperlink display="ASI_FEAT" location="ASI_FEAT!A1" ref="I440"/>
    <hyperlink display="ASI_FEAT" location="ASI_FEAT!A1" ref="I450"/>
    <hyperlink display="ASI_FEAT" location="ASI_FEAT!A1" ref="I453"/>
    <hyperlink display="ASI_FEAT" location="ASI_FEAT!A1" ref="I462"/>
    <hyperlink display="ASI_FEAT" location="ASI_FEAT!A1" ref="I463"/>
    <hyperlink display="SHEETS_PROF" location="SHEETS_PROF!A1" ref="I471"/>
    <hyperlink display="GloomStalkerMagic" location="GloomStalkerMagic" ref="I478"/>
    <hyperlink display="HorizonWalkerMagic" location="HorizonWalkerMagic" ref="I481"/>
    <hyperlink display="MonsterSlayerMagic" location="MonsterSlayerMagic" ref="I485"/>
    <hyperlink display="PrimevalGuardianMagic" location="PrimevalGuardianMagic" ref="I488"/>
    <hyperlink display="ASI_FEAT" location="ASI_FEAT!A1" ref="I491"/>
    <hyperlink display="ASI_FEAT" location="ASI_FEAT!A1" ref="I504"/>
    <hyperlink display="ASI_FEAT" location="ASI_FEAT!A1" ref="I512"/>
    <hyperlink display="ASI_FEAT" location="ASI_FEAT!A1" ref="I520"/>
    <hyperlink display="ASI_FEAT" location="ASI_FEAT!A1" ref="I522"/>
    <hyperlink display="SHEETS_PROF" location="SHEETS_PROF!A1" ref="I524"/>
    <hyperlink display="SneakAttack" location="SneakAttack" ref="I525"/>
    <hyperlink display="ASI_FEAT" location="ASI_FEAT!A1" ref="I543"/>
    <hyperlink display="ASI_FEAT" location="ASI_FEAT!A1" ref="I546"/>
    <hyperlink display="ASI_FEAT" location="ASI_FEAT!A1" ref="I555"/>
    <hyperlink display="ASI_FEAT" location="ASI_FEAT!A1" ref="I565"/>
    <hyperlink display="ASI_FEAT" location="ASI_FEAT!A1" ref="I574"/>
    <hyperlink display="FontofMagic" location="FontofMagic" ref="I575"/>
    <hyperlink display="SHEETS_PROF" location="SHEETS_PROF!A1" ref="I576"/>
    <hyperlink display="SHEETS_Features" location="SHEETS_Features!A1" ref="I595"/>
    <hyperlink display="ASI_FEAT" location="ASI_FEAT!A1" ref="I599"/>
    <hyperlink display="ASI_FEAT" location="ASI_FEAT!A1" ref="I611"/>
    <hyperlink display="ASI_FEAT" location="ASI_FEAT!A1" ref="I613"/>
    <hyperlink display="ASI_FEAT" location="ASI_FEAT!A1" ref="I624"/>
    <hyperlink display="ASI_FEAT" location="ASI_FEAT!A1" ref="I636"/>
    <hyperlink display="EldritchInvocations" location="EldritchInvocations" ref="I637"/>
    <hyperlink display="SHEETS_PROF" location="SHEETS_PROF!A1" ref="I638"/>
    <hyperlink display="ASI_FEAT" location="ASI_FEAT!A1" ref="I653"/>
    <hyperlink display="ASI_FEAT" location="ASI_FEAT!A1" ref="I663"/>
    <hyperlink display="ASI_FEAT" location="ASI_FEAT!A1" ref="I674"/>
    <hyperlink display="ASI_FEAT" location="ASI_FEAT!A1" ref="I686"/>
    <hyperlink display="ASI_FEAT" location="ASI_FEAT!A1" ref="I688"/>
    <hyperlink display="SHEETS_PROF" location="SHEETS_PROF!A1" ref="I690"/>
    <hyperlink display="ASI_FEAT" location="ASI_FEAT!A1" ref="I734"/>
    <hyperlink display="ASI_FEAT" location="ASI_FEAT!A1" ref="I750"/>
    <hyperlink display="ASI_FEAT" location="ASI_FEAT!A1" ref="I764"/>
    <hyperlink display="ASI_FEAT" location="ASI_FEAT!A1" ref="I778"/>
    <hyperlink display="ASI_FEAT" location="ASI_FEAT!A1" ref="I780"/>
  </hyperlink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6.14"/>
    <col customWidth="1" min="2" max="2" width="42.29"/>
    <col customWidth="1" min="8" max="8" width="23.71"/>
    <col customWidth="1" min="10" max="10" width="41.29"/>
    <col customWidth="1" min="11" max="11" width="32.29"/>
  </cols>
  <sheetData>
    <row r="1">
      <c r="A1" s="75" t="s">
        <v>1506</v>
      </c>
      <c r="B1" s="76"/>
      <c r="H1" s="77" t="s">
        <v>1612</v>
      </c>
      <c r="I1" s="78" t="s">
        <v>1613</v>
      </c>
      <c r="J1" s="79"/>
      <c r="K1" s="79"/>
      <c r="L1" s="79"/>
      <c r="M1" s="79"/>
      <c r="N1" s="79"/>
      <c r="O1" s="79"/>
      <c r="P1" s="79"/>
      <c r="Q1" s="80"/>
      <c r="R1" s="81"/>
    </row>
    <row r="2">
      <c r="A2" s="82" t="s">
        <v>40</v>
      </c>
      <c r="B2" s="83" t="s">
        <v>1614</v>
      </c>
      <c r="H2" s="84" t="s">
        <v>1615</v>
      </c>
      <c r="I2" s="85" t="s">
        <v>1616</v>
      </c>
      <c r="J2" s="85" t="s">
        <v>1617</v>
      </c>
      <c r="K2" s="85" t="s">
        <v>1618</v>
      </c>
      <c r="L2" s="85" t="s">
        <v>1619</v>
      </c>
      <c r="M2" s="85" t="s">
        <v>1620</v>
      </c>
      <c r="N2" s="85" t="s">
        <v>1621</v>
      </c>
      <c r="O2" s="85" t="s">
        <v>1622</v>
      </c>
      <c r="P2" s="85" t="s">
        <v>1623</v>
      </c>
      <c r="Q2" s="86" t="s">
        <v>1624</v>
      </c>
      <c r="R2" s="87" t="s">
        <v>1625</v>
      </c>
    </row>
    <row r="3">
      <c r="A3" s="82">
        <v>1.0</v>
      </c>
      <c r="B3" s="83" t="s">
        <v>1626</v>
      </c>
      <c r="H3" s="88" t="s">
        <v>1621</v>
      </c>
      <c r="I3" s="79">
        <f t="shared" ref="I3:I6" si="1">+2</f>
        <v>2</v>
      </c>
      <c r="J3" s="78" t="s">
        <v>1627</v>
      </c>
      <c r="K3" s="78" t="s">
        <v>1628</v>
      </c>
      <c r="L3" s="78" t="s">
        <v>1628</v>
      </c>
      <c r="M3" s="78">
        <v>2.0</v>
      </c>
      <c r="N3" s="78">
        <v>2.0</v>
      </c>
      <c r="O3" s="78" t="s">
        <v>1628</v>
      </c>
      <c r="P3" s="78" t="s">
        <v>1628</v>
      </c>
      <c r="Q3" s="89" t="s">
        <v>1628</v>
      </c>
      <c r="R3" s="90" t="s">
        <v>1628</v>
      </c>
    </row>
    <row r="4">
      <c r="A4" s="82">
        <v>2.0</v>
      </c>
      <c r="B4" s="83" t="s">
        <v>1629</v>
      </c>
      <c r="H4" s="91" t="s">
        <v>1622</v>
      </c>
      <c r="I4" s="92">
        <f t="shared" si="1"/>
        <v>2</v>
      </c>
      <c r="J4" s="46" t="s">
        <v>344</v>
      </c>
      <c r="K4" s="46">
        <v>4.0</v>
      </c>
      <c r="L4" s="46">
        <v>2.0</v>
      </c>
      <c r="M4" s="46">
        <v>2.0</v>
      </c>
      <c r="N4" s="46">
        <v>2.0</v>
      </c>
      <c r="O4" s="46" t="s">
        <v>1628</v>
      </c>
      <c r="P4" s="46" t="s">
        <v>1628</v>
      </c>
      <c r="Q4" s="93" t="s">
        <v>1628</v>
      </c>
      <c r="R4" s="94" t="s">
        <v>1628</v>
      </c>
    </row>
    <row r="5">
      <c r="A5" s="82">
        <v>3.0</v>
      </c>
      <c r="B5" s="83" t="s">
        <v>1630</v>
      </c>
      <c r="H5" s="91" t="s">
        <v>1623</v>
      </c>
      <c r="I5" s="92">
        <f t="shared" si="1"/>
        <v>2</v>
      </c>
      <c r="J5" s="46" t="s">
        <v>1631</v>
      </c>
      <c r="K5" s="46">
        <v>4.0</v>
      </c>
      <c r="L5" s="46">
        <v>2.0</v>
      </c>
      <c r="M5" s="46">
        <v>2.0</v>
      </c>
      <c r="N5" s="46">
        <v>3.0</v>
      </c>
      <c r="O5" s="46" t="s">
        <v>1628</v>
      </c>
      <c r="P5" s="46" t="s">
        <v>1628</v>
      </c>
      <c r="Q5" s="93" t="s">
        <v>1628</v>
      </c>
      <c r="R5" s="94" t="s">
        <v>1628</v>
      </c>
    </row>
    <row r="6">
      <c r="A6" s="82">
        <v>4.0</v>
      </c>
      <c r="B6" s="83" t="s">
        <v>100</v>
      </c>
      <c r="H6" s="91" t="s">
        <v>1624</v>
      </c>
      <c r="I6" s="92">
        <f t="shared" si="1"/>
        <v>2</v>
      </c>
      <c r="J6" s="46" t="s">
        <v>372</v>
      </c>
      <c r="K6" s="46">
        <v>4.0</v>
      </c>
      <c r="L6" s="46">
        <v>2.0</v>
      </c>
      <c r="M6" s="46">
        <v>2.0</v>
      </c>
      <c r="N6" s="46">
        <v>3.0</v>
      </c>
      <c r="O6" s="46" t="s">
        <v>1628</v>
      </c>
      <c r="P6" s="46" t="s">
        <v>1628</v>
      </c>
      <c r="Q6" s="93" t="s">
        <v>1628</v>
      </c>
      <c r="R6" s="94" t="s">
        <v>1628</v>
      </c>
    </row>
    <row r="7">
      <c r="A7" s="82">
        <v>5.0</v>
      </c>
      <c r="B7" s="83" t="s">
        <v>1632</v>
      </c>
      <c r="H7" s="91" t="s">
        <v>1625</v>
      </c>
      <c r="I7" s="92">
        <f t="shared" ref="I7:I10" si="2">+3</f>
        <v>3</v>
      </c>
      <c r="J7" s="46" t="s">
        <v>1633</v>
      </c>
      <c r="K7" s="46">
        <v>4.0</v>
      </c>
      <c r="L7" s="46">
        <v>2.0</v>
      </c>
      <c r="M7" s="46">
        <v>2.0</v>
      </c>
      <c r="N7" s="46">
        <v>4.0</v>
      </c>
      <c r="O7" s="46">
        <v>2.0</v>
      </c>
      <c r="P7" s="46" t="s">
        <v>1628</v>
      </c>
      <c r="Q7" s="93" t="s">
        <v>1628</v>
      </c>
      <c r="R7" s="94" t="s">
        <v>1628</v>
      </c>
    </row>
    <row r="8">
      <c r="A8" s="82">
        <v>6.0</v>
      </c>
      <c r="B8" s="83" t="s">
        <v>1634</v>
      </c>
      <c r="H8" s="91" t="s">
        <v>1635</v>
      </c>
      <c r="I8" s="92">
        <f t="shared" si="2"/>
        <v>3</v>
      </c>
      <c r="J8" s="46" t="s">
        <v>381</v>
      </c>
      <c r="K8" s="46">
        <v>6.0</v>
      </c>
      <c r="L8" s="46">
        <v>3.0</v>
      </c>
      <c r="M8" s="46">
        <v>2.0</v>
      </c>
      <c r="N8" s="46">
        <v>4.0</v>
      </c>
      <c r="O8" s="46">
        <v>2.0</v>
      </c>
      <c r="P8" s="46" t="s">
        <v>1628</v>
      </c>
      <c r="Q8" s="93" t="s">
        <v>1628</v>
      </c>
      <c r="R8" s="94" t="s">
        <v>1628</v>
      </c>
    </row>
    <row r="9">
      <c r="A9" s="82">
        <v>7.0</v>
      </c>
      <c r="B9" s="83" t="s">
        <v>1636</v>
      </c>
      <c r="H9" s="91" t="s">
        <v>1637</v>
      </c>
      <c r="I9" s="92">
        <f t="shared" si="2"/>
        <v>3</v>
      </c>
      <c r="J9" s="46" t="s">
        <v>383</v>
      </c>
      <c r="K9" s="46">
        <v>6.0</v>
      </c>
      <c r="L9" s="46">
        <v>3.0</v>
      </c>
      <c r="M9" s="46">
        <v>2.0</v>
      </c>
      <c r="N9" s="46">
        <v>4.0</v>
      </c>
      <c r="O9" s="46">
        <v>3.0</v>
      </c>
      <c r="P9" s="46" t="s">
        <v>1628</v>
      </c>
      <c r="Q9" s="93" t="s">
        <v>1628</v>
      </c>
      <c r="R9" s="94" t="s">
        <v>1628</v>
      </c>
    </row>
    <row r="10">
      <c r="A10" s="82">
        <v>8.0</v>
      </c>
      <c r="B10" s="83" t="s">
        <v>1638</v>
      </c>
      <c r="H10" s="91" t="s">
        <v>1639</v>
      </c>
      <c r="I10" s="92">
        <f t="shared" si="2"/>
        <v>3</v>
      </c>
      <c r="J10" s="46" t="s">
        <v>372</v>
      </c>
      <c r="K10" s="46">
        <v>6.0</v>
      </c>
      <c r="L10" s="46">
        <v>3.0</v>
      </c>
      <c r="M10" s="46">
        <v>2.0</v>
      </c>
      <c r="N10" s="46">
        <v>4.0</v>
      </c>
      <c r="O10" s="46">
        <v>3.0</v>
      </c>
      <c r="P10" s="46" t="s">
        <v>1628</v>
      </c>
      <c r="Q10" s="93" t="s">
        <v>1628</v>
      </c>
      <c r="R10" s="94" t="s">
        <v>1628</v>
      </c>
    </row>
    <row r="11">
      <c r="A11" s="82">
        <v>9.0</v>
      </c>
      <c r="B11" s="83" t="s">
        <v>1640</v>
      </c>
      <c r="H11" s="91" t="s">
        <v>1641</v>
      </c>
      <c r="I11" s="92">
        <f t="shared" ref="I11:I14" si="3">+4</f>
        <v>4</v>
      </c>
      <c r="J11" s="46" t="s">
        <v>1633</v>
      </c>
      <c r="K11" s="46">
        <v>6.0</v>
      </c>
      <c r="L11" s="46">
        <v>3.0</v>
      </c>
      <c r="M11" s="46">
        <v>2.0</v>
      </c>
      <c r="N11" s="46">
        <v>4.0</v>
      </c>
      <c r="O11" s="46">
        <v>3.0</v>
      </c>
      <c r="P11" s="46">
        <v>2.0</v>
      </c>
      <c r="Q11" s="93" t="s">
        <v>1628</v>
      </c>
      <c r="R11" s="94" t="s">
        <v>1628</v>
      </c>
    </row>
    <row r="12">
      <c r="A12" s="82">
        <v>10.0</v>
      </c>
      <c r="B12" s="83" t="s">
        <v>1642</v>
      </c>
      <c r="H12" s="91" t="s">
        <v>1643</v>
      </c>
      <c r="I12" s="92">
        <f t="shared" si="3"/>
        <v>4</v>
      </c>
      <c r="J12" s="46" t="s">
        <v>1644</v>
      </c>
      <c r="K12" s="46">
        <v>8.0</v>
      </c>
      <c r="L12" s="46">
        <v>4.0</v>
      </c>
      <c r="M12" s="46">
        <v>3.0</v>
      </c>
      <c r="N12" s="46">
        <v>4.0</v>
      </c>
      <c r="O12" s="46">
        <v>3.0</v>
      </c>
      <c r="P12" s="46">
        <v>2.0</v>
      </c>
      <c r="Q12" s="93" t="s">
        <v>1628</v>
      </c>
      <c r="R12" s="94" t="s">
        <v>1628</v>
      </c>
    </row>
    <row r="13">
      <c r="A13" s="82" t="s">
        <v>40</v>
      </c>
      <c r="B13" s="83" t="s">
        <v>1645</v>
      </c>
      <c r="H13" s="91" t="s">
        <v>1646</v>
      </c>
      <c r="I13" s="92">
        <f t="shared" si="3"/>
        <v>4</v>
      </c>
      <c r="J13" s="46" t="s">
        <v>393</v>
      </c>
      <c r="K13" s="46">
        <v>8.0</v>
      </c>
      <c r="L13" s="46">
        <v>4.0</v>
      </c>
      <c r="M13" s="46">
        <v>3.0</v>
      </c>
      <c r="N13" s="46">
        <v>4.0</v>
      </c>
      <c r="O13" s="46">
        <v>3.0</v>
      </c>
      <c r="P13" s="46">
        <v>3.0</v>
      </c>
      <c r="Q13" s="93" t="s">
        <v>1628</v>
      </c>
      <c r="R13" s="94" t="s">
        <v>1628</v>
      </c>
    </row>
    <row r="14">
      <c r="A14" s="82">
        <v>1.0</v>
      </c>
      <c r="B14" s="83" t="s">
        <v>1647</v>
      </c>
      <c r="H14" s="91" t="s">
        <v>1648</v>
      </c>
      <c r="I14" s="92">
        <f t="shared" si="3"/>
        <v>4</v>
      </c>
      <c r="J14" s="46" t="s">
        <v>372</v>
      </c>
      <c r="K14" s="46">
        <v>8.0</v>
      </c>
      <c r="L14" s="46">
        <v>4.0</v>
      </c>
      <c r="M14" s="46">
        <v>3.0</v>
      </c>
      <c r="N14" s="46">
        <v>4.0</v>
      </c>
      <c r="O14" s="46">
        <v>3.0</v>
      </c>
      <c r="P14" s="46">
        <v>3.0</v>
      </c>
      <c r="Q14" s="93" t="s">
        <v>1628</v>
      </c>
      <c r="R14" s="94" t="s">
        <v>1628</v>
      </c>
    </row>
    <row r="15">
      <c r="A15" s="82">
        <v>2.0</v>
      </c>
      <c r="B15" s="83" t="s">
        <v>1649</v>
      </c>
      <c r="H15" s="91" t="s">
        <v>1650</v>
      </c>
      <c r="I15" s="92">
        <f t="shared" ref="I15:I18" si="4">+5</f>
        <v>5</v>
      </c>
      <c r="J15" s="46" t="s">
        <v>1628</v>
      </c>
      <c r="K15" s="46">
        <v>8.0</v>
      </c>
      <c r="L15" s="46">
        <v>4.0</v>
      </c>
      <c r="M15" s="46">
        <v>3.0</v>
      </c>
      <c r="N15" s="46">
        <v>4.0</v>
      </c>
      <c r="O15" s="46">
        <v>3.0</v>
      </c>
      <c r="P15" s="46">
        <v>3.0</v>
      </c>
      <c r="Q15" s="93">
        <v>1.0</v>
      </c>
      <c r="R15" s="94" t="s">
        <v>1628</v>
      </c>
    </row>
    <row r="16">
      <c r="A16" s="82">
        <v>3.0</v>
      </c>
      <c r="B16" s="83" t="s">
        <v>1651</v>
      </c>
      <c r="H16" s="91" t="s">
        <v>1652</v>
      </c>
      <c r="I16" s="92">
        <f t="shared" si="4"/>
        <v>5</v>
      </c>
      <c r="J16" s="46" t="s">
        <v>395</v>
      </c>
      <c r="K16" s="46">
        <v>10.0</v>
      </c>
      <c r="L16" s="46">
        <v>5.0</v>
      </c>
      <c r="M16" s="46">
        <v>4.0</v>
      </c>
      <c r="N16" s="46">
        <v>4.0</v>
      </c>
      <c r="O16" s="46">
        <v>3.0</v>
      </c>
      <c r="P16" s="46">
        <v>3.0</v>
      </c>
      <c r="Q16" s="93">
        <v>1.0</v>
      </c>
      <c r="R16" s="94" t="s">
        <v>1628</v>
      </c>
    </row>
    <row r="17">
      <c r="A17" s="82">
        <v>4.0</v>
      </c>
      <c r="B17" s="83" t="s">
        <v>1653</v>
      </c>
      <c r="H17" s="91" t="s">
        <v>1654</v>
      </c>
      <c r="I17" s="92">
        <f t="shared" si="4"/>
        <v>5</v>
      </c>
      <c r="J17" s="46" t="s">
        <v>1633</v>
      </c>
      <c r="K17" s="46">
        <v>10.0</v>
      </c>
      <c r="L17" s="46">
        <v>5.0</v>
      </c>
      <c r="M17" s="46">
        <v>4.0</v>
      </c>
      <c r="N17" s="46">
        <v>4.0</v>
      </c>
      <c r="O17" s="46">
        <v>3.0</v>
      </c>
      <c r="P17" s="46">
        <v>3.0</v>
      </c>
      <c r="Q17" s="93">
        <v>2.0</v>
      </c>
      <c r="R17" s="94" t="s">
        <v>1628</v>
      </c>
    </row>
    <row r="18">
      <c r="A18" s="82">
        <v>5.0</v>
      </c>
      <c r="B18" s="83" t="s">
        <v>1655</v>
      </c>
      <c r="H18" s="91" t="s">
        <v>1656</v>
      </c>
      <c r="I18" s="92">
        <f t="shared" si="4"/>
        <v>5</v>
      </c>
      <c r="J18" s="46" t="s">
        <v>372</v>
      </c>
      <c r="K18" s="46">
        <v>10.0</v>
      </c>
      <c r="L18" s="46">
        <v>5.0</v>
      </c>
      <c r="M18" s="46">
        <v>4.0</v>
      </c>
      <c r="N18" s="46">
        <v>4.0</v>
      </c>
      <c r="O18" s="46">
        <v>3.0</v>
      </c>
      <c r="P18" s="46">
        <v>3.0</v>
      </c>
      <c r="Q18" s="93">
        <v>2.0</v>
      </c>
      <c r="R18" s="94" t="s">
        <v>1628</v>
      </c>
    </row>
    <row r="19">
      <c r="A19" s="82">
        <v>6.0</v>
      </c>
      <c r="B19" s="83" t="s">
        <v>1657</v>
      </c>
      <c r="H19" s="91" t="s">
        <v>1658</v>
      </c>
      <c r="I19" s="92">
        <f t="shared" ref="I19:I22" si="5">+6</f>
        <v>6</v>
      </c>
      <c r="J19" s="46" t="s">
        <v>1628</v>
      </c>
      <c r="K19" s="46">
        <v>10.0</v>
      </c>
      <c r="L19" s="46">
        <v>5.0</v>
      </c>
      <c r="M19" s="46">
        <v>4.0</v>
      </c>
      <c r="N19" s="46">
        <v>4.0</v>
      </c>
      <c r="O19" s="46">
        <v>3.0</v>
      </c>
      <c r="P19" s="46">
        <v>3.0</v>
      </c>
      <c r="Q19" s="93">
        <v>3.0</v>
      </c>
      <c r="R19" s="94">
        <v>1.0</v>
      </c>
    </row>
    <row r="20">
      <c r="A20" s="82">
        <v>7.0</v>
      </c>
      <c r="B20" s="83" t="s">
        <v>1659</v>
      </c>
      <c r="H20" s="91" t="s">
        <v>1660</v>
      </c>
      <c r="I20" s="92">
        <f t="shared" si="5"/>
        <v>6</v>
      </c>
      <c r="J20" s="46" t="s">
        <v>403</v>
      </c>
      <c r="K20" s="46">
        <v>12.0</v>
      </c>
      <c r="L20" s="46">
        <v>6.0</v>
      </c>
      <c r="M20" s="46">
        <v>4.0</v>
      </c>
      <c r="N20" s="46">
        <v>4.0</v>
      </c>
      <c r="O20" s="46">
        <v>3.0</v>
      </c>
      <c r="P20" s="46">
        <v>3.0</v>
      </c>
      <c r="Q20" s="93">
        <v>3.0</v>
      </c>
      <c r="R20" s="94">
        <v>1.0</v>
      </c>
    </row>
    <row r="21">
      <c r="A21" s="82">
        <v>8.0</v>
      </c>
      <c r="B21" s="83" t="s">
        <v>1661</v>
      </c>
      <c r="H21" s="91" t="s">
        <v>1662</v>
      </c>
      <c r="I21" s="92">
        <f t="shared" si="5"/>
        <v>6</v>
      </c>
      <c r="J21" s="46" t="s">
        <v>372</v>
      </c>
      <c r="K21" s="46">
        <v>12.0</v>
      </c>
      <c r="L21" s="46">
        <v>6.0</v>
      </c>
      <c r="M21" s="46">
        <v>4.0</v>
      </c>
      <c r="N21" s="46">
        <v>4.0</v>
      </c>
      <c r="O21" s="46">
        <v>3.0</v>
      </c>
      <c r="P21" s="46">
        <v>3.0</v>
      </c>
      <c r="Q21" s="93">
        <v>3.0</v>
      </c>
      <c r="R21" s="94">
        <v>2.0</v>
      </c>
    </row>
    <row r="22">
      <c r="A22" s="82">
        <v>9.0</v>
      </c>
      <c r="B22" s="83" t="s">
        <v>1663</v>
      </c>
      <c r="H22" s="84" t="s">
        <v>1664</v>
      </c>
      <c r="I22" s="95">
        <f t="shared" si="5"/>
        <v>6</v>
      </c>
      <c r="J22" s="85" t="s">
        <v>405</v>
      </c>
      <c r="K22" s="85">
        <v>12.0</v>
      </c>
      <c r="L22" s="85">
        <v>6.0</v>
      </c>
      <c r="M22" s="85">
        <v>4.0</v>
      </c>
      <c r="N22" s="85">
        <v>4.0</v>
      </c>
      <c r="O22" s="85">
        <v>3.0</v>
      </c>
      <c r="P22" s="85">
        <v>3.0</v>
      </c>
      <c r="Q22" s="86">
        <v>3.0</v>
      </c>
      <c r="R22" s="87">
        <v>2.0</v>
      </c>
    </row>
    <row r="23">
      <c r="A23" s="82">
        <v>10.0</v>
      </c>
      <c r="B23" s="83" t="s">
        <v>1665</v>
      </c>
    </row>
    <row r="24">
      <c r="A24" s="82" t="s">
        <v>40</v>
      </c>
      <c r="B24" s="83" t="s">
        <v>1666</v>
      </c>
    </row>
    <row r="25">
      <c r="A25" s="82">
        <v>1.0</v>
      </c>
      <c r="B25" s="83" t="s">
        <v>1667</v>
      </c>
      <c r="H25" s="96" t="s">
        <v>1668</v>
      </c>
      <c r="I25" s="97"/>
      <c r="J25" s="97"/>
      <c r="K25" s="97"/>
      <c r="L25" s="98"/>
    </row>
    <row r="26">
      <c r="A26" s="82">
        <v>2.0</v>
      </c>
      <c r="B26" s="83" t="s">
        <v>1669</v>
      </c>
      <c r="H26" s="99" t="s">
        <v>1615</v>
      </c>
      <c r="I26" s="100" t="s">
        <v>1616</v>
      </c>
      <c r="J26" s="100" t="s">
        <v>1617</v>
      </c>
      <c r="K26" s="100" t="s">
        <v>1670</v>
      </c>
      <c r="L26" s="101" t="s">
        <v>1671</v>
      </c>
    </row>
    <row r="27">
      <c r="A27" s="82">
        <v>3.0</v>
      </c>
      <c r="B27" s="83" t="s">
        <v>1672</v>
      </c>
      <c r="H27" s="102" t="s">
        <v>1621</v>
      </c>
      <c r="I27" s="97">
        <f t="shared" ref="I27:I30" si="6">+2</f>
        <v>2</v>
      </c>
      <c r="J27" s="103" t="s">
        <v>1673</v>
      </c>
      <c r="K27" s="103">
        <v>2.0</v>
      </c>
      <c r="L27" s="98">
        <f t="shared" ref="L27:L34" si="7">+2</f>
        <v>2</v>
      </c>
    </row>
    <row r="28">
      <c r="A28" s="82">
        <v>4.0</v>
      </c>
      <c r="B28" s="83" t="s">
        <v>1674</v>
      </c>
      <c r="H28" s="104" t="s">
        <v>1622</v>
      </c>
      <c r="I28" s="105">
        <f t="shared" si="6"/>
        <v>2</v>
      </c>
      <c r="J28" s="106" t="s">
        <v>1675</v>
      </c>
      <c r="K28" s="106">
        <v>2.0</v>
      </c>
      <c r="L28" s="107">
        <f t="shared" si="7"/>
        <v>2</v>
      </c>
    </row>
    <row r="29">
      <c r="A29" s="82">
        <v>5.0</v>
      </c>
      <c r="B29" s="83" t="s">
        <v>1676</v>
      </c>
      <c r="H29" s="104" t="s">
        <v>1623</v>
      </c>
      <c r="I29" s="105">
        <f t="shared" si="6"/>
        <v>2</v>
      </c>
      <c r="J29" s="106" t="s">
        <v>1677</v>
      </c>
      <c r="K29" s="106">
        <v>3.0</v>
      </c>
      <c r="L29" s="107">
        <f t="shared" si="7"/>
        <v>2</v>
      </c>
    </row>
    <row r="30">
      <c r="A30" s="82">
        <v>6.0</v>
      </c>
      <c r="B30" s="83" t="s">
        <v>1678</v>
      </c>
      <c r="H30" s="104" t="s">
        <v>1624</v>
      </c>
      <c r="I30" s="105">
        <f t="shared" si="6"/>
        <v>2</v>
      </c>
      <c r="J30" s="106" t="s">
        <v>372</v>
      </c>
      <c r="K30" s="106">
        <v>3.0</v>
      </c>
      <c r="L30" s="107">
        <f t="shared" si="7"/>
        <v>2</v>
      </c>
    </row>
    <row r="31">
      <c r="A31" s="82">
        <v>7.0</v>
      </c>
      <c r="B31" s="83" t="s">
        <v>1679</v>
      </c>
      <c r="H31" s="104" t="s">
        <v>1625</v>
      </c>
      <c r="I31" s="105">
        <f t="shared" ref="I31:I34" si="8">+3</f>
        <v>3</v>
      </c>
      <c r="J31" s="106" t="s">
        <v>1680</v>
      </c>
      <c r="K31" s="106">
        <v>3.0</v>
      </c>
      <c r="L31" s="107">
        <f t="shared" si="7"/>
        <v>2</v>
      </c>
    </row>
    <row r="32">
      <c r="A32" s="82">
        <v>8.0</v>
      </c>
      <c r="B32" s="83" t="s">
        <v>1681</v>
      </c>
      <c r="H32" s="104" t="s">
        <v>1635</v>
      </c>
      <c r="I32" s="105">
        <f t="shared" si="8"/>
        <v>3</v>
      </c>
      <c r="J32" s="106" t="s">
        <v>1682</v>
      </c>
      <c r="K32" s="106">
        <v>4.0</v>
      </c>
      <c r="L32" s="107">
        <f t="shared" si="7"/>
        <v>2</v>
      </c>
    </row>
    <row r="33">
      <c r="A33" s="82">
        <v>9.0</v>
      </c>
      <c r="B33" s="83" t="s">
        <v>1683</v>
      </c>
      <c r="H33" s="104" t="s">
        <v>1637</v>
      </c>
      <c r="I33" s="105">
        <f t="shared" si="8"/>
        <v>3</v>
      </c>
      <c r="J33" s="106" t="s">
        <v>449</v>
      </c>
      <c r="K33" s="106">
        <v>4.0</v>
      </c>
      <c r="L33" s="107">
        <f t="shared" si="7"/>
        <v>2</v>
      </c>
    </row>
    <row r="34">
      <c r="A34" s="82">
        <v>10.0</v>
      </c>
      <c r="B34" s="83" t="s">
        <v>1665</v>
      </c>
      <c r="H34" s="104" t="s">
        <v>1639</v>
      </c>
      <c r="I34" s="105">
        <f t="shared" si="8"/>
        <v>3</v>
      </c>
      <c r="J34" s="106" t="s">
        <v>372</v>
      </c>
      <c r="K34" s="106">
        <v>4.0</v>
      </c>
      <c r="L34" s="107">
        <f t="shared" si="7"/>
        <v>2</v>
      </c>
    </row>
    <row r="35">
      <c r="A35" s="82" t="s">
        <v>40</v>
      </c>
      <c r="B35" s="83" t="s">
        <v>1684</v>
      </c>
      <c r="H35" s="104" t="s">
        <v>1641</v>
      </c>
      <c r="I35" s="105">
        <f t="shared" ref="I35:I38" si="9">+4</f>
        <v>4</v>
      </c>
      <c r="J35" s="106" t="s">
        <v>1685</v>
      </c>
      <c r="K35" s="106">
        <v>4.0</v>
      </c>
      <c r="L35" s="107">
        <f t="shared" ref="L35:L38" si="10">+3</f>
        <v>3</v>
      </c>
    </row>
    <row r="36">
      <c r="A36" s="82">
        <v>1.0</v>
      </c>
      <c r="B36" s="83" t="s">
        <v>1686</v>
      </c>
      <c r="H36" s="104" t="s">
        <v>1643</v>
      </c>
      <c r="I36" s="105">
        <f t="shared" si="9"/>
        <v>4</v>
      </c>
      <c r="J36" s="106" t="s">
        <v>1682</v>
      </c>
      <c r="K36" s="106">
        <v>4.0</v>
      </c>
      <c r="L36" s="107">
        <f t="shared" si="10"/>
        <v>3</v>
      </c>
    </row>
    <row r="37">
      <c r="A37" s="82">
        <v>2.0</v>
      </c>
      <c r="B37" s="83" t="s">
        <v>1687</v>
      </c>
      <c r="H37" s="104" t="s">
        <v>1646</v>
      </c>
      <c r="I37" s="105">
        <f t="shared" si="9"/>
        <v>4</v>
      </c>
      <c r="J37" s="106" t="s">
        <v>465</v>
      </c>
      <c r="K37" s="106">
        <v>4.0</v>
      </c>
      <c r="L37" s="107">
        <f t="shared" si="10"/>
        <v>3</v>
      </c>
    </row>
    <row r="38">
      <c r="A38" s="82">
        <v>3.0</v>
      </c>
      <c r="B38" s="83" t="s">
        <v>1688</v>
      </c>
      <c r="H38" s="104" t="s">
        <v>1648</v>
      </c>
      <c r="I38" s="105">
        <f t="shared" si="9"/>
        <v>4</v>
      </c>
      <c r="J38" s="106" t="s">
        <v>372</v>
      </c>
      <c r="K38" s="106">
        <v>5.0</v>
      </c>
      <c r="L38" s="107">
        <f t="shared" si="10"/>
        <v>3</v>
      </c>
    </row>
    <row r="39">
      <c r="A39" s="82">
        <v>4.0</v>
      </c>
      <c r="B39" s="83" t="s">
        <v>1689</v>
      </c>
      <c r="H39" s="104" t="s">
        <v>1650</v>
      </c>
      <c r="I39" s="105">
        <f t="shared" ref="I39:I42" si="11">+5</f>
        <v>5</v>
      </c>
      <c r="J39" s="106" t="s">
        <v>1690</v>
      </c>
      <c r="K39" s="106">
        <v>5.0</v>
      </c>
      <c r="L39" s="107">
        <f t="shared" ref="L39:L46" si="12">+4</f>
        <v>4</v>
      </c>
    </row>
    <row r="40">
      <c r="A40" s="82">
        <v>5.0</v>
      </c>
      <c r="B40" s="83" t="s">
        <v>1691</v>
      </c>
      <c r="H40" s="104" t="s">
        <v>1652</v>
      </c>
      <c r="I40" s="105">
        <f t="shared" si="11"/>
        <v>5</v>
      </c>
      <c r="J40" s="106" t="s">
        <v>1682</v>
      </c>
      <c r="K40" s="106">
        <v>5.0</v>
      </c>
      <c r="L40" s="107">
        <f t="shared" si="12"/>
        <v>4</v>
      </c>
    </row>
    <row r="41">
      <c r="A41" s="82">
        <v>6.0</v>
      </c>
      <c r="B41" s="83" t="s">
        <v>1692</v>
      </c>
      <c r="H41" s="104" t="s">
        <v>1654</v>
      </c>
      <c r="I41" s="105">
        <f t="shared" si="11"/>
        <v>5</v>
      </c>
      <c r="J41" s="106" t="s">
        <v>479</v>
      </c>
      <c r="K41" s="106">
        <v>5.0</v>
      </c>
      <c r="L41" s="107">
        <f t="shared" si="12"/>
        <v>4</v>
      </c>
    </row>
    <row r="42">
      <c r="A42" s="82">
        <v>7.0</v>
      </c>
      <c r="B42" s="83" t="s">
        <v>1693</v>
      </c>
      <c r="H42" s="104" t="s">
        <v>1656</v>
      </c>
      <c r="I42" s="105">
        <f t="shared" si="11"/>
        <v>5</v>
      </c>
      <c r="J42" s="106" t="s">
        <v>372</v>
      </c>
      <c r="K42" s="106">
        <v>5.0</v>
      </c>
      <c r="L42" s="107">
        <f t="shared" si="12"/>
        <v>4</v>
      </c>
    </row>
    <row r="43">
      <c r="A43" s="82">
        <v>8.0</v>
      </c>
      <c r="B43" s="83" t="s">
        <v>1694</v>
      </c>
      <c r="H43" s="104" t="s">
        <v>1658</v>
      </c>
      <c r="I43" s="105">
        <f t="shared" ref="I43:I46" si="13">+6</f>
        <v>6</v>
      </c>
      <c r="J43" s="106" t="s">
        <v>1695</v>
      </c>
      <c r="K43" s="106">
        <v>6.0</v>
      </c>
      <c r="L43" s="107">
        <f t="shared" si="12"/>
        <v>4</v>
      </c>
    </row>
    <row r="44">
      <c r="A44" s="82">
        <v>9.0</v>
      </c>
      <c r="B44" s="83" t="s">
        <v>1696</v>
      </c>
      <c r="H44" s="104" t="s">
        <v>1660</v>
      </c>
      <c r="I44" s="105">
        <f t="shared" si="13"/>
        <v>6</v>
      </c>
      <c r="J44" s="106" t="s">
        <v>481</v>
      </c>
      <c r="K44" s="106">
        <v>6.0</v>
      </c>
      <c r="L44" s="107">
        <f t="shared" si="12"/>
        <v>4</v>
      </c>
    </row>
    <row r="45">
      <c r="A45" s="82">
        <v>10.0</v>
      </c>
      <c r="B45" s="83" t="s">
        <v>1665</v>
      </c>
      <c r="H45" s="104" t="s">
        <v>1662</v>
      </c>
      <c r="I45" s="105">
        <f t="shared" si="13"/>
        <v>6</v>
      </c>
      <c r="J45" s="106" t="s">
        <v>372</v>
      </c>
      <c r="K45" s="106">
        <v>6.0</v>
      </c>
      <c r="L45" s="107">
        <f t="shared" si="12"/>
        <v>4</v>
      </c>
    </row>
    <row r="46">
      <c r="A46" s="82" t="s">
        <v>40</v>
      </c>
      <c r="B46" s="83" t="s">
        <v>1697</v>
      </c>
      <c r="H46" s="99" t="s">
        <v>1664</v>
      </c>
      <c r="I46" s="108">
        <f t="shared" si="13"/>
        <v>6</v>
      </c>
      <c r="J46" s="100" t="s">
        <v>483</v>
      </c>
      <c r="K46" s="100" t="s">
        <v>1698</v>
      </c>
      <c r="L46" s="109">
        <f t="shared" si="12"/>
        <v>4</v>
      </c>
    </row>
    <row r="47">
      <c r="A47" s="82">
        <v>1.0</v>
      </c>
      <c r="B47" s="83" t="s">
        <v>1699</v>
      </c>
    </row>
    <row r="48">
      <c r="A48" s="82">
        <v>2.0</v>
      </c>
      <c r="B48" s="83" t="s">
        <v>1700</v>
      </c>
      <c r="H48" s="110" t="s">
        <v>1701</v>
      </c>
      <c r="I48" s="111" t="s">
        <v>1613</v>
      </c>
      <c r="J48" s="112"/>
    </row>
    <row r="49">
      <c r="A49" s="82">
        <v>3.0</v>
      </c>
      <c r="B49" s="83" t="s">
        <v>1702</v>
      </c>
      <c r="H49" s="113" t="s">
        <v>1615</v>
      </c>
      <c r="I49" s="114" t="s">
        <v>1616</v>
      </c>
      <c r="J49" s="115" t="s">
        <v>1617</v>
      </c>
    </row>
    <row r="50">
      <c r="A50" s="82">
        <v>4.0</v>
      </c>
      <c r="B50" s="83" t="s">
        <v>1703</v>
      </c>
      <c r="H50" s="116" t="s">
        <v>1621</v>
      </c>
      <c r="I50" s="117">
        <f t="shared" ref="I50:I53" si="14">+2</f>
        <v>2</v>
      </c>
      <c r="J50" s="118" t="s">
        <v>1704</v>
      </c>
    </row>
    <row r="51">
      <c r="A51" s="82">
        <v>5.0</v>
      </c>
      <c r="B51" s="83" t="s">
        <v>1705</v>
      </c>
      <c r="H51" s="116" t="s">
        <v>1622</v>
      </c>
      <c r="I51" s="117">
        <f t="shared" si="14"/>
        <v>2</v>
      </c>
      <c r="J51" s="118" t="s">
        <v>1706</v>
      </c>
    </row>
    <row r="52">
      <c r="A52" s="82">
        <v>6.0</v>
      </c>
      <c r="B52" s="83" t="s">
        <v>1707</v>
      </c>
      <c r="H52" s="116" t="s">
        <v>1623</v>
      </c>
      <c r="I52" s="117">
        <f t="shared" si="14"/>
        <v>2</v>
      </c>
      <c r="J52" s="119"/>
    </row>
    <row r="53">
      <c r="A53" s="82">
        <v>7.0</v>
      </c>
      <c r="B53" s="83" t="s">
        <v>1708</v>
      </c>
      <c r="H53" s="116" t="s">
        <v>1624</v>
      </c>
      <c r="I53" s="117">
        <f t="shared" si="14"/>
        <v>2</v>
      </c>
      <c r="J53" s="118" t="s">
        <v>372</v>
      </c>
    </row>
    <row r="54">
      <c r="A54" s="82">
        <v>8.0</v>
      </c>
      <c r="B54" s="83" t="s">
        <v>1709</v>
      </c>
      <c r="H54" s="116" t="s">
        <v>1625</v>
      </c>
      <c r="I54" s="117">
        <f t="shared" ref="I54:I57" si="15">+3</f>
        <v>3</v>
      </c>
      <c r="J54" s="118" t="s">
        <v>1710</v>
      </c>
    </row>
    <row r="55">
      <c r="A55" s="82">
        <v>9.0</v>
      </c>
      <c r="B55" s="83" t="s">
        <v>1711</v>
      </c>
      <c r="H55" s="116" t="s">
        <v>1635</v>
      </c>
      <c r="I55" s="117">
        <f t="shared" si="15"/>
        <v>3</v>
      </c>
      <c r="J55" s="118" t="s">
        <v>1712</v>
      </c>
    </row>
    <row r="56">
      <c r="A56" s="82">
        <v>10.0</v>
      </c>
      <c r="B56" s="83" t="s">
        <v>1665</v>
      </c>
      <c r="H56" s="116" t="s">
        <v>1637</v>
      </c>
      <c r="I56" s="117">
        <f t="shared" si="15"/>
        <v>3</v>
      </c>
      <c r="J56" s="119"/>
    </row>
    <row r="57">
      <c r="A57" s="82" t="s">
        <v>40</v>
      </c>
      <c r="B57" s="83" t="s">
        <v>1713</v>
      </c>
      <c r="H57" s="116" t="s">
        <v>1639</v>
      </c>
      <c r="I57" s="117">
        <f t="shared" si="15"/>
        <v>3</v>
      </c>
      <c r="J57" s="118" t="s">
        <v>1714</v>
      </c>
    </row>
    <row r="58">
      <c r="A58" s="82">
        <v>1.0</v>
      </c>
      <c r="B58" s="83" t="s">
        <v>1715</v>
      </c>
      <c r="H58" s="116" t="s">
        <v>1641</v>
      </c>
      <c r="I58" s="117">
        <f t="shared" ref="I58:I61" si="16">+4</f>
        <v>4</v>
      </c>
      <c r="J58" s="119"/>
    </row>
    <row r="59">
      <c r="A59" s="82">
        <v>2.0</v>
      </c>
      <c r="B59" s="83" t="s">
        <v>1716</v>
      </c>
      <c r="H59" s="116" t="s">
        <v>1643</v>
      </c>
      <c r="I59" s="117">
        <f t="shared" si="16"/>
        <v>4</v>
      </c>
      <c r="J59" s="118" t="s">
        <v>677</v>
      </c>
    </row>
    <row r="60">
      <c r="A60" s="82">
        <v>3.0</v>
      </c>
      <c r="B60" s="83" t="s">
        <v>1717</v>
      </c>
      <c r="H60" s="116" t="s">
        <v>1646</v>
      </c>
      <c r="I60" s="117">
        <f t="shared" si="16"/>
        <v>4</v>
      </c>
      <c r="J60" s="118" t="s">
        <v>1718</v>
      </c>
    </row>
    <row r="61">
      <c r="A61" s="82">
        <v>4.0</v>
      </c>
      <c r="B61" s="83" t="s">
        <v>1719</v>
      </c>
      <c r="H61" s="116" t="s">
        <v>1648</v>
      </c>
      <c r="I61" s="117">
        <f t="shared" si="16"/>
        <v>4</v>
      </c>
      <c r="J61" s="118" t="s">
        <v>372</v>
      </c>
    </row>
    <row r="62">
      <c r="A62" s="82">
        <v>5.0</v>
      </c>
      <c r="B62" s="83" t="s">
        <v>1720</v>
      </c>
      <c r="H62" s="116" t="s">
        <v>1650</v>
      </c>
      <c r="I62" s="117">
        <f t="shared" ref="I62:I65" si="17">+5</f>
        <v>5</v>
      </c>
      <c r="J62" s="119"/>
    </row>
    <row r="63">
      <c r="A63" s="82">
        <v>6.0</v>
      </c>
      <c r="B63" s="83" t="s">
        <v>1721</v>
      </c>
      <c r="H63" s="116" t="s">
        <v>1652</v>
      </c>
      <c r="I63" s="117">
        <f t="shared" si="17"/>
        <v>5</v>
      </c>
      <c r="J63" s="118" t="s">
        <v>1722</v>
      </c>
    </row>
    <row r="64">
      <c r="A64" s="82">
        <v>7.0</v>
      </c>
      <c r="B64" s="83" t="s">
        <v>1723</v>
      </c>
      <c r="H64" s="116" t="s">
        <v>1654</v>
      </c>
      <c r="I64" s="117">
        <f t="shared" si="17"/>
        <v>5</v>
      </c>
      <c r="J64" s="119"/>
    </row>
    <row r="65">
      <c r="A65" s="82">
        <v>8.0</v>
      </c>
      <c r="B65" s="83" t="s">
        <v>1724</v>
      </c>
      <c r="H65" s="116" t="s">
        <v>1656</v>
      </c>
      <c r="I65" s="117">
        <f t="shared" si="17"/>
        <v>5</v>
      </c>
      <c r="J65" s="118" t="s">
        <v>372</v>
      </c>
    </row>
    <row r="66">
      <c r="A66" s="82">
        <v>9.0</v>
      </c>
      <c r="B66" s="83" t="s">
        <v>1725</v>
      </c>
      <c r="H66" s="116" t="s">
        <v>1658</v>
      </c>
      <c r="I66" s="117">
        <f t="shared" ref="I66:I69" si="18">+6</f>
        <v>6</v>
      </c>
      <c r="J66" s="118" t="s">
        <v>1726</v>
      </c>
    </row>
    <row r="67">
      <c r="A67" s="120">
        <v>10.0</v>
      </c>
      <c r="B67" s="121" t="s">
        <v>1665</v>
      </c>
      <c r="H67" s="116" t="s">
        <v>1660</v>
      </c>
      <c r="I67" s="117">
        <f t="shared" si="18"/>
        <v>6</v>
      </c>
      <c r="J67" s="118" t="s">
        <v>1727</v>
      </c>
    </row>
    <row r="68">
      <c r="H68" s="116" t="s">
        <v>1662</v>
      </c>
      <c r="I68" s="117">
        <f t="shared" si="18"/>
        <v>6</v>
      </c>
      <c r="J68" s="118" t="s">
        <v>372</v>
      </c>
    </row>
    <row r="69">
      <c r="A69" s="122" t="s">
        <v>350</v>
      </c>
      <c r="B69" s="123"/>
      <c r="H69" s="116" t="s">
        <v>1664</v>
      </c>
      <c r="I69" s="117">
        <f t="shared" si="18"/>
        <v>6</v>
      </c>
      <c r="J69" s="118" t="s">
        <v>1728</v>
      </c>
    </row>
    <row r="70">
      <c r="A70" s="124" t="s">
        <v>1729</v>
      </c>
      <c r="B70" s="124" t="s">
        <v>350</v>
      </c>
    </row>
    <row r="71">
      <c r="A71" s="124" t="s">
        <v>1623</v>
      </c>
      <c r="B71" s="124" t="s">
        <v>1730</v>
      </c>
      <c r="H71" s="125" t="s">
        <v>778</v>
      </c>
      <c r="I71" s="126"/>
      <c r="J71" s="126"/>
      <c r="K71" s="127"/>
    </row>
    <row r="72">
      <c r="A72" s="124" t="s">
        <v>1625</v>
      </c>
      <c r="B72" s="124" t="s">
        <v>1731</v>
      </c>
      <c r="H72" s="128" t="s">
        <v>1615</v>
      </c>
      <c r="I72" s="129" t="s">
        <v>1732</v>
      </c>
      <c r="J72" s="129" t="s">
        <v>1733</v>
      </c>
      <c r="K72" s="130" t="s">
        <v>1734</v>
      </c>
    </row>
    <row r="73">
      <c r="A73" s="124" t="s">
        <v>1641</v>
      </c>
      <c r="B73" s="124" t="s">
        <v>1735</v>
      </c>
      <c r="H73" s="131" t="s">
        <v>1622</v>
      </c>
      <c r="I73" s="132">
        <v>43469.0</v>
      </c>
      <c r="J73" s="131" t="s">
        <v>1736</v>
      </c>
      <c r="K73" s="131" t="s">
        <v>1737</v>
      </c>
    </row>
    <row r="74">
      <c r="A74" s="124" t="s">
        <v>1650</v>
      </c>
      <c r="B74" s="124" t="s">
        <v>1738</v>
      </c>
      <c r="H74" s="131" t="s">
        <v>1624</v>
      </c>
      <c r="I74" s="132">
        <v>43467.0</v>
      </c>
      <c r="J74" s="131" t="s">
        <v>1739</v>
      </c>
      <c r="K74" s="131" t="s">
        <v>1740</v>
      </c>
    </row>
    <row r="75">
      <c r="A75" s="124" t="s">
        <v>1658</v>
      </c>
      <c r="B75" s="124" t="s">
        <v>1741</v>
      </c>
      <c r="H75" s="131" t="s">
        <v>1639</v>
      </c>
      <c r="I75" s="131">
        <v>1.0</v>
      </c>
      <c r="J75" s="133"/>
      <c r="K75" s="131" t="s">
        <v>1742</v>
      </c>
    </row>
    <row r="77">
      <c r="A77" s="134" t="s">
        <v>355</v>
      </c>
      <c r="B77" s="135"/>
    </row>
    <row r="78">
      <c r="A78" s="136" t="s">
        <v>61</v>
      </c>
      <c r="B78" s="136" t="s">
        <v>1743</v>
      </c>
    </row>
    <row r="79">
      <c r="A79" s="136">
        <v>1.0</v>
      </c>
      <c r="B79" s="137" t="s">
        <v>1744</v>
      </c>
    </row>
    <row r="80">
      <c r="A80" s="136">
        <v>2.0</v>
      </c>
      <c r="B80" s="137" t="s">
        <v>1745</v>
      </c>
    </row>
    <row r="81">
      <c r="A81" s="136">
        <v>3.0</v>
      </c>
      <c r="B81" s="137" t="s">
        <v>1746</v>
      </c>
    </row>
    <row r="82">
      <c r="A82" s="136">
        <v>4.0</v>
      </c>
      <c r="B82" s="137" t="s">
        <v>1747</v>
      </c>
    </row>
    <row r="83">
      <c r="A83" s="136">
        <v>5.0</v>
      </c>
      <c r="B83" s="137" t="s">
        <v>1748</v>
      </c>
    </row>
    <row r="84">
      <c r="A84" s="136">
        <v>6.0</v>
      </c>
      <c r="B84" s="137" t="s">
        <v>1749</v>
      </c>
    </row>
    <row r="86">
      <c r="A86" s="138" t="s">
        <v>366</v>
      </c>
      <c r="B86" s="139"/>
      <c r="H86" s="140"/>
      <c r="I86" s="141"/>
      <c r="J86" s="141"/>
      <c r="K86" s="141"/>
      <c r="L86" s="141"/>
    </row>
    <row r="87">
      <c r="A87" s="142" t="s">
        <v>1729</v>
      </c>
      <c r="B87" s="142" t="s">
        <v>366</v>
      </c>
      <c r="H87" s="140"/>
      <c r="I87" s="141"/>
      <c r="J87" s="141"/>
      <c r="K87" s="141"/>
      <c r="L87" s="141"/>
    </row>
    <row r="88">
      <c r="A88" s="142" t="s">
        <v>1623</v>
      </c>
      <c r="B88" s="142" t="s">
        <v>1750</v>
      </c>
      <c r="H88" s="140"/>
      <c r="I88" s="141"/>
      <c r="J88" s="141"/>
      <c r="K88" s="141"/>
      <c r="L88" s="141"/>
    </row>
    <row r="89">
      <c r="A89" s="142" t="s">
        <v>1625</v>
      </c>
      <c r="B89" s="142" t="s">
        <v>1751</v>
      </c>
      <c r="H89" s="140"/>
      <c r="I89" s="141"/>
      <c r="J89" s="141"/>
      <c r="K89" s="141"/>
      <c r="L89" s="141"/>
    </row>
    <row r="90">
      <c r="A90" s="142" t="s">
        <v>1641</v>
      </c>
      <c r="B90" s="142" t="s">
        <v>1752</v>
      </c>
      <c r="H90" s="140"/>
      <c r="I90" s="141"/>
      <c r="J90" s="141"/>
      <c r="K90" s="141"/>
      <c r="L90" s="141"/>
    </row>
    <row r="91">
      <c r="A91" s="142" t="s">
        <v>1650</v>
      </c>
      <c r="B91" s="142" t="s">
        <v>1753</v>
      </c>
      <c r="H91" s="140"/>
      <c r="I91" s="141"/>
      <c r="J91" s="141"/>
      <c r="K91" s="141"/>
      <c r="L91" s="141"/>
    </row>
    <row r="92">
      <c r="A92" s="142" t="s">
        <v>1658</v>
      </c>
      <c r="B92" s="142" t="s">
        <v>1754</v>
      </c>
      <c r="H92" s="140"/>
      <c r="I92" s="141"/>
      <c r="J92" s="141"/>
      <c r="K92" s="141"/>
      <c r="L92" s="141"/>
    </row>
    <row r="93">
      <c r="A93" s="143"/>
      <c r="H93" s="140"/>
      <c r="I93" s="141"/>
      <c r="J93" s="141"/>
      <c r="K93" s="141"/>
      <c r="L93" s="141"/>
    </row>
    <row r="94">
      <c r="A94" s="144" t="s">
        <v>358</v>
      </c>
      <c r="B94" s="145"/>
      <c r="H94" s="146" t="s">
        <v>1755</v>
      </c>
      <c r="I94" s="147"/>
      <c r="J94" s="147"/>
      <c r="K94" s="147"/>
      <c r="L94" s="148"/>
    </row>
    <row r="95">
      <c r="A95" s="149" t="s">
        <v>1729</v>
      </c>
      <c r="B95" s="149" t="s">
        <v>358</v>
      </c>
      <c r="H95" s="150" t="s">
        <v>1615</v>
      </c>
      <c r="I95" s="151" t="s">
        <v>1616</v>
      </c>
      <c r="J95" s="151" t="s">
        <v>909</v>
      </c>
      <c r="K95" s="151" t="s">
        <v>1756</v>
      </c>
      <c r="L95" s="152" t="s">
        <v>912</v>
      </c>
    </row>
    <row r="96">
      <c r="A96" s="149" t="s">
        <v>1623</v>
      </c>
      <c r="B96" s="149" t="s">
        <v>1757</v>
      </c>
      <c r="H96" s="153" t="s">
        <v>1621</v>
      </c>
      <c r="I96" s="141">
        <f t="shared" ref="I96:I99" si="19">+2</f>
        <v>2</v>
      </c>
      <c r="J96" s="153" t="s">
        <v>1758</v>
      </c>
      <c r="K96" s="153" t="s">
        <v>1759</v>
      </c>
      <c r="L96" s="153" t="s">
        <v>1759</v>
      </c>
    </row>
    <row r="97">
      <c r="A97" s="149" t="s">
        <v>1625</v>
      </c>
      <c r="B97" s="149" t="s">
        <v>1760</v>
      </c>
      <c r="H97" s="153" t="s">
        <v>1622</v>
      </c>
      <c r="I97" s="141">
        <f t="shared" si="19"/>
        <v>2</v>
      </c>
      <c r="J97" s="153" t="s">
        <v>1758</v>
      </c>
      <c r="K97" s="153">
        <v>2.0</v>
      </c>
      <c r="L97" s="154" t="s">
        <v>1761</v>
      </c>
    </row>
    <row r="98">
      <c r="A98" s="149" t="s">
        <v>1641</v>
      </c>
      <c r="B98" s="149" t="s">
        <v>1762</v>
      </c>
      <c r="H98" s="153" t="s">
        <v>1623</v>
      </c>
      <c r="I98" s="141">
        <f t="shared" si="19"/>
        <v>2</v>
      </c>
      <c r="J98" s="153" t="s">
        <v>1758</v>
      </c>
      <c r="K98" s="153">
        <v>3.0</v>
      </c>
      <c r="L98" s="154" t="s">
        <v>1761</v>
      </c>
    </row>
    <row r="99">
      <c r="A99" s="149" t="s">
        <v>1650</v>
      </c>
      <c r="B99" s="149" t="s">
        <v>1763</v>
      </c>
      <c r="H99" s="153" t="s">
        <v>1624</v>
      </c>
      <c r="I99" s="141">
        <f t="shared" si="19"/>
        <v>2</v>
      </c>
      <c r="J99" s="153" t="s">
        <v>1758</v>
      </c>
      <c r="K99" s="153">
        <v>4.0</v>
      </c>
      <c r="L99" s="154" t="s">
        <v>1761</v>
      </c>
    </row>
    <row r="100">
      <c r="A100" s="149" t="s">
        <v>1658</v>
      </c>
      <c r="B100" s="149" t="s">
        <v>1764</v>
      </c>
      <c r="H100" s="153" t="s">
        <v>1625</v>
      </c>
      <c r="I100" s="141">
        <f t="shared" ref="I100:I103" si="20">+3</f>
        <v>3</v>
      </c>
      <c r="J100" s="153" t="s">
        <v>1765</v>
      </c>
      <c r="K100" s="153">
        <v>5.0</v>
      </c>
      <c r="L100" s="154" t="s">
        <v>1761</v>
      </c>
    </row>
    <row r="101">
      <c r="H101" s="153" t="s">
        <v>1635</v>
      </c>
      <c r="I101" s="141">
        <f t="shared" si="20"/>
        <v>3</v>
      </c>
      <c r="J101" s="153" t="s">
        <v>1765</v>
      </c>
      <c r="K101" s="153">
        <v>6.0</v>
      </c>
      <c r="L101" s="154" t="s">
        <v>1766</v>
      </c>
    </row>
    <row r="102">
      <c r="A102" s="155" t="s">
        <v>1767</v>
      </c>
      <c r="B102" s="156"/>
      <c r="H102" s="153" t="s">
        <v>1637</v>
      </c>
      <c r="I102" s="141">
        <f t="shared" si="20"/>
        <v>3</v>
      </c>
      <c r="J102" s="153" t="s">
        <v>1765</v>
      </c>
      <c r="K102" s="153">
        <v>7.0</v>
      </c>
      <c r="L102" s="154" t="s">
        <v>1766</v>
      </c>
    </row>
    <row r="103">
      <c r="A103" s="157" t="s">
        <v>1768</v>
      </c>
      <c r="B103" s="158" t="s">
        <v>1769</v>
      </c>
      <c r="H103" s="153" t="s">
        <v>1639</v>
      </c>
      <c r="I103" s="141">
        <f t="shared" si="20"/>
        <v>3</v>
      </c>
      <c r="J103" s="153" t="s">
        <v>1765</v>
      </c>
      <c r="K103" s="153">
        <v>8.0</v>
      </c>
      <c r="L103" s="154" t="s">
        <v>1766</v>
      </c>
    </row>
    <row r="104">
      <c r="A104" s="159" t="s">
        <v>1770</v>
      </c>
      <c r="B104" s="160" t="s">
        <v>1771</v>
      </c>
      <c r="H104" s="153" t="s">
        <v>1641</v>
      </c>
      <c r="I104" s="141">
        <f t="shared" ref="I104:I107" si="21">+4</f>
        <v>4</v>
      </c>
      <c r="J104" s="153" t="s">
        <v>1765</v>
      </c>
      <c r="K104" s="153">
        <v>9.0</v>
      </c>
      <c r="L104" s="154" t="s">
        <v>1766</v>
      </c>
    </row>
    <row r="105">
      <c r="A105" s="159" t="s">
        <v>1772</v>
      </c>
      <c r="B105" s="160" t="s">
        <v>1773</v>
      </c>
      <c r="H105" s="153" t="s">
        <v>1643</v>
      </c>
      <c r="I105" s="141">
        <f t="shared" si="21"/>
        <v>4</v>
      </c>
      <c r="J105" s="153" t="s">
        <v>1765</v>
      </c>
      <c r="K105" s="153">
        <v>10.0</v>
      </c>
      <c r="L105" s="154" t="s">
        <v>1774</v>
      </c>
    </row>
    <row r="106">
      <c r="A106" s="159" t="s">
        <v>1775</v>
      </c>
      <c r="B106" s="160" t="s">
        <v>1776</v>
      </c>
      <c r="H106" s="153" t="s">
        <v>1646</v>
      </c>
      <c r="I106" s="141">
        <f t="shared" si="21"/>
        <v>4</v>
      </c>
      <c r="J106" s="153" t="s">
        <v>1777</v>
      </c>
      <c r="K106" s="153">
        <v>11.0</v>
      </c>
      <c r="L106" s="154" t="s">
        <v>1774</v>
      </c>
    </row>
    <row r="107">
      <c r="H107" s="153" t="s">
        <v>1648</v>
      </c>
      <c r="I107" s="141">
        <f t="shared" si="21"/>
        <v>4</v>
      </c>
      <c r="J107" s="153" t="s">
        <v>1777</v>
      </c>
      <c r="K107" s="153">
        <v>12.0</v>
      </c>
      <c r="L107" s="154" t="s">
        <v>1774</v>
      </c>
    </row>
    <row r="108">
      <c r="A108" s="125" t="s">
        <v>545</v>
      </c>
      <c r="B108" s="127"/>
      <c r="H108" s="153" t="s">
        <v>1650</v>
      </c>
      <c r="I108" s="141">
        <f t="shared" ref="I108:I111" si="22">+5</f>
        <v>5</v>
      </c>
      <c r="J108" s="153" t="s">
        <v>1777</v>
      </c>
      <c r="K108" s="153">
        <v>13.0</v>
      </c>
      <c r="L108" s="154" t="s">
        <v>1774</v>
      </c>
    </row>
    <row r="109">
      <c r="A109" s="128" t="s">
        <v>1778</v>
      </c>
      <c r="B109" s="130" t="s">
        <v>1779</v>
      </c>
      <c r="H109" s="153" t="s">
        <v>1652</v>
      </c>
      <c r="I109" s="141">
        <f t="shared" si="22"/>
        <v>5</v>
      </c>
      <c r="J109" s="153" t="s">
        <v>1777</v>
      </c>
      <c r="K109" s="153">
        <v>14.0</v>
      </c>
      <c r="L109" s="154" t="s">
        <v>1780</v>
      </c>
    </row>
    <row r="110">
      <c r="A110" s="131" t="s">
        <v>1621</v>
      </c>
      <c r="B110" s="131" t="s">
        <v>1781</v>
      </c>
      <c r="H110" s="153" t="s">
        <v>1654</v>
      </c>
      <c r="I110" s="141">
        <f t="shared" si="22"/>
        <v>5</v>
      </c>
      <c r="J110" s="153" t="s">
        <v>1777</v>
      </c>
      <c r="K110" s="153">
        <v>15.0</v>
      </c>
      <c r="L110" s="154" t="s">
        <v>1780</v>
      </c>
    </row>
    <row r="111">
      <c r="A111" s="131" t="s">
        <v>1623</v>
      </c>
      <c r="B111" s="131" t="s">
        <v>1782</v>
      </c>
      <c r="H111" s="153" t="s">
        <v>1656</v>
      </c>
      <c r="I111" s="141">
        <f t="shared" si="22"/>
        <v>5</v>
      </c>
      <c r="J111" s="153" t="s">
        <v>1777</v>
      </c>
      <c r="K111" s="153">
        <v>16.0</v>
      </c>
      <c r="L111" s="154" t="s">
        <v>1780</v>
      </c>
    </row>
    <row r="112">
      <c r="A112" s="131" t="s">
        <v>1625</v>
      </c>
      <c r="B112" s="131" t="s">
        <v>1783</v>
      </c>
      <c r="H112" s="153" t="s">
        <v>1658</v>
      </c>
      <c r="I112" s="141">
        <f t="shared" ref="I112:I115" si="23">+6</f>
        <v>6</v>
      </c>
      <c r="J112" s="153" t="s">
        <v>1784</v>
      </c>
      <c r="K112" s="153">
        <v>17.0</v>
      </c>
      <c r="L112" s="154" t="s">
        <v>1780</v>
      </c>
    </row>
    <row r="113">
      <c r="A113" s="131" t="s">
        <v>1637</v>
      </c>
      <c r="B113" s="131" t="s">
        <v>1785</v>
      </c>
      <c r="H113" s="153" t="s">
        <v>1660</v>
      </c>
      <c r="I113" s="141">
        <f t="shared" si="23"/>
        <v>6</v>
      </c>
      <c r="J113" s="153" t="s">
        <v>1784</v>
      </c>
      <c r="K113" s="153">
        <v>18.0</v>
      </c>
      <c r="L113" s="154" t="s">
        <v>1786</v>
      </c>
    </row>
    <row r="114">
      <c r="A114" s="131" t="s">
        <v>1641</v>
      </c>
      <c r="B114" s="131" t="s">
        <v>1787</v>
      </c>
      <c r="H114" s="153" t="s">
        <v>1662</v>
      </c>
      <c r="I114" s="141">
        <f t="shared" si="23"/>
        <v>6</v>
      </c>
      <c r="J114" s="153" t="s">
        <v>1784</v>
      </c>
      <c r="K114" s="153">
        <v>19.0</v>
      </c>
      <c r="L114" s="154" t="s">
        <v>1786</v>
      </c>
    </row>
    <row r="115">
      <c r="H115" s="153" t="s">
        <v>1664</v>
      </c>
      <c r="I115" s="141">
        <f t="shared" si="23"/>
        <v>6</v>
      </c>
      <c r="J115" s="153" t="s">
        <v>1784</v>
      </c>
      <c r="K115" s="153">
        <v>20.0</v>
      </c>
      <c r="L115" s="154" t="s">
        <v>1786</v>
      </c>
    </row>
    <row r="116">
      <c r="A116" s="146" t="s">
        <v>549</v>
      </c>
      <c r="B116" s="148"/>
    </row>
    <row r="117">
      <c r="A117" s="150" t="s">
        <v>1778</v>
      </c>
      <c r="B117" s="152" t="s">
        <v>1779</v>
      </c>
      <c r="H117" s="161" t="s">
        <v>1788</v>
      </c>
      <c r="I117" s="162"/>
      <c r="J117" s="162"/>
      <c r="K117" s="163"/>
    </row>
    <row r="118">
      <c r="A118" s="153" t="s">
        <v>1621</v>
      </c>
      <c r="B118" s="153" t="s">
        <v>1789</v>
      </c>
      <c r="H118" s="164" t="s">
        <v>1615</v>
      </c>
      <c r="I118" s="165" t="s">
        <v>1616</v>
      </c>
      <c r="J118" s="165" t="s">
        <v>1185</v>
      </c>
      <c r="K118" s="166" t="s">
        <v>1617</v>
      </c>
    </row>
    <row r="119">
      <c r="A119" s="153" t="s">
        <v>1623</v>
      </c>
      <c r="B119" s="153" t="s">
        <v>1790</v>
      </c>
      <c r="H119" s="167" t="s">
        <v>1621</v>
      </c>
      <c r="I119" s="168">
        <f t="shared" ref="I119:I122" si="24">+2</f>
        <v>2</v>
      </c>
      <c r="J119" s="167" t="s">
        <v>1765</v>
      </c>
      <c r="K119" s="167" t="s">
        <v>1791</v>
      </c>
    </row>
    <row r="120">
      <c r="A120" s="153" t="s">
        <v>1625</v>
      </c>
      <c r="B120" s="153" t="s">
        <v>1792</v>
      </c>
      <c r="H120" s="167" t="s">
        <v>1622</v>
      </c>
      <c r="I120" s="168">
        <f t="shared" si="24"/>
        <v>2</v>
      </c>
      <c r="J120" s="167" t="s">
        <v>1765</v>
      </c>
      <c r="K120" s="167" t="s">
        <v>1189</v>
      </c>
    </row>
    <row r="121">
      <c r="A121" s="153" t="s">
        <v>1637</v>
      </c>
      <c r="B121" s="153" t="s">
        <v>1738</v>
      </c>
      <c r="H121" s="167" t="s">
        <v>1623</v>
      </c>
      <c r="I121" s="168">
        <f t="shared" si="24"/>
        <v>2</v>
      </c>
      <c r="J121" s="167" t="s">
        <v>1793</v>
      </c>
      <c r="K121" s="167" t="s">
        <v>1794</v>
      </c>
    </row>
    <row r="122">
      <c r="A122" s="153" t="s">
        <v>1641</v>
      </c>
      <c r="B122" s="153" t="s">
        <v>1795</v>
      </c>
      <c r="H122" s="167" t="s">
        <v>1624</v>
      </c>
      <c r="I122" s="168">
        <f t="shared" si="24"/>
        <v>2</v>
      </c>
      <c r="J122" s="167" t="s">
        <v>1793</v>
      </c>
      <c r="K122" s="167" t="s">
        <v>372</v>
      </c>
    </row>
    <row r="123">
      <c r="H123" s="167" t="s">
        <v>1625</v>
      </c>
      <c r="I123" s="168">
        <f t="shared" ref="I123:I126" si="25">+3</f>
        <v>3</v>
      </c>
      <c r="J123" s="167" t="s">
        <v>1796</v>
      </c>
      <c r="K123" s="167" t="s">
        <v>1218</v>
      </c>
    </row>
    <row r="124">
      <c r="A124" s="161" t="s">
        <v>554</v>
      </c>
      <c r="B124" s="163"/>
      <c r="H124" s="167" t="s">
        <v>1635</v>
      </c>
      <c r="I124" s="168">
        <f t="shared" si="25"/>
        <v>3</v>
      </c>
      <c r="J124" s="167" t="s">
        <v>1796</v>
      </c>
      <c r="K124" s="167" t="s">
        <v>493</v>
      </c>
    </row>
    <row r="125">
      <c r="A125" s="164" t="s">
        <v>1778</v>
      </c>
      <c r="B125" s="166" t="s">
        <v>1779</v>
      </c>
      <c r="H125" s="167" t="s">
        <v>1637</v>
      </c>
      <c r="I125" s="168">
        <f t="shared" si="25"/>
        <v>3</v>
      </c>
      <c r="J125" s="167" t="s">
        <v>1797</v>
      </c>
      <c r="K125" s="167" t="s">
        <v>962</v>
      </c>
    </row>
    <row r="126">
      <c r="A126" s="167" t="s">
        <v>1621</v>
      </c>
      <c r="B126" s="167" t="s">
        <v>1798</v>
      </c>
      <c r="H126" s="167" t="s">
        <v>1639</v>
      </c>
      <c r="I126" s="168">
        <f t="shared" si="25"/>
        <v>3</v>
      </c>
      <c r="J126" s="167" t="s">
        <v>1797</v>
      </c>
      <c r="K126" s="167" t="s">
        <v>372</v>
      </c>
    </row>
    <row r="127">
      <c r="A127" s="167" t="s">
        <v>1623</v>
      </c>
      <c r="B127" s="167" t="s">
        <v>1799</v>
      </c>
      <c r="H127" s="167" t="s">
        <v>1641</v>
      </c>
      <c r="I127" s="168">
        <f t="shared" ref="I127:I130" si="26">+4</f>
        <v>4</v>
      </c>
      <c r="J127" s="167" t="s">
        <v>1800</v>
      </c>
      <c r="K127" s="167" t="s">
        <v>1801</v>
      </c>
    </row>
    <row r="128">
      <c r="A128" s="167" t="s">
        <v>1625</v>
      </c>
      <c r="B128" s="167" t="s">
        <v>1802</v>
      </c>
      <c r="H128" s="167" t="s">
        <v>1643</v>
      </c>
      <c r="I128" s="168">
        <f t="shared" si="26"/>
        <v>4</v>
      </c>
      <c r="J128" s="167" t="s">
        <v>1800</v>
      </c>
      <c r="K128" s="167" t="s">
        <v>372</v>
      </c>
    </row>
    <row r="129">
      <c r="A129" s="167" t="s">
        <v>1637</v>
      </c>
      <c r="B129" s="167" t="s">
        <v>1803</v>
      </c>
      <c r="H129" s="167" t="s">
        <v>1646</v>
      </c>
      <c r="I129" s="168">
        <f t="shared" si="26"/>
        <v>4</v>
      </c>
      <c r="J129" s="167" t="s">
        <v>1804</v>
      </c>
      <c r="K129" s="167" t="s">
        <v>1235</v>
      </c>
    </row>
    <row r="130">
      <c r="A130" s="167" t="s">
        <v>1641</v>
      </c>
      <c r="B130" s="167" t="s">
        <v>1805</v>
      </c>
      <c r="H130" s="167" t="s">
        <v>1648</v>
      </c>
      <c r="I130" s="168">
        <f t="shared" si="26"/>
        <v>4</v>
      </c>
      <c r="J130" s="167" t="s">
        <v>1804</v>
      </c>
      <c r="K130" s="167" t="s">
        <v>372</v>
      </c>
    </row>
    <row r="131">
      <c r="H131" s="167" t="s">
        <v>1650</v>
      </c>
      <c r="I131" s="168">
        <f t="shared" ref="I131:I134" si="27">+5</f>
        <v>5</v>
      </c>
      <c r="J131" s="167" t="s">
        <v>1806</v>
      </c>
      <c r="K131" s="167" t="s">
        <v>1801</v>
      </c>
    </row>
    <row r="132">
      <c r="A132" s="169" t="s">
        <v>558</v>
      </c>
      <c r="B132" s="170"/>
      <c r="H132" s="167" t="s">
        <v>1652</v>
      </c>
      <c r="I132" s="168">
        <f t="shared" si="27"/>
        <v>5</v>
      </c>
      <c r="J132" s="167" t="s">
        <v>1806</v>
      </c>
      <c r="K132" s="167" t="s">
        <v>1251</v>
      </c>
    </row>
    <row r="133">
      <c r="A133" s="171" t="s">
        <v>1778</v>
      </c>
      <c r="B133" s="172" t="s">
        <v>1779</v>
      </c>
      <c r="H133" s="167" t="s">
        <v>1654</v>
      </c>
      <c r="I133" s="168">
        <f t="shared" si="27"/>
        <v>5</v>
      </c>
      <c r="J133" s="167" t="s">
        <v>1807</v>
      </c>
      <c r="K133" s="167" t="s">
        <v>1253</v>
      </c>
    </row>
    <row r="134">
      <c r="A134" s="173" t="s">
        <v>1621</v>
      </c>
      <c r="B134" s="173" t="s">
        <v>1808</v>
      </c>
      <c r="H134" s="167" t="s">
        <v>1656</v>
      </c>
      <c r="I134" s="168">
        <f t="shared" si="27"/>
        <v>5</v>
      </c>
      <c r="J134" s="167" t="s">
        <v>1807</v>
      </c>
      <c r="K134" s="167" t="s">
        <v>372</v>
      </c>
    </row>
    <row r="135">
      <c r="A135" s="173" t="s">
        <v>1623</v>
      </c>
      <c r="B135" s="173" t="s">
        <v>1809</v>
      </c>
      <c r="H135" s="167" t="s">
        <v>1658</v>
      </c>
      <c r="I135" s="168">
        <f t="shared" ref="I135:I138" si="28">+6</f>
        <v>6</v>
      </c>
      <c r="J135" s="167" t="s">
        <v>1810</v>
      </c>
      <c r="K135" s="167" t="s">
        <v>1801</v>
      </c>
    </row>
    <row r="136">
      <c r="A136" s="173" t="s">
        <v>1625</v>
      </c>
      <c r="B136" s="173" t="s">
        <v>1811</v>
      </c>
      <c r="H136" s="167" t="s">
        <v>1660</v>
      </c>
      <c r="I136" s="168">
        <f t="shared" si="28"/>
        <v>6</v>
      </c>
      <c r="J136" s="167" t="s">
        <v>1810</v>
      </c>
      <c r="K136" s="167" t="s">
        <v>1269</v>
      </c>
    </row>
    <row r="137">
      <c r="A137" s="173" t="s">
        <v>1637</v>
      </c>
      <c r="B137" s="173" t="s">
        <v>1738</v>
      </c>
      <c r="H137" s="167" t="s">
        <v>1662</v>
      </c>
      <c r="I137" s="168">
        <f t="shared" si="28"/>
        <v>6</v>
      </c>
      <c r="J137" s="167" t="s">
        <v>1812</v>
      </c>
      <c r="K137" s="167" t="s">
        <v>372</v>
      </c>
    </row>
    <row r="138">
      <c r="A138" s="173" t="s">
        <v>1641</v>
      </c>
      <c r="B138" s="173" t="s">
        <v>1813</v>
      </c>
      <c r="H138" s="167" t="s">
        <v>1664</v>
      </c>
      <c r="I138" s="168">
        <f t="shared" si="28"/>
        <v>6</v>
      </c>
      <c r="J138" s="167" t="s">
        <v>1812</v>
      </c>
      <c r="K138" s="167" t="s">
        <v>1271</v>
      </c>
    </row>
    <row r="140">
      <c r="A140" s="174" t="s">
        <v>1814</v>
      </c>
      <c r="B140" s="175"/>
      <c r="H140" s="169" t="s">
        <v>1815</v>
      </c>
      <c r="I140" s="176" t="s">
        <v>1613</v>
      </c>
      <c r="J140" s="177"/>
      <c r="K140" s="170"/>
    </row>
    <row r="141">
      <c r="A141" s="178" t="s">
        <v>1778</v>
      </c>
      <c r="B141" s="179" t="s">
        <v>1779</v>
      </c>
      <c r="H141" s="171" t="s">
        <v>1615</v>
      </c>
      <c r="I141" s="180" t="s">
        <v>1616</v>
      </c>
      <c r="J141" s="180" t="s">
        <v>1816</v>
      </c>
      <c r="K141" s="172" t="s">
        <v>1617</v>
      </c>
    </row>
    <row r="142">
      <c r="A142" s="181" t="s">
        <v>1621</v>
      </c>
      <c r="B142" s="181" t="s">
        <v>1817</v>
      </c>
      <c r="H142" s="173" t="s">
        <v>1621</v>
      </c>
      <c r="I142" s="182">
        <f t="shared" ref="I142:I145" si="29">+2</f>
        <v>2</v>
      </c>
      <c r="J142" s="173" t="s">
        <v>1628</v>
      </c>
      <c r="K142" s="173" t="s">
        <v>1818</v>
      </c>
    </row>
    <row r="143">
      <c r="A143" s="181" t="s">
        <v>1623</v>
      </c>
      <c r="B143" s="181" t="s">
        <v>1819</v>
      </c>
      <c r="H143" s="173" t="s">
        <v>1622</v>
      </c>
      <c r="I143" s="182">
        <f t="shared" si="29"/>
        <v>2</v>
      </c>
      <c r="J143" s="173">
        <v>2.0</v>
      </c>
      <c r="K143" s="173" t="s">
        <v>1315</v>
      </c>
    </row>
    <row r="144">
      <c r="A144" s="181" t="s">
        <v>1625</v>
      </c>
      <c r="B144" s="181" t="s">
        <v>1820</v>
      </c>
      <c r="H144" s="173" t="s">
        <v>1623</v>
      </c>
      <c r="I144" s="182">
        <f t="shared" si="29"/>
        <v>2</v>
      </c>
      <c r="J144" s="173">
        <v>3.0</v>
      </c>
      <c r="K144" s="173" t="s">
        <v>1317</v>
      </c>
    </row>
    <row r="145">
      <c r="A145" s="181" t="s">
        <v>1637</v>
      </c>
      <c r="B145" s="181" t="s">
        <v>1821</v>
      </c>
      <c r="H145" s="173" t="s">
        <v>1624</v>
      </c>
      <c r="I145" s="182">
        <f t="shared" si="29"/>
        <v>2</v>
      </c>
      <c r="J145" s="173">
        <v>4.0</v>
      </c>
      <c r="K145" s="173" t="s">
        <v>372</v>
      </c>
    </row>
    <row r="146">
      <c r="A146" s="181" t="s">
        <v>1641</v>
      </c>
      <c r="B146" s="181" t="s">
        <v>1822</v>
      </c>
      <c r="H146" s="173" t="s">
        <v>1625</v>
      </c>
      <c r="I146" s="182">
        <f t="shared" ref="I146:I149" si="30">+3</f>
        <v>3</v>
      </c>
      <c r="J146" s="173">
        <v>5.0</v>
      </c>
      <c r="K146" s="182"/>
    </row>
    <row r="147">
      <c r="H147" s="173" t="s">
        <v>1635</v>
      </c>
      <c r="I147" s="182">
        <f t="shared" si="30"/>
        <v>3</v>
      </c>
      <c r="J147" s="173">
        <v>6.0</v>
      </c>
      <c r="K147" s="173" t="s">
        <v>1823</v>
      </c>
    </row>
    <row r="148">
      <c r="A148" s="183" t="s">
        <v>1824</v>
      </c>
      <c r="B148" s="184"/>
      <c r="H148" s="173" t="s">
        <v>1637</v>
      </c>
      <c r="I148" s="182">
        <f t="shared" si="30"/>
        <v>3</v>
      </c>
      <c r="J148" s="173">
        <v>7.0</v>
      </c>
      <c r="K148" s="182"/>
    </row>
    <row r="149">
      <c r="A149" s="185" t="s">
        <v>1778</v>
      </c>
      <c r="B149" s="186" t="s">
        <v>1779</v>
      </c>
      <c r="H149" s="173" t="s">
        <v>1639</v>
      </c>
      <c r="I149" s="182">
        <f t="shared" si="30"/>
        <v>3</v>
      </c>
      <c r="J149" s="173">
        <v>8.0</v>
      </c>
      <c r="K149" s="173" t="s">
        <v>372</v>
      </c>
    </row>
    <row r="150">
      <c r="A150" s="187" t="s">
        <v>1621</v>
      </c>
      <c r="B150" s="187" t="s">
        <v>1825</v>
      </c>
      <c r="H150" s="173" t="s">
        <v>1641</v>
      </c>
      <c r="I150" s="182">
        <f t="shared" ref="I150:I153" si="31">+4</f>
        <v>4</v>
      </c>
      <c r="J150" s="173">
        <v>9.0</v>
      </c>
      <c r="K150" s="182"/>
    </row>
    <row r="151">
      <c r="A151" s="187" t="s">
        <v>1623</v>
      </c>
      <c r="B151" s="187" t="s">
        <v>1826</v>
      </c>
      <c r="H151" s="173" t="s">
        <v>1643</v>
      </c>
      <c r="I151" s="182">
        <f t="shared" si="31"/>
        <v>4</v>
      </c>
      <c r="J151" s="173">
        <v>10.0</v>
      </c>
      <c r="K151" s="173" t="s">
        <v>1317</v>
      </c>
    </row>
    <row r="152">
      <c r="A152" s="187" t="s">
        <v>1625</v>
      </c>
      <c r="B152" s="187" t="s">
        <v>1827</v>
      </c>
      <c r="H152" s="173" t="s">
        <v>1646</v>
      </c>
      <c r="I152" s="182">
        <f t="shared" si="31"/>
        <v>4</v>
      </c>
      <c r="J152" s="173">
        <v>11.0</v>
      </c>
      <c r="K152" s="182"/>
    </row>
    <row r="153">
      <c r="A153" s="187" t="s">
        <v>1637</v>
      </c>
      <c r="B153" s="187" t="s">
        <v>1828</v>
      </c>
      <c r="H153" s="173" t="s">
        <v>1648</v>
      </c>
      <c r="I153" s="182">
        <f t="shared" si="31"/>
        <v>4</v>
      </c>
      <c r="J153" s="173">
        <v>12.0</v>
      </c>
      <c r="K153" s="173" t="s">
        <v>372</v>
      </c>
    </row>
    <row r="154">
      <c r="A154" s="187" t="s">
        <v>1641</v>
      </c>
      <c r="B154" s="187" t="s">
        <v>1829</v>
      </c>
      <c r="H154" s="173" t="s">
        <v>1650</v>
      </c>
      <c r="I154" s="182">
        <f t="shared" ref="I154:I157" si="32">+5</f>
        <v>5</v>
      </c>
      <c r="J154" s="173">
        <v>13.0</v>
      </c>
      <c r="K154" s="182"/>
    </row>
    <row r="155">
      <c r="H155" s="173" t="s">
        <v>1652</v>
      </c>
      <c r="I155" s="182">
        <f t="shared" si="32"/>
        <v>5</v>
      </c>
      <c r="J155" s="173">
        <v>14.0</v>
      </c>
      <c r="K155" s="173" t="s">
        <v>1823</v>
      </c>
    </row>
    <row r="156">
      <c r="A156" s="188" t="s">
        <v>1830</v>
      </c>
      <c r="B156" s="189"/>
      <c r="H156" s="173" t="s">
        <v>1654</v>
      </c>
      <c r="I156" s="182">
        <f t="shared" si="32"/>
        <v>5</v>
      </c>
      <c r="J156" s="173">
        <v>15.0</v>
      </c>
      <c r="K156" s="182"/>
    </row>
    <row r="157">
      <c r="A157" s="190" t="s">
        <v>1778</v>
      </c>
      <c r="B157" s="191" t="s">
        <v>1779</v>
      </c>
      <c r="H157" s="173" t="s">
        <v>1656</v>
      </c>
      <c r="I157" s="182">
        <f t="shared" si="32"/>
        <v>5</v>
      </c>
      <c r="J157" s="173">
        <v>16.0</v>
      </c>
      <c r="K157" s="173" t="s">
        <v>372</v>
      </c>
    </row>
    <row r="158">
      <c r="A158" s="192" t="s">
        <v>1621</v>
      </c>
      <c r="B158" s="192" t="s">
        <v>1831</v>
      </c>
      <c r="H158" s="173" t="s">
        <v>1658</v>
      </c>
      <c r="I158" s="182">
        <f t="shared" ref="I158:I161" si="33">+6</f>
        <v>6</v>
      </c>
      <c r="J158" s="173">
        <v>17.0</v>
      </c>
      <c r="K158" s="173" t="s">
        <v>1317</v>
      </c>
    </row>
    <row r="159">
      <c r="A159" s="192" t="s">
        <v>1623</v>
      </c>
      <c r="B159" s="192" t="s">
        <v>1832</v>
      </c>
      <c r="H159" s="173" t="s">
        <v>1660</v>
      </c>
      <c r="I159" s="182">
        <f t="shared" si="33"/>
        <v>6</v>
      </c>
      <c r="J159" s="173">
        <v>18.0</v>
      </c>
      <c r="K159" s="173" t="s">
        <v>1823</v>
      </c>
    </row>
    <row r="160">
      <c r="A160" s="192" t="s">
        <v>1625</v>
      </c>
      <c r="B160" s="192" t="s">
        <v>1833</v>
      </c>
      <c r="H160" s="173" t="s">
        <v>1662</v>
      </c>
      <c r="I160" s="182">
        <f t="shared" si="33"/>
        <v>6</v>
      </c>
      <c r="J160" s="173">
        <v>19.0</v>
      </c>
      <c r="K160" s="173" t="s">
        <v>372</v>
      </c>
    </row>
    <row r="161">
      <c r="A161" s="192" t="s">
        <v>1637</v>
      </c>
      <c r="B161" s="192" t="s">
        <v>1834</v>
      </c>
      <c r="H161" s="173" t="s">
        <v>1664</v>
      </c>
      <c r="I161" s="182">
        <f t="shared" si="33"/>
        <v>6</v>
      </c>
      <c r="J161" s="173">
        <v>20.0</v>
      </c>
      <c r="K161" s="173" t="s">
        <v>1380</v>
      </c>
    </row>
    <row r="162">
      <c r="A162" s="192" t="s">
        <v>1641</v>
      </c>
      <c r="B162" s="192" t="s">
        <v>1835</v>
      </c>
    </row>
    <row r="163">
      <c r="H163" s="174" t="s">
        <v>1406</v>
      </c>
      <c r="I163" s="193"/>
      <c r="J163" s="175"/>
    </row>
    <row r="164">
      <c r="A164" s="77" t="s">
        <v>1836</v>
      </c>
      <c r="B164" s="81"/>
      <c r="H164" s="178" t="s">
        <v>1837</v>
      </c>
      <c r="I164" s="194" t="s">
        <v>1838</v>
      </c>
      <c r="J164" s="179" t="s">
        <v>318</v>
      </c>
    </row>
    <row r="165">
      <c r="A165" s="84" t="s">
        <v>1778</v>
      </c>
      <c r="B165" s="87" t="s">
        <v>1779</v>
      </c>
      <c r="H165" s="181" t="s">
        <v>1839</v>
      </c>
      <c r="I165" s="181" t="s">
        <v>1840</v>
      </c>
      <c r="J165" s="195" t="s">
        <v>1841</v>
      </c>
    </row>
    <row r="166">
      <c r="A166" s="46" t="s">
        <v>1621</v>
      </c>
      <c r="B166" s="46" t="s">
        <v>1842</v>
      </c>
      <c r="H166" s="181" t="s">
        <v>1843</v>
      </c>
      <c r="I166" s="181"/>
      <c r="J166" s="195" t="s">
        <v>1844</v>
      </c>
    </row>
    <row r="167">
      <c r="A167" s="46" t="s">
        <v>1623</v>
      </c>
      <c r="B167" s="46" t="s">
        <v>1845</v>
      </c>
      <c r="H167" s="181" t="s">
        <v>1846</v>
      </c>
      <c r="I167" s="181" t="s">
        <v>1847</v>
      </c>
      <c r="J167" s="195" t="s">
        <v>1848</v>
      </c>
    </row>
    <row r="168">
      <c r="A168" s="46" t="s">
        <v>1625</v>
      </c>
      <c r="B168" s="46" t="s">
        <v>1849</v>
      </c>
      <c r="H168" s="181" t="s">
        <v>1850</v>
      </c>
      <c r="I168" s="181" t="s">
        <v>1851</v>
      </c>
      <c r="J168" s="195" t="s">
        <v>1852</v>
      </c>
    </row>
    <row r="169">
      <c r="A169" s="46" t="s">
        <v>1637</v>
      </c>
      <c r="B169" s="46" t="s">
        <v>1853</v>
      </c>
      <c r="H169" s="181" t="s">
        <v>1854</v>
      </c>
      <c r="I169" s="196"/>
      <c r="J169" s="195" t="s">
        <v>1855</v>
      </c>
    </row>
    <row r="170">
      <c r="A170" s="46" t="s">
        <v>1641</v>
      </c>
      <c r="B170" s="46" t="s">
        <v>1856</v>
      </c>
      <c r="H170" s="181" t="s">
        <v>1857</v>
      </c>
      <c r="I170" s="196"/>
      <c r="J170" s="195" t="s">
        <v>1858</v>
      </c>
    </row>
    <row r="171">
      <c r="H171" s="181" t="s">
        <v>1859</v>
      </c>
      <c r="I171" s="181" t="s">
        <v>1860</v>
      </c>
      <c r="J171" s="195" t="s">
        <v>1861</v>
      </c>
    </row>
    <row r="172">
      <c r="A172" s="96" t="s">
        <v>1862</v>
      </c>
      <c r="B172" s="98"/>
      <c r="H172" s="181" t="s">
        <v>1863</v>
      </c>
      <c r="I172" s="181" t="s">
        <v>1851</v>
      </c>
      <c r="J172" s="195" t="s">
        <v>1864</v>
      </c>
    </row>
    <row r="173">
      <c r="A173" s="99" t="s">
        <v>1778</v>
      </c>
      <c r="B173" s="101" t="s">
        <v>1779</v>
      </c>
      <c r="H173" s="181" t="s">
        <v>1865</v>
      </c>
      <c r="I173" s="181" t="s">
        <v>1866</v>
      </c>
      <c r="J173" s="195" t="s">
        <v>1867</v>
      </c>
    </row>
    <row r="174">
      <c r="A174" s="106" t="s">
        <v>1621</v>
      </c>
      <c r="B174" s="106" t="s">
        <v>1868</v>
      </c>
      <c r="H174" s="181" t="s">
        <v>1869</v>
      </c>
      <c r="I174" s="181" t="s">
        <v>1870</v>
      </c>
      <c r="J174" s="195" t="s">
        <v>1871</v>
      </c>
    </row>
    <row r="175">
      <c r="A175" s="106" t="s">
        <v>1623</v>
      </c>
      <c r="B175" s="106" t="s">
        <v>1872</v>
      </c>
      <c r="H175" s="181" t="s">
        <v>1873</v>
      </c>
      <c r="I175" s="196"/>
      <c r="J175" s="195" t="s">
        <v>1874</v>
      </c>
    </row>
    <row r="176">
      <c r="A176" s="106" t="s">
        <v>1625</v>
      </c>
      <c r="B176" s="106" t="s">
        <v>1875</v>
      </c>
      <c r="H176" s="181" t="s">
        <v>1876</v>
      </c>
      <c r="I176" s="181" t="s">
        <v>1860</v>
      </c>
      <c r="J176" s="195" t="s">
        <v>1877</v>
      </c>
    </row>
    <row r="177">
      <c r="A177" s="106" t="s">
        <v>1637</v>
      </c>
      <c r="B177" s="106" t="s">
        <v>1878</v>
      </c>
      <c r="H177" s="181" t="s">
        <v>1879</v>
      </c>
      <c r="I177" s="196"/>
      <c r="J177" s="195" t="s">
        <v>1880</v>
      </c>
    </row>
    <row r="178">
      <c r="A178" s="106" t="s">
        <v>1641</v>
      </c>
      <c r="B178" s="106" t="s">
        <v>1881</v>
      </c>
      <c r="H178" s="181" t="s">
        <v>1882</v>
      </c>
      <c r="I178" s="181" t="s">
        <v>1883</v>
      </c>
      <c r="J178" s="195" t="s">
        <v>1884</v>
      </c>
    </row>
    <row r="179">
      <c r="H179" s="181" t="s">
        <v>1885</v>
      </c>
      <c r="I179" s="181" t="s">
        <v>1840</v>
      </c>
      <c r="J179" s="195" t="s">
        <v>1886</v>
      </c>
    </row>
    <row r="180">
      <c r="A180" s="110" t="s">
        <v>1887</v>
      </c>
      <c r="B180" s="112"/>
      <c r="H180" s="181" t="s">
        <v>1888</v>
      </c>
      <c r="I180" s="196"/>
      <c r="J180" s="195" t="s">
        <v>1889</v>
      </c>
    </row>
    <row r="181">
      <c r="A181" s="113" t="s">
        <v>1778</v>
      </c>
      <c r="B181" s="115" t="s">
        <v>1779</v>
      </c>
      <c r="H181" s="181" t="s">
        <v>1890</v>
      </c>
      <c r="I181" s="196"/>
      <c r="J181" s="195" t="s">
        <v>1891</v>
      </c>
    </row>
    <row r="182">
      <c r="A182" s="116" t="s">
        <v>1621</v>
      </c>
      <c r="B182" s="116" t="s">
        <v>1892</v>
      </c>
      <c r="H182" s="181" t="s">
        <v>1893</v>
      </c>
      <c r="I182" s="196"/>
      <c r="J182" s="195" t="s">
        <v>1894</v>
      </c>
    </row>
    <row r="183">
      <c r="A183" s="116" t="s">
        <v>1623</v>
      </c>
      <c r="B183" s="116" t="s">
        <v>1895</v>
      </c>
      <c r="H183" s="181" t="s">
        <v>1896</v>
      </c>
      <c r="I183" s="181" t="s">
        <v>1860</v>
      </c>
      <c r="J183" s="195" t="s">
        <v>1897</v>
      </c>
    </row>
    <row r="184">
      <c r="A184" s="116" t="s">
        <v>1625</v>
      </c>
      <c r="B184" s="116" t="s">
        <v>1898</v>
      </c>
      <c r="H184" s="181" t="s">
        <v>1899</v>
      </c>
      <c r="I184" s="181" t="s">
        <v>1870</v>
      </c>
      <c r="J184" s="195" t="s">
        <v>1900</v>
      </c>
    </row>
    <row r="185">
      <c r="A185" s="116" t="s">
        <v>1637</v>
      </c>
      <c r="B185" s="116" t="s">
        <v>1901</v>
      </c>
      <c r="H185" s="181" t="s">
        <v>1902</v>
      </c>
      <c r="I185" s="181" t="s">
        <v>1903</v>
      </c>
      <c r="J185" s="195" t="s">
        <v>1904</v>
      </c>
    </row>
    <row r="186">
      <c r="A186" s="116" t="s">
        <v>1641</v>
      </c>
      <c r="B186" s="116" t="s">
        <v>1905</v>
      </c>
      <c r="H186" s="181" t="s">
        <v>1906</v>
      </c>
      <c r="I186" s="181" t="s">
        <v>1840</v>
      </c>
      <c r="J186" s="195" t="s">
        <v>1907</v>
      </c>
    </row>
    <row r="187">
      <c r="H187" s="181" t="s">
        <v>1908</v>
      </c>
      <c r="I187" s="181" t="s">
        <v>1909</v>
      </c>
      <c r="J187" s="195" t="s">
        <v>1910</v>
      </c>
    </row>
    <row r="188">
      <c r="A188" s="197" t="s">
        <v>1911</v>
      </c>
      <c r="B188" s="198"/>
      <c r="H188" s="181" t="s">
        <v>1912</v>
      </c>
      <c r="I188" s="181" t="s">
        <v>1840</v>
      </c>
      <c r="J188" s="195" t="s">
        <v>1913</v>
      </c>
    </row>
    <row r="189">
      <c r="A189" s="199" t="s">
        <v>1778</v>
      </c>
      <c r="B189" s="200" t="s">
        <v>1779</v>
      </c>
      <c r="H189" s="181" t="s">
        <v>1914</v>
      </c>
      <c r="I189" s="181" t="s">
        <v>1915</v>
      </c>
      <c r="J189" s="195" t="s">
        <v>1916</v>
      </c>
    </row>
    <row r="190">
      <c r="A190" s="142" t="s">
        <v>1621</v>
      </c>
      <c r="B190" s="142" t="s">
        <v>1917</v>
      </c>
      <c r="H190" s="181" t="s">
        <v>1918</v>
      </c>
      <c r="I190" s="181" t="s">
        <v>1919</v>
      </c>
      <c r="J190" s="195" t="s">
        <v>1920</v>
      </c>
    </row>
    <row r="191">
      <c r="A191" s="142" t="s">
        <v>1623</v>
      </c>
      <c r="B191" s="142" t="s">
        <v>1921</v>
      </c>
      <c r="H191" s="181" t="s">
        <v>1922</v>
      </c>
      <c r="I191" s="196"/>
      <c r="J191" s="195" t="s">
        <v>1923</v>
      </c>
    </row>
    <row r="192">
      <c r="A192" s="142" t="s">
        <v>1625</v>
      </c>
      <c r="B192" s="142" t="s">
        <v>1924</v>
      </c>
      <c r="H192" s="181" t="s">
        <v>1925</v>
      </c>
      <c r="I192" s="181" t="s">
        <v>1926</v>
      </c>
      <c r="J192" s="195" t="s">
        <v>1927</v>
      </c>
    </row>
    <row r="193">
      <c r="A193" s="142" t="s">
        <v>1637</v>
      </c>
      <c r="B193" s="142" t="s">
        <v>1928</v>
      </c>
      <c r="H193" s="181" t="s">
        <v>1929</v>
      </c>
      <c r="I193" s="181" t="s">
        <v>1847</v>
      </c>
      <c r="J193" s="195" t="s">
        <v>1930</v>
      </c>
    </row>
    <row r="194">
      <c r="A194" s="142" t="s">
        <v>1641</v>
      </c>
      <c r="B194" s="142" t="s">
        <v>1931</v>
      </c>
      <c r="H194" s="181" t="s">
        <v>1932</v>
      </c>
      <c r="I194" s="181" t="s">
        <v>1870</v>
      </c>
      <c r="J194" s="195" t="s">
        <v>1933</v>
      </c>
    </row>
    <row r="195">
      <c r="H195" s="181" t="s">
        <v>1934</v>
      </c>
      <c r="I195" s="196"/>
      <c r="J195" s="195" t="s">
        <v>1935</v>
      </c>
    </row>
    <row r="196">
      <c r="A196" s="201" t="s">
        <v>1936</v>
      </c>
      <c r="B196" s="202"/>
      <c r="H196" s="181" t="s">
        <v>1937</v>
      </c>
      <c r="I196" s="181" t="s">
        <v>1870</v>
      </c>
      <c r="J196" s="195" t="s">
        <v>1938</v>
      </c>
    </row>
    <row r="197">
      <c r="A197" s="203" t="s">
        <v>1778</v>
      </c>
      <c r="B197" s="204" t="s">
        <v>1779</v>
      </c>
      <c r="H197" s="181" t="s">
        <v>1939</v>
      </c>
      <c r="I197" s="181" t="s">
        <v>1847</v>
      </c>
      <c r="J197" s="195" t="s">
        <v>1940</v>
      </c>
    </row>
    <row r="198">
      <c r="A198" s="205" t="s">
        <v>1621</v>
      </c>
      <c r="B198" s="205" t="s">
        <v>1941</v>
      </c>
      <c r="H198" s="181" t="s">
        <v>1942</v>
      </c>
      <c r="I198" s="181" t="s">
        <v>1943</v>
      </c>
      <c r="J198" s="195" t="s">
        <v>1944</v>
      </c>
    </row>
    <row r="199">
      <c r="A199" s="205" t="s">
        <v>1623</v>
      </c>
      <c r="B199" s="205" t="s">
        <v>1945</v>
      </c>
      <c r="H199" s="181" t="s">
        <v>1946</v>
      </c>
      <c r="I199" s="181" t="s">
        <v>1840</v>
      </c>
      <c r="J199" s="195" t="s">
        <v>1947</v>
      </c>
    </row>
    <row r="200">
      <c r="A200" s="205" t="s">
        <v>1625</v>
      </c>
      <c r="B200" s="205" t="s">
        <v>1948</v>
      </c>
      <c r="H200" s="181" t="s">
        <v>1949</v>
      </c>
      <c r="I200" s="181" t="s">
        <v>1860</v>
      </c>
      <c r="J200" s="195" t="s">
        <v>1950</v>
      </c>
    </row>
    <row r="201">
      <c r="A201" s="205" t="s">
        <v>1637</v>
      </c>
      <c r="B201" s="205" t="s">
        <v>1951</v>
      </c>
      <c r="H201" s="181" t="s">
        <v>1952</v>
      </c>
      <c r="I201" s="181" t="s">
        <v>1926</v>
      </c>
      <c r="J201" s="195" t="s">
        <v>1953</v>
      </c>
    </row>
    <row r="202">
      <c r="A202" s="205" t="s">
        <v>1641</v>
      </c>
      <c r="B202" s="205" t="s">
        <v>1954</v>
      </c>
      <c r="H202" s="181" t="s">
        <v>1955</v>
      </c>
      <c r="I202" s="181" t="s">
        <v>1870</v>
      </c>
      <c r="J202" s="195" t="s">
        <v>1956</v>
      </c>
    </row>
    <row r="203">
      <c r="H203" s="181" t="s">
        <v>1957</v>
      </c>
      <c r="I203" s="181" t="s">
        <v>1958</v>
      </c>
      <c r="J203" s="195" t="s">
        <v>1959</v>
      </c>
    </row>
    <row r="204">
      <c r="A204" s="206" t="s">
        <v>1960</v>
      </c>
      <c r="B204" s="207"/>
      <c r="H204" s="181" t="s">
        <v>1961</v>
      </c>
      <c r="I204" s="196"/>
      <c r="J204" s="195" t="s">
        <v>1962</v>
      </c>
    </row>
    <row r="205">
      <c r="A205" s="208" t="s">
        <v>1778</v>
      </c>
      <c r="B205" s="209" t="s">
        <v>1779</v>
      </c>
      <c r="H205" s="181" t="s">
        <v>1963</v>
      </c>
      <c r="I205" s="181" t="s">
        <v>1883</v>
      </c>
      <c r="J205" s="195" t="s">
        <v>1964</v>
      </c>
    </row>
    <row r="206">
      <c r="A206" s="210" t="s">
        <v>1621</v>
      </c>
      <c r="B206" s="210" t="s">
        <v>1965</v>
      </c>
      <c r="H206" s="181" t="s">
        <v>1966</v>
      </c>
      <c r="I206" s="181" t="s">
        <v>1870</v>
      </c>
      <c r="J206" s="195" t="s">
        <v>1967</v>
      </c>
    </row>
    <row r="207">
      <c r="A207" s="210" t="s">
        <v>1623</v>
      </c>
      <c r="B207" s="210" t="s">
        <v>1968</v>
      </c>
      <c r="H207" s="181" t="s">
        <v>1969</v>
      </c>
      <c r="I207" s="181" t="s">
        <v>1860</v>
      </c>
      <c r="J207" s="195" t="s">
        <v>1970</v>
      </c>
    </row>
    <row r="208">
      <c r="A208" s="210" t="s">
        <v>1625</v>
      </c>
      <c r="B208" s="210" t="s">
        <v>1971</v>
      </c>
      <c r="H208" s="181" t="s">
        <v>1972</v>
      </c>
      <c r="I208" s="181" t="s">
        <v>1973</v>
      </c>
      <c r="J208" s="195" t="s">
        <v>1974</v>
      </c>
    </row>
    <row r="209">
      <c r="A209" s="210" t="s">
        <v>1637</v>
      </c>
      <c r="B209" s="210" t="s">
        <v>1975</v>
      </c>
      <c r="H209" s="181" t="s">
        <v>1976</v>
      </c>
      <c r="I209" s="181" t="s">
        <v>1977</v>
      </c>
      <c r="J209" s="195" t="s">
        <v>1978</v>
      </c>
    </row>
    <row r="210">
      <c r="A210" s="210" t="s">
        <v>1641</v>
      </c>
      <c r="B210" s="210" t="s">
        <v>1979</v>
      </c>
      <c r="H210" s="181" t="s">
        <v>1980</v>
      </c>
      <c r="I210" s="181" t="s">
        <v>1903</v>
      </c>
      <c r="J210" s="195" t="s">
        <v>1981</v>
      </c>
    </row>
    <row r="211">
      <c r="H211" s="181" t="s">
        <v>1982</v>
      </c>
      <c r="I211" s="181" t="s">
        <v>1847</v>
      </c>
      <c r="J211" s="195" t="s">
        <v>1983</v>
      </c>
    </row>
    <row r="212">
      <c r="A212" s="211" t="s">
        <v>1984</v>
      </c>
      <c r="B212" s="212"/>
      <c r="H212" s="181" t="s">
        <v>1985</v>
      </c>
      <c r="I212" s="181" t="s">
        <v>1926</v>
      </c>
      <c r="J212" s="195" t="s">
        <v>1986</v>
      </c>
    </row>
    <row r="213">
      <c r="A213" s="213" t="s">
        <v>1778</v>
      </c>
      <c r="B213" s="214" t="s">
        <v>1779</v>
      </c>
    </row>
    <row r="214">
      <c r="A214" s="215" t="s">
        <v>1621</v>
      </c>
      <c r="B214" s="215" t="s">
        <v>1987</v>
      </c>
    </row>
    <row r="215">
      <c r="A215" s="215" t="s">
        <v>1623</v>
      </c>
      <c r="B215" s="215" t="s">
        <v>1988</v>
      </c>
    </row>
    <row r="216">
      <c r="A216" s="215" t="s">
        <v>1625</v>
      </c>
      <c r="B216" s="215" t="s">
        <v>1989</v>
      </c>
    </row>
    <row r="217">
      <c r="A217" s="215" t="s">
        <v>1637</v>
      </c>
      <c r="B217" s="215" t="s">
        <v>1990</v>
      </c>
    </row>
    <row r="218">
      <c r="A218" s="215" t="s">
        <v>1641</v>
      </c>
      <c r="B218" s="215" t="s">
        <v>1991</v>
      </c>
    </row>
    <row r="220">
      <c r="A220" s="216" t="s">
        <v>1992</v>
      </c>
      <c r="B220" s="217"/>
    </row>
    <row r="221">
      <c r="A221" s="218" t="s">
        <v>1778</v>
      </c>
      <c r="B221" s="219" t="s">
        <v>1779</v>
      </c>
    </row>
    <row r="222">
      <c r="A222" s="220" t="s">
        <v>1621</v>
      </c>
      <c r="B222" s="220" t="s">
        <v>1965</v>
      </c>
    </row>
    <row r="223">
      <c r="A223" s="220" t="s">
        <v>1623</v>
      </c>
      <c r="B223" s="220" t="s">
        <v>1993</v>
      </c>
    </row>
    <row r="224">
      <c r="A224" s="220" t="s">
        <v>1625</v>
      </c>
      <c r="B224" s="220" t="s">
        <v>1994</v>
      </c>
    </row>
    <row r="225">
      <c r="A225" s="220" t="s">
        <v>1637</v>
      </c>
      <c r="B225" s="220" t="s">
        <v>1995</v>
      </c>
    </row>
    <row r="226">
      <c r="A226" s="220" t="s">
        <v>1641</v>
      </c>
      <c r="B226" s="220" t="s">
        <v>1931</v>
      </c>
    </row>
    <row r="228">
      <c r="A228" s="221" t="s">
        <v>1996</v>
      </c>
      <c r="B228" s="222"/>
    </row>
    <row r="229">
      <c r="A229" s="223" t="s">
        <v>1778</v>
      </c>
      <c r="B229" s="224" t="s">
        <v>1779</v>
      </c>
    </row>
    <row r="230">
      <c r="A230" s="225" t="s">
        <v>1621</v>
      </c>
      <c r="B230" s="225" t="s">
        <v>1997</v>
      </c>
    </row>
    <row r="231">
      <c r="A231" s="225" t="s">
        <v>1623</v>
      </c>
      <c r="B231" s="225" t="s">
        <v>1998</v>
      </c>
    </row>
    <row r="232">
      <c r="A232" s="225" t="s">
        <v>1625</v>
      </c>
      <c r="B232" s="225" t="s">
        <v>1999</v>
      </c>
    </row>
    <row r="233">
      <c r="A233" s="225" t="s">
        <v>1637</v>
      </c>
      <c r="B233" s="225" t="s">
        <v>2000</v>
      </c>
    </row>
    <row r="234">
      <c r="A234" s="225" t="s">
        <v>1641</v>
      </c>
      <c r="B234" s="225" t="s">
        <v>1954</v>
      </c>
    </row>
    <row r="236">
      <c r="A236" s="226" t="s">
        <v>594</v>
      </c>
      <c r="B236" s="227"/>
    </row>
    <row r="237">
      <c r="A237" s="228" t="s">
        <v>1778</v>
      </c>
      <c r="B237" s="229" t="s">
        <v>1779</v>
      </c>
    </row>
    <row r="238">
      <c r="A238" s="230" t="s">
        <v>1621</v>
      </c>
      <c r="B238" s="230" t="s">
        <v>2001</v>
      </c>
    </row>
    <row r="239">
      <c r="A239" s="230" t="s">
        <v>1623</v>
      </c>
      <c r="B239" s="230" t="s">
        <v>2002</v>
      </c>
    </row>
    <row r="240">
      <c r="A240" s="230" t="s">
        <v>1625</v>
      </c>
      <c r="B240" s="230" t="s">
        <v>2003</v>
      </c>
    </row>
    <row r="241">
      <c r="A241" s="230" t="s">
        <v>1637</v>
      </c>
      <c r="B241" s="230" t="s">
        <v>2004</v>
      </c>
    </row>
    <row r="242">
      <c r="A242" s="230" t="s">
        <v>1641</v>
      </c>
      <c r="B242" s="230" t="s">
        <v>2005</v>
      </c>
    </row>
    <row r="244">
      <c r="A244" s="231" t="s">
        <v>713</v>
      </c>
      <c r="B244" s="232"/>
    </row>
    <row r="245">
      <c r="A245" s="233" t="s">
        <v>2006</v>
      </c>
      <c r="B245" s="234"/>
    </row>
    <row r="246">
      <c r="A246" s="124" t="s">
        <v>2007</v>
      </c>
      <c r="B246" s="124" t="s">
        <v>729</v>
      </c>
    </row>
    <row r="247">
      <c r="A247" s="124" t="s">
        <v>1623</v>
      </c>
      <c r="B247" s="124" t="s">
        <v>2008</v>
      </c>
    </row>
    <row r="248">
      <c r="A248" s="124" t="s">
        <v>1625</v>
      </c>
      <c r="B248" s="124" t="s">
        <v>2009</v>
      </c>
    </row>
    <row r="249">
      <c r="A249" s="124" t="s">
        <v>1637</v>
      </c>
      <c r="B249" s="124" t="s">
        <v>2010</v>
      </c>
    </row>
    <row r="250">
      <c r="A250" s="124" t="s">
        <v>1641</v>
      </c>
      <c r="B250" s="124" t="s">
        <v>2011</v>
      </c>
    </row>
    <row r="251">
      <c r="A251" s="235" t="s">
        <v>2012</v>
      </c>
      <c r="B251" s="232"/>
    </row>
    <row r="252">
      <c r="A252" s="233" t="s">
        <v>2007</v>
      </c>
      <c r="B252" s="236" t="s">
        <v>729</v>
      </c>
    </row>
    <row r="253">
      <c r="A253" s="124" t="s">
        <v>1623</v>
      </c>
      <c r="B253" s="124" t="s">
        <v>2013</v>
      </c>
    </row>
    <row r="254">
      <c r="A254" s="124" t="s">
        <v>1625</v>
      </c>
      <c r="B254" s="124" t="s">
        <v>2014</v>
      </c>
    </row>
    <row r="255">
      <c r="A255" s="124" t="s">
        <v>1637</v>
      </c>
      <c r="B255" s="124" t="s">
        <v>2015</v>
      </c>
    </row>
    <row r="256">
      <c r="A256" s="124" t="s">
        <v>1641</v>
      </c>
      <c r="B256" s="124" t="s">
        <v>2016</v>
      </c>
    </row>
    <row r="257">
      <c r="A257" s="235" t="s">
        <v>2017</v>
      </c>
      <c r="B257" s="232"/>
    </row>
    <row r="258">
      <c r="A258" s="233" t="s">
        <v>2007</v>
      </c>
      <c r="B258" s="236" t="s">
        <v>729</v>
      </c>
    </row>
    <row r="259">
      <c r="A259" s="124" t="s">
        <v>1623</v>
      </c>
      <c r="B259" s="124" t="s">
        <v>2018</v>
      </c>
    </row>
    <row r="260">
      <c r="A260" s="124" t="s">
        <v>1625</v>
      </c>
      <c r="B260" s="124" t="s">
        <v>2019</v>
      </c>
    </row>
    <row r="261">
      <c r="A261" s="124" t="s">
        <v>1637</v>
      </c>
      <c r="B261" s="124" t="s">
        <v>2020</v>
      </c>
    </row>
    <row r="262">
      <c r="A262" s="124" t="s">
        <v>1641</v>
      </c>
      <c r="B262" s="124" t="s">
        <v>2021</v>
      </c>
    </row>
    <row r="263">
      <c r="A263" s="235" t="s">
        <v>2022</v>
      </c>
      <c r="B263" s="232"/>
    </row>
    <row r="264">
      <c r="A264" s="233" t="s">
        <v>2007</v>
      </c>
      <c r="B264" s="236" t="s">
        <v>729</v>
      </c>
    </row>
    <row r="265">
      <c r="A265" s="124" t="s">
        <v>1623</v>
      </c>
      <c r="B265" s="124" t="s">
        <v>2023</v>
      </c>
    </row>
    <row r="266">
      <c r="A266" s="124" t="s">
        <v>1625</v>
      </c>
      <c r="B266" s="124" t="s">
        <v>2024</v>
      </c>
    </row>
    <row r="267">
      <c r="A267" s="124" t="s">
        <v>1637</v>
      </c>
      <c r="B267" s="124" t="s">
        <v>2025</v>
      </c>
    </row>
    <row r="268">
      <c r="A268" s="124" t="s">
        <v>1641</v>
      </c>
      <c r="B268" s="124" t="s">
        <v>2026</v>
      </c>
    </row>
    <row r="269">
      <c r="A269" s="235" t="s">
        <v>2027</v>
      </c>
      <c r="B269" s="232"/>
    </row>
    <row r="270">
      <c r="A270" s="233" t="s">
        <v>2007</v>
      </c>
      <c r="B270" s="236" t="s">
        <v>729</v>
      </c>
    </row>
    <row r="271">
      <c r="A271" s="124" t="s">
        <v>1623</v>
      </c>
      <c r="B271" s="124" t="s">
        <v>2028</v>
      </c>
    </row>
    <row r="272">
      <c r="A272" s="124" t="s">
        <v>1625</v>
      </c>
      <c r="B272" s="124" t="s">
        <v>2029</v>
      </c>
    </row>
    <row r="273">
      <c r="A273" s="124" t="s">
        <v>1637</v>
      </c>
      <c r="B273" s="124" t="s">
        <v>2025</v>
      </c>
    </row>
    <row r="274">
      <c r="A274" s="124" t="s">
        <v>1641</v>
      </c>
      <c r="B274" s="124" t="s">
        <v>2030</v>
      </c>
    </row>
    <row r="275">
      <c r="A275" s="235" t="s">
        <v>2031</v>
      </c>
      <c r="B275" s="232"/>
    </row>
    <row r="276">
      <c r="A276" s="233" t="s">
        <v>2007</v>
      </c>
      <c r="B276" s="236" t="s">
        <v>729</v>
      </c>
    </row>
    <row r="277">
      <c r="A277" s="124" t="s">
        <v>1623</v>
      </c>
      <c r="B277" s="124" t="s">
        <v>2032</v>
      </c>
    </row>
    <row r="278">
      <c r="A278" s="124" t="s">
        <v>1625</v>
      </c>
      <c r="B278" s="124" t="s">
        <v>2033</v>
      </c>
    </row>
    <row r="279">
      <c r="A279" s="124" t="s">
        <v>1637</v>
      </c>
      <c r="B279" s="124" t="s">
        <v>2034</v>
      </c>
    </row>
    <row r="280">
      <c r="A280" s="124" t="s">
        <v>1641</v>
      </c>
      <c r="B280" s="124" t="s">
        <v>2035</v>
      </c>
    </row>
    <row r="281">
      <c r="A281" s="235" t="s">
        <v>2036</v>
      </c>
      <c r="B281" s="232"/>
    </row>
    <row r="282">
      <c r="A282" s="233" t="s">
        <v>2007</v>
      </c>
      <c r="B282" s="236" t="s">
        <v>729</v>
      </c>
    </row>
    <row r="283">
      <c r="A283" s="124" t="s">
        <v>1623</v>
      </c>
      <c r="B283" s="124" t="s">
        <v>2037</v>
      </c>
    </row>
    <row r="284">
      <c r="A284" s="124" t="s">
        <v>1625</v>
      </c>
      <c r="B284" s="124" t="s">
        <v>2038</v>
      </c>
    </row>
    <row r="285">
      <c r="A285" s="124" t="s">
        <v>1637</v>
      </c>
      <c r="B285" s="124" t="s">
        <v>2039</v>
      </c>
    </row>
    <row r="286">
      <c r="A286" s="124" t="s">
        <v>1641</v>
      </c>
      <c r="B286" s="124" t="s">
        <v>2040</v>
      </c>
    </row>
    <row r="287">
      <c r="A287" s="235" t="s">
        <v>2041</v>
      </c>
      <c r="B287" s="232"/>
    </row>
    <row r="288">
      <c r="A288" s="233" t="s">
        <v>2007</v>
      </c>
      <c r="B288" s="236" t="s">
        <v>729</v>
      </c>
    </row>
    <row r="289">
      <c r="A289" s="124" t="s">
        <v>1623</v>
      </c>
      <c r="B289" s="124" t="s">
        <v>2042</v>
      </c>
    </row>
    <row r="290">
      <c r="A290" s="124" t="s">
        <v>1625</v>
      </c>
      <c r="B290" s="124" t="s">
        <v>2043</v>
      </c>
    </row>
    <row r="291">
      <c r="A291" s="124" t="s">
        <v>1637</v>
      </c>
      <c r="B291" s="124" t="s">
        <v>2044</v>
      </c>
    </row>
    <row r="292">
      <c r="A292" s="124" t="s">
        <v>1641</v>
      </c>
      <c r="B292" s="124" t="s">
        <v>2045</v>
      </c>
    </row>
    <row r="294">
      <c r="A294" s="237" t="s">
        <v>2046</v>
      </c>
      <c r="B294" s="238"/>
    </row>
    <row r="295">
      <c r="A295" s="239" t="s">
        <v>2007</v>
      </c>
      <c r="B295" s="240" t="s">
        <v>729</v>
      </c>
    </row>
    <row r="296">
      <c r="A296" s="149" t="s">
        <v>1623</v>
      </c>
      <c r="B296" s="149" t="s">
        <v>2047</v>
      </c>
    </row>
    <row r="297">
      <c r="A297" s="149" t="s">
        <v>1625</v>
      </c>
      <c r="B297" s="149" t="s">
        <v>2048</v>
      </c>
    </row>
    <row r="298">
      <c r="A298" s="149" t="s">
        <v>1637</v>
      </c>
      <c r="B298" s="149" t="s">
        <v>2049</v>
      </c>
    </row>
    <row r="299">
      <c r="A299" s="149" t="s">
        <v>1641</v>
      </c>
      <c r="B299" s="149" t="s">
        <v>2050</v>
      </c>
    </row>
    <row r="301">
      <c r="A301" s="155" t="s">
        <v>2051</v>
      </c>
      <c r="B301" s="156"/>
    </row>
    <row r="302">
      <c r="A302" s="157" t="s">
        <v>2052</v>
      </c>
      <c r="B302" s="158" t="s">
        <v>2053</v>
      </c>
    </row>
    <row r="303">
      <c r="A303" s="159" t="s">
        <v>2054</v>
      </c>
      <c r="B303" s="159">
        <v>3.0</v>
      </c>
    </row>
    <row r="304">
      <c r="A304" s="159" t="s">
        <v>2055</v>
      </c>
      <c r="B304" s="159">
        <v>4.0</v>
      </c>
    </row>
    <row r="305">
      <c r="A305" s="159" t="s">
        <v>2056</v>
      </c>
      <c r="B305" s="159">
        <v>5.0</v>
      </c>
    </row>
    <row r="306">
      <c r="A306" s="159" t="s">
        <v>2057</v>
      </c>
      <c r="B306" s="159">
        <v>6.0</v>
      </c>
    </row>
    <row r="308">
      <c r="A308" s="125" t="s">
        <v>2058</v>
      </c>
      <c r="B308" s="127"/>
    </row>
    <row r="309">
      <c r="A309" s="128" t="s">
        <v>2059</v>
      </c>
      <c r="B309" s="130" t="s">
        <v>1779</v>
      </c>
    </row>
    <row r="310">
      <c r="A310" s="131" t="s">
        <v>1623</v>
      </c>
      <c r="B310" s="131" t="s">
        <v>2060</v>
      </c>
    </row>
    <row r="311">
      <c r="A311" s="131" t="s">
        <v>1625</v>
      </c>
      <c r="B311" s="131" t="s">
        <v>2061</v>
      </c>
    </row>
    <row r="312">
      <c r="A312" s="131" t="s">
        <v>1641</v>
      </c>
      <c r="B312" s="131" t="s">
        <v>1687</v>
      </c>
    </row>
    <row r="313">
      <c r="A313" s="131" t="s">
        <v>1650</v>
      </c>
      <c r="B313" s="131" t="s">
        <v>1705</v>
      </c>
    </row>
    <row r="314">
      <c r="A314" s="131" t="s">
        <v>1658</v>
      </c>
      <c r="B314" s="131" t="s">
        <v>2062</v>
      </c>
    </row>
    <row r="316">
      <c r="A316" s="146" t="s">
        <v>2063</v>
      </c>
      <c r="B316" s="148"/>
    </row>
    <row r="317">
      <c r="A317" s="150" t="s">
        <v>2059</v>
      </c>
      <c r="B317" s="152" t="s">
        <v>1779</v>
      </c>
    </row>
    <row r="318">
      <c r="A318" s="153" t="s">
        <v>1623</v>
      </c>
      <c r="B318" s="153" t="s">
        <v>2064</v>
      </c>
    </row>
    <row r="319">
      <c r="A319" s="153" t="s">
        <v>1625</v>
      </c>
      <c r="B319" s="153" t="s">
        <v>2065</v>
      </c>
    </row>
    <row r="320">
      <c r="A320" s="153" t="s">
        <v>1641</v>
      </c>
      <c r="B320" s="153" t="s">
        <v>2066</v>
      </c>
    </row>
    <row r="321">
      <c r="A321" s="153" t="s">
        <v>1650</v>
      </c>
      <c r="B321" s="153" t="s">
        <v>2067</v>
      </c>
    </row>
    <row r="322">
      <c r="A322" s="153" t="s">
        <v>1658</v>
      </c>
      <c r="B322" s="153" t="s">
        <v>2068</v>
      </c>
    </row>
    <row r="324">
      <c r="A324" s="161" t="s">
        <v>2069</v>
      </c>
      <c r="B324" s="163"/>
    </row>
    <row r="325">
      <c r="A325" s="164" t="s">
        <v>2059</v>
      </c>
      <c r="B325" s="166" t="s">
        <v>1779</v>
      </c>
    </row>
    <row r="326">
      <c r="A326" s="167" t="s">
        <v>1623</v>
      </c>
      <c r="B326" s="167" t="s">
        <v>2064</v>
      </c>
    </row>
    <row r="327">
      <c r="A327" s="167" t="s">
        <v>1625</v>
      </c>
      <c r="B327" s="167" t="s">
        <v>2070</v>
      </c>
    </row>
    <row r="328">
      <c r="A328" s="167" t="s">
        <v>1641</v>
      </c>
      <c r="B328" s="167" t="s">
        <v>2071</v>
      </c>
    </row>
    <row r="329">
      <c r="A329" s="167" t="s">
        <v>1650</v>
      </c>
      <c r="B329" s="167" t="s">
        <v>2067</v>
      </c>
    </row>
    <row r="330">
      <c r="A330" s="167" t="s">
        <v>1658</v>
      </c>
      <c r="B330" s="167" t="s">
        <v>1720</v>
      </c>
    </row>
    <row r="332">
      <c r="A332" s="169" t="s">
        <v>2072</v>
      </c>
      <c r="B332" s="170"/>
    </row>
    <row r="333">
      <c r="A333" s="171" t="s">
        <v>2059</v>
      </c>
      <c r="B333" s="172" t="s">
        <v>1779</v>
      </c>
    </row>
    <row r="334">
      <c r="A334" s="173" t="s">
        <v>1623</v>
      </c>
      <c r="B334" s="173" t="s">
        <v>2073</v>
      </c>
    </row>
    <row r="335">
      <c r="A335" s="173" t="s">
        <v>1625</v>
      </c>
      <c r="B335" s="173" t="s">
        <v>2074</v>
      </c>
    </row>
    <row r="336">
      <c r="A336" s="173" t="s">
        <v>1641</v>
      </c>
      <c r="B336" s="173" t="s">
        <v>2075</v>
      </c>
    </row>
    <row r="337">
      <c r="A337" s="173" t="s">
        <v>1650</v>
      </c>
      <c r="B337" s="173" t="s">
        <v>2076</v>
      </c>
    </row>
    <row r="338">
      <c r="A338" s="173" t="s">
        <v>1658</v>
      </c>
      <c r="B338" s="173" t="s">
        <v>1721</v>
      </c>
    </row>
    <row r="340">
      <c r="A340" s="241" t="s">
        <v>2077</v>
      </c>
      <c r="B340" s="181"/>
      <c r="C340" s="181"/>
    </row>
    <row r="341">
      <c r="A341" s="181" t="s">
        <v>2078</v>
      </c>
      <c r="B341" s="181" t="s">
        <v>2079</v>
      </c>
      <c r="C341" s="181" t="s">
        <v>2080</v>
      </c>
    </row>
    <row r="342">
      <c r="A342" s="181" t="s">
        <v>2081</v>
      </c>
      <c r="B342" s="181" t="s">
        <v>2082</v>
      </c>
      <c r="C342" s="181" t="s">
        <v>1676</v>
      </c>
    </row>
    <row r="343">
      <c r="A343" s="181" t="s">
        <v>2083</v>
      </c>
      <c r="B343" s="181" t="s">
        <v>2084</v>
      </c>
      <c r="C343" s="181" t="s">
        <v>2085</v>
      </c>
    </row>
    <row r="344">
      <c r="A344" s="181" t="s">
        <v>2086</v>
      </c>
      <c r="B344" s="181" t="s">
        <v>2087</v>
      </c>
      <c r="C344" s="181" t="s">
        <v>2088</v>
      </c>
    </row>
    <row r="345">
      <c r="A345" s="181" t="s">
        <v>2089</v>
      </c>
      <c r="B345" s="181" t="s">
        <v>2090</v>
      </c>
      <c r="C345" s="181" t="s">
        <v>1672</v>
      </c>
    </row>
    <row r="346">
      <c r="A346" s="181" t="s">
        <v>2091</v>
      </c>
      <c r="B346" s="181" t="s">
        <v>2092</v>
      </c>
      <c r="C346" s="181" t="s">
        <v>2093</v>
      </c>
    </row>
    <row r="347">
      <c r="A347" s="181" t="s">
        <v>2094</v>
      </c>
      <c r="B347" s="181" t="s">
        <v>2095</v>
      </c>
      <c r="C347" s="181" t="s">
        <v>1674</v>
      </c>
    </row>
    <row r="349">
      <c r="A349" s="242" t="s">
        <v>1310</v>
      </c>
      <c r="B349" s="243"/>
    </row>
    <row r="350">
      <c r="A350" s="187" t="s">
        <v>2096</v>
      </c>
      <c r="B350" s="187" t="s">
        <v>1743</v>
      </c>
    </row>
    <row r="351">
      <c r="A351" s="244">
        <v>43467.0</v>
      </c>
      <c r="B351" s="187" t="s">
        <v>2097</v>
      </c>
    </row>
    <row r="352">
      <c r="A352" s="244">
        <v>43528.0</v>
      </c>
      <c r="B352" s="187" t="s">
        <v>2098</v>
      </c>
    </row>
    <row r="353">
      <c r="A353" s="244">
        <v>43591.0</v>
      </c>
      <c r="B353" s="187" t="s">
        <v>2099</v>
      </c>
    </row>
    <row r="354">
      <c r="A354" s="244">
        <v>43654.0</v>
      </c>
      <c r="B354" s="187" t="s">
        <v>2100</v>
      </c>
    </row>
    <row r="355">
      <c r="A355" s="244">
        <v>43718.0</v>
      </c>
      <c r="B355" s="187" t="s">
        <v>2101</v>
      </c>
    </row>
    <row r="356">
      <c r="A356" s="245">
        <v>43781.0</v>
      </c>
      <c r="B356" s="187" t="s">
        <v>2102</v>
      </c>
    </row>
    <row r="357">
      <c r="A357" s="187" t="s">
        <v>2103</v>
      </c>
      <c r="B357" s="187" t="s">
        <v>2104</v>
      </c>
    </row>
    <row r="358">
      <c r="A358" s="187" t="s">
        <v>2105</v>
      </c>
      <c r="B358" s="187" t="s">
        <v>2106</v>
      </c>
    </row>
    <row r="359">
      <c r="A359" s="187" t="s">
        <v>2107</v>
      </c>
      <c r="B359" s="187" t="s">
        <v>2108</v>
      </c>
    </row>
    <row r="360">
      <c r="A360" s="187" t="s">
        <v>2109</v>
      </c>
      <c r="B360" s="187" t="s">
        <v>2110</v>
      </c>
    </row>
    <row r="361">
      <c r="A361" s="187" t="s">
        <v>2111</v>
      </c>
      <c r="B361" s="187" t="s">
        <v>2112</v>
      </c>
    </row>
    <row r="362">
      <c r="A362" s="187" t="s">
        <v>2113</v>
      </c>
      <c r="B362" s="187" t="s">
        <v>2114</v>
      </c>
    </row>
    <row r="363">
      <c r="A363" s="187" t="s">
        <v>2115</v>
      </c>
      <c r="B363" s="187" t="s">
        <v>2116</v>
      </c>
    </row>
    <row r="364">
      <c r="A364" s="187" t="s">
        <v>2117</v>
      </c>
      <c r="B364" s="187" t="s">
        <v>2118</v>
      </c>
    </row>
    <row r="365">
      <c r="A365" s="187" t="s">
        <v>2119</v>
      </c>
      <c r="B365" s="187" t="s">
        <v>2120</v>
      </c>
    </row>
    <row r="366">
      <c r="A366" s="187" t="s">
        <v>2121</v>
      </c>
      <c r="B366" s="187" t="s">
        <v>2122</v>
      </c>
    </row>
    <row r="367">
      <c r="A367" s="187" t="s">
        <v>2123</v>
      </c>
      <c r="B367" s="187" t="s">
        <v>2124</v>
      </c>
    </row>
    <row r="368">
      <c r="A368" s="187" t="s">
        <v>2125</v>
      </c>
      <c r="B368" s="187" t="s">
        <v>2126</v>
      </c>
    </row>
    <row r="369">
      <c r="A369" s="187" t="s">
        <v>2127</v>
      </c>
      <c r="B369" s="187" t="s">
        <v>2128</v>
      </c>
    </row>
    <row r="370">
      <c r="A370" s="187" t="s">
        <v>2129</v>
      </c>
      <c r="B370" s="187" t="s">
        <v>2130</v>
      </c>
    </row>
    <row r="371">
      <c r="A371" s="187" t="s">
        <v>2131</v>
      </c>
      <c r="B371" s="187" t="s">
        <v>2132</v>
      </c>
    </row>
    <row r="372">
      <c r="A372" s="187" t="s">
        <v>2133</v>
      </c>
      <c r="B372" s="187" t="s">
        <v>2134</v>
      </c>
    </row>
    <row r="373">
      <c r="A373" s="187" t="s">
        <v>2135</v>
      </c>
      <c r="B373" s="187" t="s">
        <v>2136</v>
      </c>
    </row>
    <row r="374">
      <c r="A374" s="187" t="s">
        <v>2137</v>
      </c>
      <c r="B374" s="187" t="s">
        <v>2138</v>
      </c>
    </row>
    <row r="375">
      <c r="A375" s="187" t="s">
        <v>2139</v>
      </c>
      <c r="B375" s="187" t="s">
        <v>2140</v>
      </c>
    </row>
    <row r="376">
      <c r="A376" s="187" t="s">
        <v>2141</v>
      </c>
      <c r="B376" s="187" t="s">
        <v>2142</v>
      </c>
    </row>
    <row r="377">
      <c r="A377" s="187" t="s">
        <v>2143</v>
      </c>
      <c r="B377" s="187" t="s">
        <v>2144</v>
      </c>
    </row>
    <row r="378">
      <c r="A378" s="187" t="s">
        <v>2145</v>
      </c>
      <c r="B378" s="187" t="s">
        <v>2146</v>
      </c>
    </row>
    <row r="379">
      <c r="A379" s="187" t="s">
        <v>2147</v>
      </c>
      <c r="B379" s="187" t="s">
        <v>2148</v>
      </c>
    </row>
    <row r="380">
      <c r="A380" s="187" t="s">
        <v>2149</v>
      </c>
      <c r="B380" s="187" t="s">
        <v>2150</v>
      </c>
    </row>
    <row r="381">
      <c r="A381" s="187" t="s">
        <v>2151</v>
      </c>
      <c r="B381" s="187" t="s">
        <v>2152</v>
      </c>
    </row>
    <row r="382">
      <c r="A382" s="187" t="s">
        <v>2153</v>
      </c>
      <c r="B382" s="187" t="s">
        <v>2154</v>
      </c>
    </row>
    <row r="383">
      <c r="A383" s="187" t="s">
        <v>2155</v>
      </c>
      <c r="B383" s="187" t="s">
        <v>2156</v>
      </c>
    </row>
    <row r="384">
      <c r="A384" s="187" t="s">
        <v>2157</v>
      </c>
      <c r="B384" s="187" t="s">
        <v>2158</v>
      </c>
    </row>
    <row r="385">
      <c r="A385" s="187" t="s">
        <v>2159</v>
      </c>
      <c r="B385" s="187" t="s">
        <v>2160</v>
      </c>
    </row>
    <row r="386">
      <c r="A386" s="187" t="s">
        <v>2161</v>
      </c>
      <c r="B386" s="187" t="s">
        <v>2162</v>
      </c>
    </row>
    <row r="387">
      <c r="A387" s="187" t="s">
        <v>2163</v>
      </c>
      <c r="B387" s="187" t="s">
        <v>2164</v>
      </c>
    </row>
    <row r="388">
      <c r="A388" s="187" t="s">
        <v>2165</v>
      </c>
      <c r="B388" s="187" t="s">
        <v>2166</v>
      </c>
    </row>
    <row r="389">
      <c r="A389" s="187" t="s">
        <v>2167</v>
      </c>
      <c r="B389" s="187" t="s">
        <v>2168</v>
      </c>
    </row>
    <row r="390">
      <c r="A390" s="187" t="s">
        <v>2169</v>
      </c>
      <c r="B390" s="187" t="s">
        <v>2170</v>
      </c>
    </row>
    <row r="391">
      <c r="A391" s="187" t="s">
        <v>2171</v>
      </c>
      <c r="B391" s="187" t="s">
        <v>2172</v>
      </c>
    </row>
    <row r="392">
      <c r="A392" s="187" t="s">
        <v>2173</v>
      </c>
      <c r="B392" s="187" t="s">
        <v>2174</v>
      </c>
    </row>
    <row r="393">
      <c r="A393" s="187" t="s">
        <v>2175</v>
      </c>
      <c r="B393" s="187" t="s">
        <v>2176</v>
      </c>
    </row>
    <row r="394">
      <c r="A394" s="187" t="s">
        <v>2177</v>
      </c>
      <c r="B394" s="187" t="s">
        <v>2178</v>
      </c>
    </row>
    <row r="395">
      <c r="A395" s="187" t="s">
        <v>2179</v>
      </c>
      <c r="B395" s="187" t="s">
        <v>2180</v>
      </c>
    </row>
    <row r="396">
      <c r="A396" s="187" t="s">
        <v>2181</v>
      </c>
      <c r="B396" s="187" t="s">
        <v>2182</v>
      </c>
    </row>
    <row r="397">
      <c r="A397" s="187" t="s">
        <v>2183</v>
      </c>
      <c r="B397" s="187" t="s">
        <v>2184</v>
      </c>
    </row>
    <row r="398">
      <c r="A398" s="187" t="s">
        <v>2185</v>
      </c>
      <c r="B398" s="187" t="s">
        <v>2186</v>
      </c>
    </row>
    <row r="399">
      <c r="A399" s="187" t="s">
        <v>2187</v>
      </c>
      <c r="B399" s="187" t="s">
        <v>2188</v>
      </c>
    </row>
    <row r="400">
      <c r="A400" s="187" t="s">
        <v>2189</v>
      </c>
      <c r="B400" s="187" t="s">
        <v>2190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9" max="9" width="23.71"/>
    <col customWidth="1" min="11" max="11" width="27.0"/>
    <col customWidth="1" min="12" max="12" width="17.57"/>
    <col customWidth="1" min="13" max="13" width="32.0"/>
    <col customWidth="1" min="14" max="14" width="26.29"/>
  </cols>
  <sheetData>
    <row r="1">
      <c r="A1" s="1" t="s">
        <v>4</v>
      </c>
      <c r="B1" s="10" t="s">
        <v>2191</v>
      </c>
      <c r="C1" s="10" t="s">
        <v>2192</v>
      </c>
      <c r="D1" s="10" t="s">
        <v>2193</v>
      </c>
      <c r="E1" s="10" t="s">
        <v>2194</v>
      </c>
      <c r="F1" s="10" t="s">
        <v>2195</v>
      </c>
      <c r="G1" s="10" t="s">
        <v>2196</v>
      </c>
    </row>
    <row r="2">
      <c r="A2" s="6" t="s">
        <v>12</v>
      </c>
      <c r="B2" s="10">
        <v>2.0</v>
      </c>
      <c r="C2" s="73" t="s">
        <v>2197</v>
      </c>
      <c r="D2" s="10" t="s">
        <v>2198</v>
      </c>
      <c r="E2" s="73" t="s">
        <v>2199</v>
      </c>
      <c r="F2" s="73" t="s">
        <v>2200</v>
      </c>
      <c r="G2" s="73" t="s">
        <v>2201</v>
      </c>
      <c r="I2" s="246"/>
      <c r="J2" s="246"/>
      <c r="K2" s="246"/>
      <c r="L2" s="246"/>
      <c r="M2" s="246"/>
      <c r="N2" s="246"/>
    </row>
    <row r="3">
      <c r="A3" s="10" t="s">
        <v>18</v>
      </c>
      <c r="B3" s="10">
        <v>2.0</v>
      </c>
      <c r="C3" s="73" t="s">
        <v>2202</v>
      </c>
      <c r="D3" s="10" t="s">
        <v>2203</v>
      </c>
      <c r="E3" s="73" t="s">
        <v>2199</v>
      </c>
      <c r="F3" s="10" t="s">
        <v>2204</v>
      </c>
      <c r="G3" s="73" t="s">
        <v>2205</v>
      </c>
      <c r="I3" s="246"/>
      <c r="J3" s="246"/>
      <c r="K3" s="246"/>
      <c r="L3" s="246"/>
      <c r="M3" s="246"/>
      <c r="N3" s="246"/>
    </row>
    <row r="4">
      <c r="A4" s="6" t="s">
        <v>23</v>
      </c>
      <c r="B4" s="10">
        <v>3.0</v>
      </c>
      <c r="C4" s="10" t="s">
        <v>2206</v>
      </c>
      <c r="D4" s="73" t="s">
        <v>2207</v>
      </c>
      <c r="E4" s="10" t="s">
        <v>2208</v>
      </c>
      <c r="F4" s="10" t="s">
        <v>2209</v>
      </c>
      <c r="G4" s="73" t="s">
        <v>2210</v>
      </c>
      <c r="I4" s="246"/>
      <c r="J4" s="246"/>
      <c r="K4" s="246"/>
      <c r="L4" s="246"/>
      <c r="M4" s="246"/>
      <c r="N4" s="246"/>
    </row>
    <row r="5">
      <c r="A5" s="6" t="s">
        <v>29</v>
      </c>
      <c r="I5" s="246"/>
      <c r="J5" s="246"/>
      <c r="K5" s="246"/>
      <c r="L5" s="246"/>
      <c r="M5" s="246"/>
      <c r="N5" s="246"/>
    </row>
    <row r="6">
      <c r="A6" s="6" t="s">
        <v>35</v>
      </c>
      <c r="I6" s="246"/>
      <c r="J6" s="246"/>
      <c r="K6" s="246"/>
      <c r="L6" s="246"/>
      <c r="M6" s="246"/>
      <c r="N6" s="246"/>
    </row>
    <row r="7">
      <c r="A7" s="6" t="s">
        <v>39</v>
      </c>
      <c r="I7" s="246"/>
      <c r="J7" s="246"/>
      <c r="K7" s="246"/>
      <c r="L7" s="246"/>
      <c r="M7" s="246"/>
      <c r="N7" s="246"/>
    </row>
    <row r="8">
      <c r="A8" s="10" t="s">
        <v>44</v>
      </c>
      <c r="I8" s="246"/>
      <c r="J8" s="246"/>
      <c r="K8" s="246"/>
      <c r="L8" s="246"/>
      <c r="M8" s="246"/>
      <c r="N8" s="246"/>
    </row>
    <row r="9">
      <c r="A9" s="6" t="s">
        <v>48</v>
      </c>
      <c r="I9" s="246"/>
      <c r="J9" s="246"/>
      <c r="K9" s="246"/>
      <c r="L9" s="246"/>
      <c r="M9" s="246"/>
      <c r="N9" s="246"/>
    </row>
    <row r="10">
      <c r="A10" s="6" t="s">
        <v>52</v>
      </c>
      <c r="I10" s="246"/>
      <c r="J10" s="246"/>
      <c r="K10" s="246"/>
      <c r="L10" s="246"/>
      <c r="M10" s="246"/>
      <c r="N10" s="246"/>
    </row>
    <row r="11">
      <c r="A11" s="6" t="s">
        <v>56</v>
      </c>
      <c r="I11" s="246"/>
      <c r="J11" s="246"/>
      <c r="K11" s="246"/>
      <c r="L11" s="246"/>
      <c r="M11" s="246"/>
      <c r="N11" s="246"/>
    </row>
    <row r="12">
      <c r="A12" s="6" t="s">
        <v>60</v>
      </c>
      <c r="I12" s="246"/>
      <c r="J12" s="246"/>
      <c r="K12" s="246"/>
      <c r="L12" s="246"/>
      <c r="M12" s="246"/>
      <c r="N12" s="246"/>
    </row>
    <row r="13">
      <c r="A13" s="6" t="s">
        <v>65</v>
      </c>
      <c r="I13" s="246"/>
      <c r="J13" s="246"/>
      <c r="K13" s="246"/>
      <c r="L13" s="246"/>
      <c r="M13" s="246"/>
      <c r="N13" s="246"/>
    </row>
    <row r="14">
      <c r="A14" s="23" t="s">
        <v>69</v>
      </c>
      <c r="I14" s="246"/>
      <c r="J14" s="246"/>
      <c r="K14" s="246"/>
      <c r="L14" s="246"/>
      <c r="M14" s="246"/>
      <c r="N14" s="246"/>
    </row>
    <row r="15">
      <c r="I15" s="246"/>
      <c r="J15" s="246"/>
      <c r="K15" s="246"/>
      <c r="L15" s="246"/>
      <c r="M15" s="246"/>
      <c r="N15" s="246"/>
    </row>
    <row r="16">
      <c r="I16" s="246"/>
      <c r="J16" s="246"/>
      <c r="K16" s="246"/>
      <c r="L16" s="246"/>
      <c r="M16" s="246"/>
      <c r="N16" s="246"/>
    </row>
    <row r="17">
      <c r="I17" s="246"/>
      <c r="J17" s="246"/>
      <c r="K17" s="246"/>
      <c r="L17" s="246"/>
      <c r="M17" s="246"/>
      <c r="N17" s="246"/>
    </row>
    <row r="18">
      <c r="I18" s="246"/>
      <c r="J18" s="246"/>
      <c r="K18" s="246"/>
      <c r="L18" s="246"/>
      <c r="M18" s="246"/>
      <c r="N18" s="246"/>
    </row>
    <row r="19">
      <c r="I19" s="246"/>
      <c r="J19" s="246"/>
      <c r="K19" s="246"/>
      <c r="L19" s="246"/>
      <c r="M19" s="246"/>
      <c r="N19" s="246"/>
    </row>
    <row r="20">
      <c r="I20" s="246"/>
      <c r="J20" s="246"/>
      <c r="K20" s="246"/>
      <c r="L20" s="246"/>
      <c r="M20" s="246"/>
      <c r="N20" s="246"/>
    </row>
    <row r="21">
      <c r="I21" s="246"/>
      <c r="J21" s="246"/>
      <c r="K21" s="246"/>
      <c r="L21" s="246"/>
      <c r="M21" s="246"/>
      <c r="N21" s="246"/>
    </row>
    <row r="22">
      <c r="I22" s="246"/>
      <c r="J22" s="246"/>
      <c r="K22" s="246"/>
      <c r="L22" s="246"/>
      <c r="M22" s="246"/>
      <c r="N22" s="246"/>
    </row>
    <row r="23">
      <c r="I23" s="246"/>
      <c r="J23" s="246"/>
      <c r="K23" s="246"/>
      <c r="L23" s="246"/>
      <c r="M23" s="246"/>
      <c r="N23" s="246"/>
    </row>
    <row r="24">
      <c r="I24" s="246"/>
      <c r="J24" s="246"/>
      <c r="K24" s="246"/>
      <c r="L24" s="246"/>
      <c r="M24" s="246"/>
      <c r="N24" s="246"/>
    </row>
    <row r="25">
      <c r="I25" s="246"/>
      <c r="J25" s="246"/>
      <c r="K25" s="246"/>
      <c r="L25" s="246"/>
      <c r="M25" s="246"/>
      <c r="N25" s="246"/>
    </row>
    <row r="26">
      <c r="I26" s="246"/>
      <c r="J26" s="246"/>
      <c r="K26" s="246"/>
      <c r="L26" s="246"/>
      <c r="M26" s="246"/>
      <c r="N26" s="246"/>
    </row>
    <row r="27">
      <c r="I27" s="246"/>
      <c r="J27" s="246"/>
      <c r="K27" s="246"/>
      <c r="L27" s="246"/>
      <c r="M27" s="246"/>
      <c r="N27" s="246"/>
    </row>
    <row r="28">
      <c r="I28" s="246"/>
      <c r="J28" s="246"/>
      <c r="K28" s="246"/>
      <c r="L28" s="246"/>
      <c r="M28" s="246"/>
      <c r="N28" s="246"/>
    </row>
    <row r="29">
      <c r="I29" s="246"/>
      <c r="J29" s="246"/>
      <c r="K29" s="246"/>
      <c r="L29" s="246"/>
      <c r="M29" s="246"/>
      <c r="N29" s="246"/>
    </row>
    <row r="30">
      <c r="I30" s="246"/>
      <c r="J30" s="246"/>
      <c r="K30" s="246"/>
      <c r="L30" s="246"/>
      <c r="M30" s="246"/>
      <c r="N30" s="246"/>
    </row>
    <row r="31">
      <c r="I31" s="246"/>
      <c r="J31" s="246"/>
      <c r="K31" s="246"/>
      <c r="L31" s="246"/>
      <c r="M31" s="246"/>
      <c r="N31" s="246"/>
    </row>
    <row r="32">
      <c r="I32" s="246"/>
      <c r="J32" s="246"/>
      <c r="K32" s="246"/>
      <c r="L32" s="246"/>
      <c r="M32" s="246"/>
      <c r="N32" s="246"/>
    </row>
    <row r="33">
      <c r="I33" s="246"/>
      <c r="J33" s="246"/>
      <c r="K33" s="246"/>
      <c r="L33" s="246"/>
      <c r="M33" s="246"/>
      <c r="N33" s="246"/>
    </row>
    <row r="34">
      <c r="I34" s="246"/>
      <c r="J34" s="246"/>
      <c r="K34" s="246"/>
      <c r="L34" s="246"/>
      <c r="M34" s="246"/>
      <c r="N34" s="246"/>
    </row>
    <row r="35">
      <c r="I35" s="246"/>
      <c r="J35" s="246"/>
      <c r="K35" s="246"/>
      <c r="L35" s="246"/>
      <c r="M35" s="246"/>
      <c r="N35" s="246"/>
    </row>
    <row r="36">
      <c r="I36" s="246"/>
      <c r="J36" s="246"/>
      <c r="K36" s="246"/>
      <c r="L36" s="246"/>
      <c r="M36" s="246"/>
      <c r="N36" s="246"/>
    </row>
    <row r="37">
      <c r="I37" s="246"/>
      <c r="J37" s="246"/>
      <c r="K37" s="246"/>
      <c r="L37" s="246"/>
      <c r="M37" s="246"/>
      <c r="N37" s="246"/>
    </row>
    <row r="38">
      <c r="I38" s="246"/>
      <c r="J38" s="246"/>
      <c r="K38" s="246"/>
      <c r="L38" s="246"/>
      <c r="M38" s="246"/>
      <c r="N38" s="246"/>
    </row>
    <row r="39">
      <c r="I39" s="246"/>
      <c r="J39" s="246"/>
      <c r="K39" s="246"/>
      <c r="L39" s="246"/>
      <c r="M39" s="246"/>
      <c r="N39" s="246"/>
    </row>
    <row r="40">
      <c r="I40" s="246"/>
      <c r="J40" s="246"/>
      <c r="K40" s="246"/>
      <c r="L40" s="246"/>
      <c r="M40" s="246"/>
      <c r="N40" s="246"/>
    </row>
    <row r="41">
      <c r="I41" s="246"/>
      <c r="J41" s="246"/>
      <c r="K41" s="246"/>
      <c r="L41" s="246"/>
      <c r="M41" s="246"/>
      <c r="N41" s="246"/>
    </row>
    <row r="42">
      <c r="I42" s="246"/>
      <c r="J42" s="246"/>
      <c r="K42" s="246"/>
      <c r="L42" s="246"/>
      <c r="M42" s="246"/>
      <c r="N42" s="246"/>
    </row>
    <row r="43">
      <c r="I43" s="246"/>
      <c r="J43" s="246"/>
      <c r="K43" s="246"/>
      <c r="L43" s="246"/>
      <c r="M43" s="246"/>
      <c r="N43" s="246"/>
    </row>
    <row r="44">
      <c r="I44" s="246"/>
      <c r="J44" s="246"/>
      <c r="K44" s="246"/>
      <c r="L44" s="246"/>
      <c r="M44" s="246"/>
      <c r="N44" s="246"/>
    </row>
    <row r="45">
      <c r="I45" s="246"/>
      <c r="J45" s="246"/>
      <c r="K45" s="246"/>
      <c r="L45" s="246"/>
      <c r="M45" s="246"/>
      <c r="N45" s="246"/>
    </row>
    <row r="46">
      <c r="I46" s="246"/>
      <c r="J46" s="246"/>
      <c r="K46" s="246"/>
      <c r="L46" s="246"/>
      <c r="M46" s="246"/>
      <c r="N46" s="246"/>
    </row>
    <row r="47">
      <c r="I47" s="246"/>
      <c r="J47" s="246"/>
      <c r="K47" s="246"/>
      <c r="L47" s="246"/>
      <c r="M47" s="246"/>
      <c r="N47" s="246"/>
    </row>
    <row r="48">
      <c r="I48" s="246"/>
      <c r="J48" s="246"/>
      <c r="K48" s="246"/>
      <c r="L48" s="246"/>
      <c r="M48" s="246"/>
      <c r="N48" s="246"/>
    </row>
    <row r="49">
      <c r="I49" s="246"/>
      <c r="J49" s="246"/>
      <c r="K49" s="246"/>
      <c r="L49" s="246"/>
      <c r="M49" s="246"/>
      <c r="N49" s="246"/>
    </row>
    <row r="50">
      <c r="I50" s="246"/>
      <c r="J50" s="246"/>
      <c r="K50" s="246"/>
      <c r="L50" s="246"/>
      <c r="M50" s="246"/>
      <c r="N50" s="246"/>
    </row>
    <row r="51">
      <c r="I51" s="246"/>
      <c r="J51" s="246"/>
      <c r="K51" s="246"/>
      <c r="L51" s="246"/>
      <c r="M51" s="246"/>
      <c r="N51" s="246"/>
    </row>
    <row r="52">
      <c r="I52" s="246"/>
      <c r="J52" s="246"/>
      <c r="K52" s="246"/>
      <c r="L52" s="246"/>
      <c r="M52" s="246"/>
      <c r="N52" s="246"/>
    </row>
    <row r="53">
      <c r="I53" s="246"/>
      <c r="J53" s="246"/>
      <c r="K53" s="246"/>
      <c r="L53" s="246"/>
      <c r="M53" s="246"/>
      <c r="N53" s="246"/>
    </row>
    <row r="54">
      <c r="I54" s="246"/>
      <c r="J54" s="246"/>
      <c r="K54" s="246"/>
      <c r="L54" s="246"/>
      <c r="M54" s="246"/>
      <c r="N54" s="246"/>
    </row>
    <row r="55">
      <c r="I55" s="246"/>
      <c r="J55" s="246"/>
      <c r="K55" s="246"/>
      <c r="L55" s="246"/>
      <c r="M55" s="246"/>
      <c r="N55" s="246"/>
    </row>
    <row r="56">
      <c r="I56" s="246"/>
      <c r="J56" s="246"/>
      <c r="K56" s="246"/>
      <c r="L56" s="246"/>
      <c r="M56" s="246"/>
      <c r="N56" s="246"/>
    </row>
    <row r="57">
      <c r="I57" s="246"/>
      <c r="J57" s="246"/>
      <c r="K57" s="246"/>
      <c r="L57" s="246"/>
      <c r="M57" s="246"/>
      <c r="N57" s="246"/>
    </row>
    <row r="58">
      <c r="I58" s="246"/>
      <c r="J58" s="246"/>
      <c r="K58" s="246"/>
      <c r="L58" s="246"/>
      <c r="M58" s="246"/>
      <c r="N58" s="246"/>
    </row>
    <row r="59">
      <c r="I59" s="246"/>
      <c r="J59" s="246"/>
      <c r="K59" s="246"/>
      <c r="L59" s="246"/>
      <c r="M59" s="246"/>
      <c r="N59" s="246"/>
    </row>
    <row r="60">
      <c r="I60" s="246"/>
      <c r="J60" s="246"/>
      <c r="K60" s="246"/>
      <c r="L60" s="246"/>
      <c r="M60" s="246"/>
      <c r="N60" s="246"/>
    </row>
    <row r="61">
      <c r="I61" s="246"/>
      <c r="J61" s="246"/>
      <c r="K61" s="246"/>
      <c r="L61" s="246"/>
      <c r="M61" s="246"/>
      <c r="N61" s="246"/>
    </row>
    <row r="62">
      <c r="I62" s="246"/>
      <c r="J62" s="246"/>
      <c r="K62" s="246"/>
      <c r="L62" s="246"/>
      <c r="M62" s="246"/>
      <c r="N62" s="246"/>
    </row>
    <row r="63">
      <c r="I63" s="246"/>
      <c r="J63" s="246"/>
      <c r="K63" s="246"/>
      <c r="L63" s="246"/>
      <c r="M63" s="246"/>
      <c r="N63" s="246"/>
    </row>
    <row r="64">
      <c r="I64" s="246"/>
      <c r="J64" s="246"/>
      <c r="K64" s="246"/>
      <c r="L64" s="246"/>
      <c r="M64" s="246"/>
      <c r="N64" s="246"/>
    </row>
    <row r="65">
      <c r="I65" s="246"/>
      <c r="J65" s="246"/>
      <c r="K65" s="246"/>
      <c r="L65" s="246"/>
      <c r="M65" s="246"/>
      <c r="N65" s="246"/>
    </row>
    <row r="66">
      <c r="I66" s="246"/>
      <c r="J66" s="246"/>
      <c r="K66" s="246"/>
      <c r="L66" s="246"/>
      <c r="M66" s="246"/>
      <c r="N66" s="246"/>
    </row>
    <row r="67">
      <c r="I67" s="246"/>
      <c r="J67" s="246"/>
      <c r="K67" s="246"/>
      <c r="L67" s="246"/>
      <c r="M67" s="246"/>
      <c r="N67" s="246"/>
    </row>
    <row r="68">
      <c r="I68" s="246"/>
      <c r="J68" s="246"/>
      <c r="K68" s="246"/>
      <c r="L68" s="246"/>
      <c r="M68" s="246"/>
      <c r="N68" s="246"/>
    </row>
    <row r="69">
      <c r="I69" s="246"/>
      <c r="J69" s="246"/>
      <c r="K69" s="246"/>
      <c r="L69" s="246"/>
      <c r="M69" s="246"/>
      <c r="N69" s="246"/>
    </row>
    <row r="70">
      <c r="I70" s="246"/>
      <c r="J70" s="246"/>
      <c r="K70" s="246"/>
      <c r="L70" s="246"/>
      <c r="M70" s="246"/>
      <c r="N70" s="246"/>
    </row>
    <row r="71">
      <c r="I71" s="246"/>
      <c r="J71" s="246"/>
      <c r="K71" s="246"/>
      <c r="L71" s="246"/>
      <c r="M71" s="246"/>
      <c r="N71" s="246"/>
    </row>
    <row r="72">
      <c r="I72" s="246"/>
      <c r="J72" s="246"/>
      <c r="K72" s="246"/>
      <c r="L72" s="246"/>
      <c r="M72" s="246"/>
      <c r="N72" s="246"/>
    </row>
    <row r="73">
      <c r="I73" s="246"/>
      <c r="J73" s="246"/>
      <c r="K73" s="246"/>
      <c r="L73" s="246"/>
      <c r="M73" s="246"/>
      <c r="N73" s="246"/>
    </row>
    <row r="74">
      <c r="I74" s="246"/>
      <c r="J74" s="246"/>
      <c r="K74" s="246"/>
      <c r="L74" s="246"/>
      <c r="M74" s="246"/>
      <c r="N74" s="246"/>
    </row>
    <row r="75">
      <c r="I75" s="246"/>
      <c r="J75" s="246"/>
      <c r="K75" s="246"/>
      <c r="L75" s="246"/>
      <c r="M75" s="246"/>
      <c r="N75" s="246"/>
    </row>
    <row r="76">
      <c r="I76" s="246"/>
      <c r="J76" s="246"/>
      <c r="K76" s="246"/>
      <c r="L76" s="246"/>
      <c r="M76" s="246"/>
      <c r="N76" s="246"/>
    </row>
    <row r="77">
      <c r="I77" s="246"/>
      <c r="J77" s="246"/>
      <c r="K77" s="246"/>
      <c r="L77" s="246"/>
      <c r="M77" s="246"/>
      <c r="N77" s="246"/>
    </row>
    <row r="78">
      <c r="I78" s="246"/>
      <c r="J78" s="246"/>
      <c r="K78" s="246"/>
      <c r="L78" s="246"/>
      <c r="M78" s="246"/>
      <c r="N78" s="246"/>
    </row>
    <row r="79">
      <c r="I79" s="246"/>
      <c r="J79" s="246"/>
      <c r="K79" s="246"/>
      <c r="L79" s="246"/>
      <c r="M79" s="246"/>
      <c r="N79" s="246"/>
    </row>
    <row r="80">
      <c r="I80" s="246"/>
      <c r="J80" s="246"/>
      <c r="K80" s="246"/>
      <c r="L80" s="246"/>
      <c r="M80" s="246"/>
      <c r="N80" s="246"/>
    </row>
    <row r="81">
      <c r="I81" s="246"/>
      <c r="J81" s="246"/>
      <c r="K81" s="246"/>
      <c r="L81" s="246"/>
      <c r="M81" s="246"/>
      <c r="N81" s="246"/>
    </row>
    <row r="82">
      <c r="I82" s="246"/>
      <c r="J82" s="246"/>
      <c r="K82" s="246"/>
      <c r="L82" s="246"/>
      <c r="M82" s="246"/>
      <c r="N82" s="246"/>
    </row>
    <row r="83">
      <c r="I83" s="246"/>
      <c r="J83" s="246"/>
      <c r="K83" s="246"/>
      <c r="L83" s="246"/>
      <c r="M83" s="246"/>
      <c r="N83" s="246"/>
    </row>
    <row r="84">
      <c r="I84" s="246"/>
      <c r="J84" s="246"/>
      <c r="K84" s="246"/>
      <c r="L84" s="246"/>
      <c r="M84" s="246"/>
      <c r="N84" s="246"/>
    </row>
    <row r="85">
      <c r="I85" s="246"/>
      <c r="J85" s="246"/>
      <c r="K85" s="246"/>
      <c r="L85" s="246"/>
      <c r="M85" s="246"/>
      <c r="N85" s="246"/>
    </row>
    <row r="86">
      <c r="I86" s="246"/>
      <c r="J86" s="246"/>
      <c r="K86" s="246"/>
      <c r="L86" s="246"/>
      <c r="M86" s="246"/>
      <c r="N86" s="246"/>
    </row>
    <row r="87">
      <c r="I87" s="246"/>
      <c r="J87" s="246"/>
      <c r="K87" s="246"/>
      <c r="L87" s="246"/>
      <c r="M87" s="246"/>
      <c r="N87" s="246"/>
    </row>
    <row r="88">
      <c r="I88" s="246"/>
      <c r="J88" s="246"/>
      <c r="K88" s="246"/>
      <c r="L88" s="246"/>
      <c r="M88" s="246"/>
      <c r="N88" s="246"/>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1.29"/>
    <col customWidth="1" min="3" max="5" width="43.0"/>
  </cols>
  <sheetData>
    <row r="1" ht="22.5" customHeight="1">
      <c r="A1" s="247" t="s">
        <v>2211</v>
      </c>
      <c r="B1" s="247" t="s">
        <v>2212</v>
      </c>
      <c r="C1" s="248" t="s">
        <v>2213</v>
      </c>
      <c r="D1" s="248" t="s">
        <v>318</v>
      </c>
      <c r="E1" s="247" t="s">
        <v>2192</v>
      </c>
      <c r="F1" s="247" t="s">
        <v>2214</v>
      </c>
      <c r="G1" s="247" t="s">
        <v>2195</v>
      </c>
      <c r="H1" s="247" t="s">
        <v>2215</v>
      </c>
      <c r="I1" s="249" t="s">
        <v>2216</v>
      </c>
    </row>
    <row r="2" ht="28.5" customHeight="1">
      <c r="A2" s="250" t="s">
        <v>2217</v>
      </c>
      <c r="B2" s="251" t="s">
        <v>2218</v>
      </c>
      <c r="C2" s="251"/>
      <c r="D2" s="251"/>
      <c r="E2" s="251" t="s">
        <v>2219</v>
      </c>
      <c r="F2" s="251" t="s">
        <v>2220</v>
      </c>
      <c r="G2" s="252" t="s">
        <v>2221</v>
      </c>
      <c r="H2" s="251" t="s">
        <v>2222</v>
      </c>
      <c r="I2" s="253"/>
    </row>
    <row r="3" ht="22.5" customHeight="1">
      <c r="A3" s="250" t="s">
        <v>2223</v>
      </c>
      <c r="B3" s="251" t="s">
        <v>2218</v>
      </c>
      <c r="C3" s="251"/>
      <c r="D3" s="251"/>
      <c r="E3" s="251" t="s">
        <v>2224</v>
      </c>
      <c r="F3" s="251" t="s">
        <v>2225</v>
      </c>
      <c r="G3" s="252" t="s">
        <v>2226</v>
      </c>
      <c r="H3" s="251" t="s">
        <v>2227</v>
      </c>
      <c r="I3" s="253"/>
    </row>
    <row r="4" ht="22.5" customHeight="1">
      <c r="A4" s="250" t="s">
        <v>2228</v>
      </c>
      <c r="B4" s="251" t="s">
        <v>2218</v>
      </c>
      <c r="C4" s="251"/>
      <c r="D4" s="251"/>
      <c r="E4" s="251" t="s">
        <v>2229</v>
      </c>
      <c r="F4" s="251" t="s">
        <v>2225</v>
      </c>
      <c r="G4" s="251" t="s">
        <v>2230</v>
      </c>
      <c r="H4" s="251" t="s">
        <v>2231</v>
      </c>
      <c r="I4" s="253"/>
    </row>
    <row r="5" ht="22.5" customHeight="1">
      <c r="A5" s="250" t="s">
        <v>2232</v>
      </c>
      <c r="B5" s="251" t="s">
        <v>2218</v>
      </c>
      <c r="C5" s="251"/>
      <c r="D5" s="251"/>
      <c r="E5" s="251" t="s">
        <v>2233</v>
      </c>
      <c r="F5" s="251" t="s">
        <v>2225</v>
      </c>
      <c r="G5" s="252" t="s">
        <v>2234</v>
      </c>
      <c r="H5" s="251" t="s">
        <v>2235</v>
      </c>
      <c r="I5" s="253"/>
    </row>
    <row r="6" ht="22.5" customHeight="1">
      <c r="A6" s="250" t="s">
        <v>2236</v>
      </c>
      <c r="B6" s="251" t="s">
        <v>2218</v>
      </c>
      <c r="C6" s="251"/>
      <c r="D6" s="251"/>
      <c r="E6" s="251" t="s">
        <v>2237</v>
      </c>
      <c r="F6" s="251" t="s">
        <v>2225</v>
      </c>
      <c r="G6" s="252" t="s">
        <v>2238</v>
      </c>
      <c r="H6" s="251" t="s">
        <v>2227</v>
      </c>
      <c r="I6" s="253"/>
    </row>
    <row r="7" ht="22.5" customHeight="1">
      <c r="A7" s="250" t="s">
        <v>2239</v>
      </c>
      <c r="B7" s="251" t="s">
        <v>2240</v>
      </c>
      <c r="C7" s="251"/>
      <c r="D7" s="251"/>
      <c r="E7" s="251" t="s">
        <v>2241</v>
      </c>
      <c r="F7" s="251" t="s">
        <v>2225</v>
      </c>
      <c r="G7" s="250" t="s">
        <v>2242</v>
      </c>
      <c r="H7" s="251" t="s">
        <v>2227</v>
      </c>
      <c r="I7" s="253"/>
    </row>
    <row r="8" ht="22.5" customHeight="1">
      <c r="A8" s="250" t="s">
        <v>2243</v>
      </c>
      <c r="B8" s="251" t="s">
        <v>2244</v>
      </c>
      <c r="C8" s="251"/>
      <c r="D8" s="251"/>
      <c r="E8" s="251" t="s">
        <v>2229</v>
      </c>
      <c r="F8" s="251" t="s">
        <v>2204</v>
      </c>
      <c r="G8" s="252" t="s">
        <v>2245</v>
      </c>
      <c r="H8" s="251" t="s">
        <v>2231</v>
      </c>
      <c r="I8" s="253"/>
    </row>
    <row r="9" ht="22.5" customHeight="1">
      <c r="A9" s="250" t="s">
        <v>2246</v>
      </c>
      <c r="B9" s="251" t="s">
        <v>2244</v>
      </c>
      <c r="C9" s="251"/>
      <c r="D9" s="251"/>
      <c r="E9" s="251" t="s">
        <v>2247</v>
      </c>
      <c r="F9" s="251" t="s">
        <v>2248</v>
      </c>
      <c r="G9" s="251" t="s">
        <v>2249</v>
      </c>
      <c r="H9" s="251" t="s">
        <v>2250</v>
      </c>
      <c r="I9" s="253"/>
    </row>
    <row r="10" ht="22.5" customHeight="1">
      <c r="A10" s="250" t="s">
        <v>2251</v>
      </c>
      <c r="B10" s="251" t="s">
        <v>2244</v>
      </c>
      <c r="C10" s="251"/>
      <c r="D10" s="251"/>
      <c r="E10" s="251" t="s">
        <v>2252</v>
      </c>
      <c r="F10" s="251" t="s">
        <v>2204</v>
      </c>
      <c r="G10" s="254" t="s">
        <v>2253</v>
      </c>
      <c r="H10" s="251" t="s">
        <v>2250</v>
      </c>
      <c r="I10" s="253"/>
    </row>
    <row r="11" ht="22.5" customHeight="1">
      <c r="A11" s="250" t="s">
        <v>2254</v>
      </c>
      <c r="B11" s="251" t="s">
        <v>2244</v>
      </c>
      <c r="C11" s="251"/>
      <c r="D11" s="251"/>
      <c r="E11" s="251" t="s">
        <v>2255</v>
      </c>
      <c r="F11" s="251" t="s">
        <v>2204</v>
      </c>
      <c r="G11" s="250" t="s">
        <v>2256</v>
      </c>
      <c r="H11" s="251" t="s">
        <v>2250</v>
      </c>
      <c r="I11" s="253"/>
    </row>
    <row r="12" ht="22.5" customHeight="1">
      <c r="A12" s="250" t="s">
        <v>2257</v>
      </c>
      <c r="B12" s="251" t="s">
        <v>2244</v>
      </c>
      <c r="C12" s="251"/>
      <c r="D12" s="251"/>
      <c r="E12" s="251" t="s">
        <v>2258</v>
      </c>
      <c r="F12" s="251" t="s">
        <v>2204</v>
      </c>
      <c r="G12" s="255" t="s">
        <v>2259</v>
      </c>
      <c r="H12" s="251" t="s">
        <v>2227</v>
      </c>
      <c r="I12" s="253"/>
    </row>
    <row r="13" ht="22.5" customHeight="1">
      <c r="A13" s="250" t="s">
        <v>2260</v>
      </c>
      <c r="B13" s="251" t="s">
        <v>2244</v>
      </c>
      <c r="C13" s="251"/>
      <c r="D13" s="251"/>
      <c r="E13" s="251" t="s">
        <v>2261</v>
      </c>
      <c r="F13" s="251" t="s">
        <v>2262</v>
      </c>
      <c r="G13" s="250" t="s">
        <v>2263</v>
      </c>
      <c r="H13" s="251" t="s">
        <v>2250</v>
      </c>
      <c r="I13" s="253"/>
    </row>
    <row r="14" ht="22.5" customHeight="1">
      <c r="A14" s="250" t="s">
        <v>2264</v>
      </c>
      <c r="B14" s="251" t="s">
        <v>2265</v>
      </c>
      <c r="C14" s="251"/>
      <c r="D14" s="251"/>
      <c r="E14" s="251" t="s">
        <v>2266</v>
      </c>
      <c r="F14" s="251" t="s">
        <v>2225</v>
      </c>
      <c r="G14" s="251" t="s">
        <v>2267</v>
      </c>
      <c r="H14" s="251" t="s">
        <v>2227</v>
      </c>
      <c r="I14" s="253"/>
    </row>
    <row r="15" ht="22.5" customHeight="1">
      <c r="A15" s="250" t="s">
        <v>2268</v>
      </c>
      <c r="B15" s="251" t="s">
        <v>2265</v>
      </c>
      <c r="C15" s="251"/>
      <c r="D15" s="251"/>
      <c r="E15" s="251" t="s">
        <v>2269</v>
      </c>
      <c r="F15" s="251" t="s">
        <v>2270</v>
      </c>
      <c r="G15" s="254" t="s">
        <v>2204</v>
      </c>
      <c r="H15" s="251" t="s">
        <v>2250</v>
      </c>
      <c r="I15" s="253"/>
    </row>
    <row r="16" ht="22.5" customHeight="1">
      <c r="A16" s="250" t="s">
        <v>2271</v>
      </c>
      <c r="B16" s="251" t="s">
        <v>2265</v>
      </c>
      <c r="C16" s="251"/>
      <c r="D16" s="251"/>
      <c r="E16" s="251" t="s">
        <v>2272</v>
      </c>
      <c r="F16" s="251" t="s">
        <v>2204</v>
      </c>
      <c r="G16" s="251" t="s">
        <v>2273</v>
      </c>
      <c r="H16" s="251" t="s">
        <v>2250</v>
      </c>
      <c r="I16" s="253"/>
    </row>
    <row r="17" ht="22.5" customHeight="1">
      <c r="A17" s="250" t="s">
        <v>2274</v>
      </c>
      <c r="B17" s="251" t="s">
        <v>2265</v>
      </c>
      <c r="C17" s="251"/>
      <c r="D17" s="251"/>
      <c r="E17" s="251" t="s">
        <v>2275</v>
      </c>
      <c r="F17" s="251" t="s">
        <v>2204</v>
      </c>
      <c r="G17" s="252" t="s">
        <v>2276</v>
      </c>
      <c r="H17" s="251" t="s">
        <v>2227</v>
      </c>
      <c r="I17" s="253"/>
    </row>
    <row r="18" ht="22.5" customHeight="1">
      <c r="A18" s="250" t="s">
        <v>2277</v>
      </c>
      <c r="B18" s="251" t="s">
        <v>2265</v>
      </c>
      <c r="C18" s="251"/>
      <c r="D18" s="251"/>
      <c r="E18" s="251" t="s">
        <v>2278</v>
      </c>
      <c r="F18" s="251" t="s">
        <v>2225</v>
      </c>
      <c r="G18" s="252" t="s">
        <v>2279</v>
      </c>
      <c r="H18" s="251" t="s">
        <v>2231</v>
      </c>
      <c r="I18" s="253"/>
    </row>
    <row r="19" ht="22.5" customHeight="1">
      <c r="A19" s="250" t="s">
        <v>2280</v>
      </c>
      <c r="B19" s="251" t="s">
        <v>2281</v>
      </c>
      <c r="C19" s="251"/>
      <c r="D19" s="251"/>
      <c r="E19" s="251" t="s">
        <v>2275</v>
      </c>
      <c r="F19" s="251" t="s">
        <v>2204</v>
      </c>
      <c r="G19" s="255" t="s">
        <v>2282</v>
      </c>
      <c r="H19" s="251" t="s">
        <v>2231</v>
      </c>
      <c r="I19" s="253"/>
    </row>
    <row r="20" ht="22.5" customHeight="1">
      <c r="A20" s="250" t="s">
        <v>2283</v>
      </c>
      <c r="B20" s="251" t="s">
        <v>2281</v>
      </c>
      <c r="C20" s="251"/>
      <c r="D20" s="251"/>
      <c r="E20" s="251" t="s">
        <v>2284</v>
      </c>
      <c r="F20" s="251" t="s">
        <v>2204</v>
      </c>
      <c r="G20" s="252" t="s">
        <v>2285</v>
      </c>
      <c r="H20" s="251" t="s">
        <v>2227</v>
      </c>
      <c r="I20" s="253"/>
    </row>
    <row r="21" ht="22.5" customHeight="1">
      <c r="A21" s="250" t="s">
        <v>2286</v>
      </c>
      <c r="B21" s="251" t="s">
        <v>2287</v>
      </c>
      <c r="C21" s="251"/>
      <c r="D21" s="251"/>
      <c r="E21" s="251" t="s">
        <v>2224</v>
      </c>
      <c r="F21" s="251" t="s">
        <v>2204</v>
      </c>
      <c r="G21" s="254" t="s">
        <v>2249</v>
      </c>
      <c r="H21" s="251" t="s">
        <v>2235</v>
      </c>
      <c r="I21" s="253"/>
    </row>
    <row r="22" ht="22.5" customHeight="1">
      <c r="A22" s="250" t="s">
        <v>2288</v>
      </c>
      <c r="B22" s="251" t="s">
        <v>2289</v>
      </c>
      <c r="C22" s="251"/>
      <c r="D22" s="251"/>
      <c r="E22" s="251" t="s">
        <v>2290</v>
      </c>
      <c r="F22" s="251" t="s">
        <v>2220</v>
      </c>
      <c r="G22" s="254" t="s">
        <v>2204</v>
      </c>
      <c r="H22" s="251" t="s">
        <v>2227</v>
      </c>
      <c r="I22" s="253"/>
    </row>
    <row r="23" ht="22.5" customHeight="1">
      <c r="A23" s="250" t="s">
        <v>2291</v>
      </c>
      <c r="B23" s="251" t="s">
        <v>2289</v>
      </c>
      <c r="C23" s="251"/>
      <c r="D23" s="251"/>
      <c r="E23" s="251" t="s">
        <v>2292</v>
      </c>
      <c r="F23" s="251" t="s">
        <v>2293</v>
      </c>
      <c r="G23" s="255" t="s">
        <v>2294</v>
      </c>
      <c r="H23" s="251" t="s">
        <v>2295</v>
      </c>
      <c r="I23" s="253"/>
    </row>
    <row r="24" ht="22.5" customHeight="1">
      <c r="A24" s="250" t="s">
        <v>2296</v>
      </c>
      <c r="B24" s="251" t="s">
        <v>2289</v>
      </c>
      <c r="C24" s="251"/>
      <c r="D24" s="251"/>
      <c r="E24" s="251" t="s">
        <v>2284</v>
      </c>
      <c r="F24" s="251" t="s">
        <v>2225</v>
      </c>
      <c r="G24" s="254" t="s">
        <v>2204</v>
      </c>
      <c r="H24" s="251" t="s">
        <v>2297</v>
      </c>
      <c r="I24" s="253"/>
    </row>
    <row r="25" ht="22.5" customHeight="1">
      <c r="A25" s="250" t="s">
        <v>2298</v>
      </c>
      <c r="B25" s="251" t="s">
        <v>2289</v>
      </c>
      <c r="C25" s="251"/>
      <c r="D25" s="251"/>
      <c r="E25" s="251" t="s">
        <v>2299</v>
      </c>
      <c r="F25" s="251" t="s">
        <v>2300</v>
      </c>
      <c r="G25" s="252" t="s">
        <v>2301</v>
      </c>
      <c r="H25" s="251" t="s">
        <v>2227</v>
      </c>
      <c r="I25" s="253"/>
    </row>
    <row r="26" ht="22.5" customHeight="1">
      <c r="A26" s="250" t="s">
        <v>2302</v>
      </c>
      <c r="B26" s="251" t="s">
        <v>2289</v>
      </c>
      <c r="C26" s="251"/>
      <c r="D26" s="251"/>
      <c r="E26" s="251" t="s">
        <v>2303</v>
      </c>
      <c r="F26" s="251" t="s">
        <v>2304</v>
      </c>
      <c r="G26" s="251" t="s">
        <v>2204</v>
      </c>
      <c r="H26" s="251" t="s">
        <v>2227</v>
      </c>
      <c r="I26" s="253"/>
    </row>
    <row r="27" ht="22.5" customHeight="1">
      <c r="A27" s="250" t="s">
        <v>2305</v>
      </c>
      <c r="B27" s="251" t="s">
        <v>2289</v>
      </c>
      <c r="C27" s="251"/>
      <c r="D27" s="251"/>
      <c r="E27" s="251" t="s">
        <v>2306</v>
      </c>
      <c r="F27" s="251" t="s">
        <v>2307</v>
      </c>
      <c r="G27" s="252" t="s">
        <v>2308</v>
      </c>
      <c r="H27" s="251" t="s">
        <v>2250</v>
      </c>
      <c r="I27" s="253"/>
    </row>
    <row r="28" ht="22.5" customHeight="1">
      <c r="A28" s="250" t="s">
        <v>2309</v>
      </c>
      <c r="B28" s="251" t="s">
        <v>2289</v>
      </c>
      <c r="C28" s="251"/>
      <c r="D28" s="251"/>
      <c r="E28" s="251" t="s">
        <v>2310</v>
      </c>
      <c r="F28" s="251" t="s">
        <v>2220</v>
      </c>
      <c r="G28" s="254" t="s">
        <v>2204</v>
      </c>
      <c r="H28" s="251" t="s">
        <v>2311</v>
      </c>
      <c r="I28" s="253"/>
    </row>
    <row r="29" ht="22.5" customHeight="1">
      <c r="A29" s="250" t="s">
        <v>2312</v>
      </c>
      <c r="B29" s="251" t="s">
        <v>2289</v>
      </c>
      <c r="C29" s="251"/>
      <c r="D29" s="251"/>
      <c r="E29" s="251" t="s">
        <v>2313</v>
      </c>
      <c r="F29" s="251" t="s">
        <v>2314</v>
      </c>
      <c r="G29" s="251" t="s">
        <v>2315</v>
      </c>
      <c r="H29" s="251" t="s">
        <v>2227</v>
      </c>
      <c r="I29" s="253"/>
    </row>
    <row r="30" ht="22.5" customHeight="1">
      <c r="A30" s="250" t="s">
        <v>2316</v>
      </c>
      <c r="B30" s="251" t="s">
        <v>2289</v>
      </c>
      <c r="C30" s="251"/>
      <c r="D30" s="251"/>
      <c r="E30" s="251" t="s">
        <v>2317</v>
      </c>
      <c r="F30" s="251" t="s">
        <v>2318</v>
      </c>
      <c r="G30" s="255" t="s">
        <v>2319</v>
      </c>
      <c r="H30" s="251" t="s">
        <v>2250</v>
      </c>
      <c r="I30" s="253"/>
    </row>
    <row r="31" ht="22.5" customHeight="1">
      <c r="A31" s="250" t="s">
        <v>2320</v>
      </c>
      <c r="B31" s="251" t="s">
        <v>2289</v>
      </c>
      <c r="C31" s="251"/>
      <c r="D31" s="251"/>
      <c r="E31" s="251" t="s">
        <v>2321</v>
      </c>
      <c r="F31" s="251" t="s">
        <v>2220</v>
      </c>
      <c r="G31" s="251" t="s">
        <v>2204</v>
      </c>
      <c r="H31" s="251" t="s">
        <v>2227</v>
      </c>
      <c r="I31" s="253"/>
    </row>
    <row r="32" ht="22.5" customHeight="1">
      <c r="A32" s="250" t="s">
        <v>2322</v>
      </c>
      <c r="B32" s="251" t="s">
        <v>2323</v>
      </c>
      <c r="C32" s="251"/>
      <c r="D32" s="251"/>
      <c r="E32" s="251" t="s">
        <v>2324</v>
      </c>
      <c r="F32" s="251" t="s">
        <v>2225</v>
      </c>
      <c r="G32" s="251" t="s">
        <v>2204</v>
      </c>
      <c r="H32" s="251" t="s">
        <v>2227</v>
      </c>
      <c r="I32" s="253"/>
    </row>
    <row r="33" ht="22.5" customHeight="1">
      <c r="A33" s="250" t="s">
        <v>2325</v>
      </c>
      <c r="B33" s="251" t="s">
        <v>2323</v>
      </c>
      <c r="C33" s="251"/>
      <c r="D33" s="251"/>
      <c r="E33" s="251" t="s">
        <v>2269</v>
      </c>
      <c r="F33" s="251" t="s">
        <v>2204</v>
      </c>
      <c r="G33" s="254" t="s">
        <v>2326</v>
      </c>
      <c r="H33" s="251" t="s">
        <v>2227</v>
      </c>
      <c r="I33" s="253"/>
    </row>
    <row r="34" ht="22.5" customHeight="1">
      <c r="A34" s="250" t="s">
        <v>2327</v>
      </c>
      <c r="B34" s="251" t="s">
        <v>2323</v>
      </c>
      <c r="C34" s="251"/>
      <c r="D34" s="251"/>
      <c r="E34" s="251" t="s">
        <v>2328</v>
      </c>
      <c r="F34" s="251" t="s">
        <v>2204</v>
      </c>
      <c r="G34" s="252" t="s">
        <v>2329</v>
      </c>
      <c r="H34" s="251" t="s">
        <v>2227</v>
      </c>
      <c r="I34" s="253"/>
    </row>
    <row r="35" ht="22.5" customHeight="1">
      <c r="A35" s="250" t="s">
        <v>2330</v>
      </c>
      <c r="B35" s="251" t="s">
        <v>2323</v>
      </c>
      <c r="C35" s="251"/>
      <c r="D35" s="251"/>
      <c r="E35" s="251" t="s">
        <v>2331</v>
      </c>
      <c r="F35" s="251" t="s">
        <v>2204</v>
      </c>
      <c r="G35" s="251" t="s">
        <v>2332</v>
      </c>
      <c r="H35" s="251" t="s">
        <v>2231</v>
      </c>
      <c r="I35" s="253"/>
    </row>
    <row r="36" ht="22.5" customHeight="1">
      <c r="A36" s="250" t="s">
        <v>2333</v>
      </c>
      <c r="B36" s="251" t="s">
        <v>2334</v>
      </c>
      <c r="C36" s="251"/>
      <c r="D36" s="251"/>
      <c r="E36" s="251" t="s">
        <v>2335</v>
      </c>
      <c r="F36" s="251" t="s">
        <v>2225</v>
      </c>
      <c r="G36" s="254" t="s">
        <v>2336</v>
      </c>
      <c r="H36" s="251" t="s">
        <v>2227</v>
      </c>
      <c r="I36" s="253"/>
    </row>
    <row r="37" ht="22.5" customHeight="1">
      <c r="A37" s="250" t="s">
        <v>2337</v>
      </c>
      <c r="B37" s="251" t="s">
        <v>2338</v>
      </c>
      <c r="C37" s="251"/>
      <c r="D37" s="251"/>
      <c r="E37" s="251" t="s">
        <v>2299</v>
      </c>
      <c r="F37" s="251" t="s">
        <v>2339</v>
      </c>
      <c r="G37" s="252" t="s">
        <v>2340</v>
      </c>
      <c r="H37" s="251" t="s">
        <v>2250</v>
      </c>
      <c r="I37" s="253"/>
    </row>
    <row r="38" ht="22.5" customHeight="1">
      <c r="A38" s="250" t="s">
        <v>2341</v>
      </c>
      <c r="B38" s="251" t="s">
        <v>2338</v>
      </c>
      <c r="C38" s="251"/>
      <c r="D38" s="251"/>
      <c r="E38" s="251" t="s">
        <v>2342</v>
      </c>
      <c r="F38" s="251" t="s">
        <v>2204</v>
      </c>
      <c r="G38" s="255" t="s">
        <v>2343</v>
      </c>
      <c r="H38" s="251" t="s">
        <v>2227</v>
      </c>
      <c r="I38" s="253"/>
    </row>
    <row r="39" ht="22.5" customHeight="1">
      <c r="A39" s="250" t="s">
        <v>2344</v>
      </c>
      <c r="B39" s="251" t="s">
        <v>2338</v>
      </c>
      <c r="C39" s="251"/>
      <c r="D39" s="251"/>
      <c r="E39" s="251" t="s">
        <v>2345</v>
      </c>
      <c r="F39" s="251" t="s">
        <v>2204</v>
      </c>
      <c r="G39" s="254" t="s">
        <v>2346</v>
      </c>
      <c r="H39" s="251" t="s">
        <v>2347</v>
      </c>
      <c r="I39" s="253"/>
    </row>
    <row r="40" ht="22.5" customHeight="1">
      <c r="A40" s="250" t="s">
        <v>2348</v>
      </c>
      <c r="B40" s="251" t="s">
        <v>2338</v>
      </c>
      <c r="C40" s="251"/>
      <c r="D40" s="251"/>
      <c r="E40" s="251" t="s">
        <v>2349</v>
      </c>
      <c r="F40" s="251" t="s">
        <v>2225</v>
      </c>
      <c r="G40" s="252" t="s">
        <v>2350</v>
      </c>
      <c r="H40" s="251" t="s">
        <v>2250</v>
      </c>
      <c r="I40" s="253"/>
    </row>
    <row r="41" ht="22.5" customHeight="1">
      <c r="A41" s="250" t="s">
        <v>2351</v>
      </c>
      <c r="B41" s="251" t="s">
        <v>2338</v>
      </c>
      <c r="C41" s="251"/>
      <c r="D41" s="251"/>
      <c r="E41" s="251" t="s">
        <v>2284</v>
      </c>
      <c r="F41" s="251" t="s">
        <v>2204</v>
      </c>
      <c r="G41" s="250" t="s">
        <v>2352</v>
      </c>
      <c r="H41" s="251" t="s">
        <v>2250</v>
      </c>
      <c r="I41" s="253"/>
    </row>
    <row r="42" ht="22.5" customHeight="1">
      <c r="A42" s="250" t="s">
        <v>2353</v>
      </c>
      <c r="B42" s="251" t="s">
        <v>2338</v>
      </c>
      <c r="C42" s="251"/>
      <c r="D42" s="251"/>
      <c r="E42" s="251" t="s">
        <v>2241</v>
      </c>
      <c r="F42" s="251" t="s">
        <v>2354</v>
      </c>
      <c r="G42" s="252" t="s">
        <v>2355</v>
      </c>
      <c r="H42" s="251" t="s">
        <v>2231</v>
      </c>
      <c r="I42" s="253"/>
    </row>
    <row r="43" ht="22.5" customHeight="1">
      <c r="A43" s="250" t="s">
        <v>2356</v>
      </c>
      <c r="B43" s="251" t="s">
        <v>2338</v>
      </c>
      <c r="C43" s="251"/>
      <c r="D43" s="251"/>
      <c r="E43" s="251" t="s">
        <v>2224</v>
      </c>
      <c r="F43" s="251" t="s">
        <v>2339</v>
      </c>
      <c r="G43" s="252" t="s">
        <v>2357</v>
      </c>
      <c r="H43" s="251" t="s">
        <v>2358</v>
      </c>
      <c r="I43" s="253"/>
    </row>
    <row r="44" ht="16.5" customHeight="1">
      <c r="A44" s="250" t="s">
        <v>2359</v>
      </c>
      <c r="B44" s="251" t="s">
        <v>2360</v>
      </c>
      <c r="C44" s="256" t="s">
        <v>2361</v>
      </c>
      <c r="D44" s="251" t="s">
        <v>2362</v>
      </c>
      <c r="E44" s="251" t="s">
        <v>2363</v>
      </c>
      <c r="F44" s="251" t="s">
        <v>2220</v>
      </c>
      <c r="G44" s="251" t="s">
        <v>2204</v>
      </c>
      <c r="H44" s="251" t="s">
        <v>2231</v>
      </c>
      <c r="I44" s="257" t="s">
        <v>2364</v>
      </c>
    </row>
    <row r="45" ht="22.5" customHeight="1">
      <c r="A45" s="250" t="s">
        <v>2365</v>
      </c>
      <c r="B45" s="251" t="s">
        <v>2360</v>
      </c>
      <c r="C45" s="251"/>
      <c r="D45" s="251"/>
      <c r="E45" s="251" t="s">
        <v>2342</v>
      </c>
      <c r="F45" s="251" t="s">
        <v>2204</v>
      </c>
      <c r="G45" s="250" t="s">
        <v>2366</v>
      </c>
      <c r="H45" s="251" t="s">
        <v>2231</v>
      </c>
      <c r="I45" s="253"/>
    </row>
    <row r="46" ht="22.5" customHeight="1">
      <c r="A46" s="250" t="s">
        <v>2367</v>
      </c>
      <c r="B46" s="251" t="s">
        <v>2360</v>
      </c>
      <c r="C46" s="251"/>
      <c r="D46" s="251"/>
      <c r="E46" s="251" t="s">
        <v>2284</v>
      </c>
      <c r="F46" s="251" t="s">
        <v>2204</v>
      </c>
      <c r="G46" s="258" t="s">
        <v>2368</v>
      </c>
      <c r="H46" s="251" t="s">
        <v>2231</v>
      </c>
      <c r="I46" s="253"/>
    </row>
    <row r="47" ht="22.5" customHeight="1">
      <c r="A47" s="250" t="s">
        <v>2369</v>
      </c>
      <c r="B47" s="251" t="s">
        <v>2360</v>
      </c>
      <c r="C47" s="251"/>
      <c r="D47" s="251"/>
      <c r="E47" s="251" t="s">
        <v>2313</v>
      </c>
      <c r="F47" s="251" t="s">
        <v>2204</v>
      </c>
      <c r="G47" s="252" t="s">
        <v>2370</v>
      </c>
      <c r="H47" s="251" t="s">
        <v>2231</v>
      </c>
      <c r="I47" s="253"/>
    </row>
    <row r="48" ht="22.5" customHeight="1">
      <c r="A48" s="250" t="s">
        <v>2371</v>
      </c>
      <c r="B48" s="251" t="s">
        <v>2360</v>
      </c>
      <c r="C48" s="251"/>
      <c r="D48" s="251"/>
      <c r="E48" s="251" t="s">
        <v>2266</v>
      </c>
      <c r="F48" s="251" t="s">
        <v>2204</v>
      </c>
      <c r="G48" s="250" t="s">
        <v>2372</v>
      </c>
      <c r="H48" s="251" t="s">
        <v>2227</v>
      </c>
      <c r="I48" s="253"/>
    </row>
    <row r="49" ht="22.5" customHeight="1">
      <c r="A49" s="250" t="s">
        <v>2373</v>
      </c>
      <c r="B49" s="251" t="s">
        <v>2360</v>
      </c>
      <c r="C49" s="251"/>
      <c r="D49" s="251"/>
      <c r="E49" s="251" t="s">
        <v>2345</v>
      </c>
      <c r="F49" s="251" t="s">
        <v>2225</v>
      </c>
      <c r="G49" s="252" t="s">
        <v>2374</v>
      </c>
      <c r="H49" s="251" t="s">
        <v>2231</v>
      </c>
      <c r="I49" s="253"/>
    </row>
    <row r="50" ht="22.5" customHeight="1">
      <c r="A50" s="250" t="s">
        <v>2375</v>
      </c>
      <c r="B50" s="251" t="s">
        <v>2360</v>
      </c>
      <c r="C50" s="251"/>
      <c r="D50" s="251"/>
      <c r="E50" s="251" t="s">
        <v>2376</v>
      </c>
      <c r="F50" s="251" t="s">
        <v>2225</v>
      </c>
      <c r="G50" s="252" t="s">
        <v>2377</v>
      </c>
      <c r="H50" s="251" t="s">
        <v>2250</v>
      </c>
      <c r="I50" s="253"/>
    </row>
    <row r="51" ht="22.5" customHeight="1">
      <c r="A51" s="250" t="s">
        <v>2378</v>
      </c>
      <c r="B51" s="251" t="s">
        <v>2360</v>
      </c>
      <c r="C51" s="251"/>
      <c r="D51" s="251"/>
      <c r="E51" s="251" t="s">
        <v>2379</v>
      </c>
      <c r="F51" s="251" t="s">
        <v>2225</v>
      </c>
      <c r="G51" s="251" t="s">
        <v>2230</v>
      </c>
      <c r="H51" s="251" t="s">
        <v>2347</v>
      </c>
      <c r="I51" s="253"/>
    </row>
    <row r="52" ht="22.5" customHeight="1">
      <c r="A52" s="250" t="s">
        <v>2380</v>
      </c>
      <c r="B52" s="251" t="s">
        <v>2360</v>
      </c>
      <c r="C52" s="251"/>
      <c r="D52" s="251"/>
      <c r="E52" s="251" t="s">
        <v>2269</v>
      </c>
      <c r="F52" s="251" t="s">
        <v>2225</v>
      </c>
      <c r="G52" s="251" t="s">
        <v>2315</v>
      </c>
      <c r="H52" s="251" t="s">
        <v>2227</v>
      </c>
      <c r="I52" s="253"/>
    </row>
    <row r="53" ht="22.5" customHeight="1">
      <c r="A53" s="250" t="s">
        <v>2381</v>
      </c>
      <c r="B53" s="251" t="s">
        <v>2360</v>
      </c>
      <c r="C53" s="251"/>
      <c r="D53" s="251"/>
      <c r="E53" s="251" t="s">
        <v>2382</v>
      </c>
      <c r="F53" s="251" t="s">
        <v>2220</v>
      </c>
      <c r="G53" s="251" t="s">
        <v>2204</v>
      </c>
      <c r="H53" s="251" t="s">
        <v>2227</v>
      </c>
      <c r="I53" s="253"/>
    </row>
    <row r="54" ht="22.5" customHeight="1">
      <c r="A54" s="250" t="s">
        <v>2383</v>
      </c>
      <c r="B54" s="251" t="s">
        <v>2360</v>
      </c>
      <c r="C54" s="251"/>
      <c r="D54" s="251"/>
      <c r="E54" s="251" t="s">
        <v>2384</v>
      </c>
      <c r="F54" s="251" t="s">
        <v>2204</v>
      </c>
      <c r="G54" s="252" t="s">
        <v>2385</v>
      </c>
      <c r="H54" s="251" t="s">
        <v>2227</v>
      </c>
      <c r="I54" s="253"/>
    </row>
    <row r="55" ht="22.5" customHeight="1">
      <c r="A55" s="250" t="s">
        <v>2386</v>
      </c>
      <c r="B55" s="251" t="s">
        <v>2360</v>
      </c>
      <c r="C55" s="251"/>
      <c r="D55" s="251"/>
      <c r="E55" s="251" t="s">
        <v>2292</v>
      </c>
      <c r="F55" s="251" t="s">
        <v>2204</v>
      </c>
      <c r="G55" s="254" t="s">
        <v>2253</v>
      </c>
      <c r="H55" s="251" t="s">
        <v>2227</v>
      </c>
      <c r="I55" s="253"/>
    </row>
    <row r="56" ht="22.5" customHeight="1">
      <c r="A56" s="250" t="s">
        <v>2387</v>
      </c>
      <c r="B56" s="251" t="s">
        <v>2360</v>
      </c>
      <c r="C56" s="251"/>
      <c r="D56" s="251"/>
      <c r="E56" s="251" t="s">
        <v>2388</v>
      </c>
      <c r="F56" s="251" t="s">
        <v>2204</v>
      </c>
      <c r="G56" s="252" t="s">
        <v>2389</v>
      </c>
      <c r="H56" s="251" t="s">
        <v>2227</v>
      </c>
      <c r="I56" s="253"/>
    </row>
    <row r="57" ht="22.5" customHeight="1">
      <c r="A57" s="250" t="s">
        <v>2390</v>
      </c>
      <c r="B57" s="251" t="s">
        <v>2391</v>
      </c>
      <c r="C57" s="251"/>
      <c r="D57" s="251"/>
      <c r="E57" s="251" t="s">
        <v>2292</v>
      </c>
      <c r="F57" s="251" t="s">
        <v>2204</v>
      </c>
      <c r="G57" s="251" t="s">
        <v>2253</v>
      </c>
      <c r="H57" s="251" t="s">
        <v>2231</v>
      </c>
      <c r="I57" s="253"/>
    </row>
    <row r="58" ht="22.5" customHeight="1">
      <c r="A58" s="250" t="s">
        <v>2392</v>
      </c>
      <c r="B58" s="251" t="s">
        <v>2391</v>
      </c>
      <c r="C58" s="251"/>
      <c r="D58" s="251"/>
      <c r="E58" s="251" t="s">
        <v>2393</v>
      </c>
      <c r="F58" s="251" t="s">
        <v>2204</v>
      </c>
      <c r="G58" s="252" t="s">
        <v>2394</v>
      </c>
      <c r="H58" s="251" t="s">
        <v>2347</v>
      </c>
      <c r="I58" s="253"/>
    </row>
    <row r="59" ht="22.5" customHeight="1">
      <c r="A59" s="250" t="s">
        <v>2395</v>
      </c>
      <c r="B59" s="251" t="s">
        <v>2396</v>
      </c>
      <c r="C59" s="251"/>
      <c r="D59" s="251"/>
      <c r="E59" s="251" t="s">
        <v>2397</v>
      </c>
      <c r="F59" s="251" t="s">
        <v>2204</v>
      </c>
      <c r="G59" s="250" t="s">
        <v>2398</v>
      </c>
      <c r="H59" s="251" t="s">
        <v>2231</v>
      </c>
      <c r="I59" s="253"/>
    </row>
    <row r="60" ht="22.5" customHeight="1">
      <c r="A60" s="250" t="s">
        <v>2399</v>
      </c>
      <c r="B60" s="251" t="s">
        <v>2400</v>
      </c>
      <c r="C60" s="251"/>
      <c r="D60" s="251"/>
      <c r="E60" s="251" t="s">
        <v>2278</v>
      </c>
      <c r="F60" s="251" t="s">
        <v>2220</v>
      </c>
      <c r="G60" s="254" t="s">
        <v>2204</v>
      </c>
      <c r="H60" s="251" t="s">
        <v>2227</v>
      </c>
      <c r="I60" s="253"/>
    </row>
    <row r="61" ht="22.5" customHeight="1">
      <c r="A61" s="250" t="s">
        <v>2401</v>
      </c>
      <c r="B61" s="251" t="s">
        <v>2400</v>
      </c>
      <c r="C61" s="251"/>
      <c r="D61" s="251"/>
      <c r="E61" s="251" t="s">
        <v>2402</v>
      </c>
      <c r="F61" s="251" t="s">
        <v>2225</v>
      </c>
      <c r="G61" s="250" t="s">
        <v>2403</v>
      </c>
      <c r="H61" s="251" t="s">
        <v>2231</v>
      </c>
      <c r="I61" s="253"/>
    </row>
    <row r="62" ht="22.5" customHeight="1">
      <c r="A62" s="250" t="s">
        <v>2404</v>
      </c>
      <c r="B62" s="251" t="s">
        <v>2400</v>
      </c>
      <c r="C62" s="251"/>
      <c r="D62" s="251"/>
      <c r="E62" s="251" t="s">
        <v>2405</v>
      </c>
      <c r="F62" s="251" t="s">
        <v>2220</v>
      </c>
      <c r="G62" s="251" t="s">
        <v>2204</v>
      </c>
      <c r="H62" s="251" t="s">
        <v>2227</v>
      </c>
      <c r="I62" s="253"/>
    </row>
    <row r="63" ht="22.5" customHeight="1">
      <c r="A63" s="250" t="s">
        <v>2406</v>
      </c>
      <c r="B63" s="251" t="s">
        <v>2400</v>
      </c>
      <c r="C63" s="251"/>
      <c r="D63" s="251"/>
      <c r="E63" s="251" t="s">
        <v>2345</v>
      </c>
      <c r="F63" s="251" t="s">
        <v>2220</v>
      </c>
      <c r="G63" s="251" t="s">
        <v>2204</v>
      </c>
      <c r="H63" s="251" t="s">
        <v>2250</v>
      </c>
      <c r="I63" s="253"/>
    </row>
    <row r="64" ht="22.5" customHeight="1">
      <c r="A64" s="250" t="s">
        <v>2407</v>
      </c>
      <c r="B64" s="251" t="s">
        <v>2400</v>
      </c>
      <c r="C64" s="251"/>
      <c r="D64" s="251"/>
      <c r="E64" s="251" t="s">
        <v>2408</v>
      </c>
      <c r="F64" s="251" t="s">
        <v>2220</v>
      </c>
      <c r="G64" s="254" t="s">
        <v>2204</v>
      </c>
      <c r="H64" s="251" t="s">
        <v>2231</v>
      </c>
      <c r="I64" s="253"/>
    </row>
    <row r="65" ht="22.5" customHeight="1">
      <c r="A65" s="250" t="s">
        <v>2409</v>
      </c>
      <c r="B65" s="251" t="s">
        <v>2400</v>
      </c>
      <c r="C65" s="251"/>
      <c r="D65" s="251"/>
      <c r="E65" s="251" t="s">
        <v>2410</v>
      </c>
      <c r="F65" s="251" t="s">
        <v>2225</v>
      </c>
      <c r="G65" s="251" t="s">
        <v>2411</v>
      </c>
      <c r="H65" s="251" t="s">
        <v>2250</v>
      </c>
      <c r="I65" s="253"/>
    </row>
    <row r="66" ht="22.5" customHeight="1">
      <c r="A66" s="250" t="s">
        <v>2412</v>
      </c>
      <c r="B66" s="251" t="s">
        <v>2400</v>
      </c>
      <c r="C66" s="251"/>
      <c r="D66" s="251"/>
      <c r="E66" s="251" t="s">
        <v>2413</v>
      </c>
      <c r="F66" s="251" t="s">
        <v>2204</v>
      </c>
      <c r="G66" s="254" t="s">
        <v>2414</v>
      </c>
      <c r="H66" s="251" t="s">
        <v>2231</v>
      </c>
      <c r="I66" s="253"/>
    </row>
    <row r="67" ht="22.5" customHeight="1">
      <c r="A67" s="250" t="s">
        <v>2415</v>
      </c>
      <c r="B67" s="251" t="s">
        <v>2400</v>
      </c>
      <c r="C67" s="251"/>
      <c r="D67" s="251"/>
      <c r="E67" s="251" t="s">
        <v>2416</v>
      </c>
      <c r="F67" s="251" t="s">
        <v>2225</v>
      </c>
      <c r="G67" s="251" t="s">
        <v>2417</v>
      </c>
      <c r="H67" s="251" t="s">
        <v>2227</v>
      </c>
      <c r="I67" s="253"/>
    </row>
    <row r="68" ht="22.5" customHeight="1">
      <c r="A68" s="250" t="s">
        <v>2418</v>
      </c>
      <c r="B68" s="251" t="s">
        <v>2400</v>
      </c>
      <c r="C68" s="251"/>
      <c r="D68" s="251"/>
      <c r="E68" s="251" t="s">
        <v>2419</v>
      </c>
      <c r="F68" s="251" t="s">
        <v>2204</v>
      </c>
      <c r="G68" s="251" t="s">
        <v>2253</v>
      </c>
      <c r="H68" s="251" t="s">
        <v>2227</v>
      </c>
      <c r="I68" s="253"/>
    </row>
    <row r="69" ht="22.5" customHeight="1">
      <c r="A69" s="250" t="s">
        <v>2420</v>
      </c>
      <c r="B69" s="251" t="s">
        <v>2400</v>
      </c>
      <c r="C69" s="251"/>
      <c r="D69" s="251"/>
      <c r="E69" s="251" t="s">
        <v>2421</v>
      </c>
      <c r="F69" s="251" t="s">
        <v>2204</v>
      </c>
      <c r="G69" s="258" t="s">
        <v>2422</v>
      </c>
      <c r="H69" s="251" t="s">
        <v>2235</v>
      </c>
      <c r="I69" s="253"/>
    </row>
    <row r="70" ht="22.5" customHeight="1">
      <c r="A70" s="250" t="s">
        <v>2423</v>
      </c>
      <c r="B70" s="251" t="s">
        <v>2400</v>
      </c>
      <c r="C70" s="251"/>
      <c r="D70" s="251"/>
      <c r="E70" s="251" t="s">
        <v>2269</v>
      </c>
      <c r="F70" s="251" t="s">
        <v>2225</v>
      </c>
      <c r="G70" s="258" t="s">
        <v>2424</v>
      </c>
      <c r="H70" s="251" t="s">
        <v>2227</v>
      </c>
      <c r="I70" s="253"/>
    </row>
    <row r="71" ht="22.5" customHeight="1">
      <c r="A71" s="250" t="s">
        <v>2425</v>
      </c>
      <c r="B71" s="251" t="s">
        <v>2400</v>
      </c>
      <c r="C71" s="251"/>
      <c r="D71" s="251"/>
      <c r="E71" s="251" t="s">
        <v>2379</v>
      </c>
      <c r="F71" s="251" t="s">
        <v>2225</v>
      </c>
      <c r="G71" s="251" t="s">
        <v>2417</v>
      </c>
      <c r="H71" s="251" t="s">
        <v>2235</v>
      </c>
      <c r="I71" s="253"/>
    </row>
    <row r="72" ht="22.5" customHeight="1">
      <c r="A72" s="250" t="s">
        <v>2426</v>
      </c>
      <c r="B72" s="251" t="s">
        <v>2427</v>
      </c>
      <c r="C72" s="251"/>
      <c r="D72" s="251"/>
      <c r="E72" s="251" t="s">
        <v>2393</v>
      </c>
      <c r="F72" s="251" t="s">
        <v>2220</v>
      </c>
      <c r="G72" s="254" t="s">
        <v>2204</v>
      </c>
      <c r="H72" s="251" t="s">
        <v>2231</v>
      </c>
      <c r="I72" s="253"/>
    </row>
    <row r="73" ht="22.5" customHeight="1">
      <c r="A73" s="250" t="s">
        <v>2428</v>
      </c>
      <c r="B73" s="251" t="s">
        <v>2427</v>
      </c>
      <c r="C73" s="251"/>
      <c r="D73" s="251"/>
      <c r="E73" s="251" t="s">
        <v>2313</v>
      </c>
      <c r="F73" s="251" t="s">
        <v>2225</v>
      </c>
      <c r="G73" s="258" t="s">
        <v>2429</v>
      </c>
      <c r="H73" s="251" t="s">
        <v>2227</v>
      </c>
      <c r="I73" s="253"/>
    </row>
    <row r="74" ht="22.5" customHeight="1">
      <c r="A74" s="250" t="s">
        <v>2430</v>
      </c>
      <c r="B74" s="251" t="s">
        <v>2427</v>
      </c>
      <c r="C74" s="251"/>
      <c r="D74" s="251"/>
      <c r="E74" s="251" t="s">
        <v>2431</v>
      </c>
      <c r="F74" s="251" t="s">
        <v>2225</v>
      </c>
      <c r="G74" s="252" t="s">
        <v>2432</v>
      </c>
      <c r="H74" s="251" t="s">
        <v>2231</v>
      </c>
      <c r="I74" s="253"/>
    </row>
    <row r="75" ht="22.5" customHeight="1">
      <c r="A75" s="250" t="s">
        <v>2433</v>
      </c>
      <c r="B75" s="251" t="s">
        <v>2427</v>
      </c>
      <c r="C75" s="251"/>
      <c r="D75" s="251"/>
      <c r="E75" s="251" t="s">
        <v>2434</v>
      </c>
      <c r="F75" s="251" t="s">
        <v>2220</v>
      </c>
      <c r="G75" s="251" t="s">
        <v>2204</v>
      </c>
      <c r="H75" s="251" t="s">
        <v>2231</v>
      </c>
      <c r="I75" s="253"/>
    </row>
    <row r="76" ht="22.5" customHeight="1">
      <c r="A76" s="250" t="s">
        <v>2435</v>
      </c>
      <c r="B76" s="251" t="s">
        <v>2427</v>
      </c>
      <c r="C76" s="251"/>
      <c r="D76" s="251"/>
      <c r="E76" s="251" t="s">
        <v>2299</v>
      </c>
      <c r="F76" s="251" t="s">
        <v>2225</v>
      </c>
      <c r="G76" s="252" t="s">
        <v>2436</v>
      </c>
      <c r="H76" s="251" t="s">
        <v>2231</v>
      </c>
      <c r="I76" s="253"/>
    </row>
    <row r="77" ht="22.5" customHeight="1">
      <c r="A77" s="250" t="s">
        <v>2437</v>
      </c>
      <c r="B77" s="251" t="s">
        <v>2438</v>
      </c>
      <c r="C77" s="251"/>
      <c r="D77" s="251"/>
      <c r="E77" s="251" t="s">
        <v>2363</v>
      </c>
      <c r="F77" s="251" t="s">
        <v>2220</v>
      </c>
      <c r="G77" s="251" t="s">
        <v>2204</v>
      </c>
      <c r="H77" s="251" t="s">
        <v>2227</v>
      </c>
      <c r="I77" s="253"/>
    </row>
    <row r="78" ht="22.5" customHeight="1">
      <c r="A78" s="250" t="s">
        <v>2439</v>
      </c>
      <c r="B78" s="251" t="s">
        <v>2438</v>
      </c>
      <c r="C78" s="251"/>
      <c r="D78" s="251"/>
      <c r="E78" s="251" t="s">
        <v>2324</v>
      </c>
      <c r="F78" s="251" t="s">
        <v>2225</v>
      </c>
      <c r="G78" s="255" t="s">
        <v>2440</v>
      </c>
      <c r="H78" s="251" t="s">
        <v>2347</v>
      </c>
      <c r="I78" s="253"/>
    </row>
    <row r="79" ht="22.5" customHeight="1">
      <c r="A79" s="250" t="s">
        <v>2441</v>
      </c>
      <c r="B79" s="251" t="s">
        <v>2442</v>
      </c>
      <c r="C79" s="251"/>
      <c r="D79" s="251"/>
      <c r="E79" s="251" t="s">
        <v>2443</v>
      </c>
      <c r="F79" s="251" t="s">
        <v>2444</v>
      </c>
      <c r="G79" s="254" t="s">
        <v>2315</v>
      </c>
      <c r="H79" s="251" t="s">
        <v>2445</v>
      </c>
      <c r="I79" s="253"/>
    </row>
    <row r="80" ht="22.5" customHeight="1">
      <c r="A80" s="250" t="s">
        <v>2446</v>
      </c>
      <c r="B80" s="251" t="s">
        <v>2442</v>
      </c>
      <c r="C80" s="251"/>
      <c r="D80" s="251"/>
      <c r="E80" s="251" t="s">
        <v>2447</v>
      </c>
      <c r="F80" s="251" t="s">
        <v>2225</v>
      </c>
      <c r="G80" s="258" t="s">
        <v>2448</v>
      </c>
      <c r="H80" s="251" t="s">
        <v>2445</v>
      </c>
      <c r="I80" s="253"/>
    </row>
    <row r="81" ht="22.5" customHeight="1">
      <c r="A81" s="250" t="s">
        <v>2449</v>
      </c>
      <c r="B81" s="251" t="s">
        <v>2450</v>
      </c>
      <c r="C81" s="251"/>
      <c r="D81" s="251"/>
      <c r="E81" s="251" t="s">
        <v>2451</v>
      </c>
      <c r="F81" s="251" t="s">
        <v>2220</v>
      </c>
      <c r="G81" s="251" t="s">
        <v>2204</v>
      </c>
      <c r="H81" s="251" t="s">
        <v>2227</v>
      </c>
      <c r="I81" s="253"/>
    </row>
    <row r="82" ht="22.5" customHeight="1">
      <c r="A82" s="250" t="s">
        <v>2452</v>
      </c>
      <c r="B82" s="251" t="s">
        <v>2450</v>
      </c>
      <c r="C82" s="251"/>
      <c r="D82" s="251"/>
      <c r="E82" s="251" t="s">
        <v>2247</v>
      </c>
      <c r="F82" s="251" t="s">
        <v>2220</v>
      </c>
      <c r="G82" s="254" t="s">
        <v>2204</v>
      </c>
      <c r="H82" s="251" t="s">
        <v>2227</v>
      </c>
      <c r="I82" s="253"/>
    </row>
    <row r="83" ht="22.5" customHeight="1">
      <c r="A83" s="250" t="s">
        <v>2453</v>
      </c>
      <c r="B83" s="251" t="s">
        <v>2450</v>
      </c>
      <c r="C83" s="251"/>
      <c r="D83" s="251"/>
      <c r="E83" s="251" t="s">
        <v>2269</v>
      </c>
      <c r="F83" s="251" t="s">
        <v>2220</v>
      </c>
      <c r="G83" s="251" t="s">
        <v>2204</v>
      </c>
      <c r="H83" s="251" t="s">
        <v>2227</v>
      </c>
      <c r="I83" s="253"/>
    </row>
    <row r="84" ht="22.5" customHeight="1">
      <c r="A84" s="250" t="s">
        <v>2454</v>
      </c>
      <c r="B84" s="251" t="s">
        <v>2450</v>
      </c>
      <c r="C84" s="251"/>
      <c r="D84" s="251"/>
      <c r="E84" s="251" t="s">
        <v>2382</v>
      </c>
      <c r="F84" s="251" t="s">
        <v>2220</v>
      </c>
      <c r="G84" s="254" t="s">
        <v>2204</v>
      </c>
      <c r="H84" s="251" t="s">
        <v>2227</v>
      </c>
      <c r="I84" s="253"/>
    </row>
    <row r="85" ht="22.5" customHeight="1">
      <c r="A85" s="250" t="s">
        <v>2455</v>
      </c>
      <c r="B85" s="251" t="s">
        <v>2450</v>
      </c>
      <c r="C85" s="251"/>
      <c r="D85" s="251"/>
      <c r="E85" s="251" t="s">
        <v>2456</v>
      </c>
      <c r="F85" s="251" t="s">
        <v>2220</v>
      </c>
      <c r="G85" s="254" t="s">
        <v>2204</v>
      </c>
      <c r="H85" s="251" t="s">
        <v>2227</v>
      </c>
      <c r="I85" s="253"/>
    </row>
    <row r="86" ht="22.5" customHeight="1">
      <c r="A86" s="250" t="s">
        <v>2457</v>
      </c>
      <c r="B86" s="251" t="s">
        <v>2450</v>
      </c>
      <c r="C86" s="251"/>
      <c r="D86" s="251"/>
      <c r="E86" s="251" t="s">
        <v>2328</v>
      </c>
      <c r="F86" s="251" t="s">
        <v>2458</v>
      </c>
      <c r="G86" s="251" t="s">
        <v>2204</v>
      </c>
      <c r="H86" s="251" t="s">
        <v>2227</v>
      </c>
      <c r="I86" s="253"/>
    </row>
    <row r="87" ht="22.5" customHeight="1">
      <c r="A87" s="250" t="s">
        <v>2459</v>
      </c>
      <c r="B87" s="251" t="s">
        <v>2460</v>
      </c>
      <c r="C87" s="251"/>
      <c r="D87" s="251"/>
      <c r="E87" s="251" t="s">
        <v>2461</v>
      </c>
      <c r="F87" s="251" t="s">
        <v>2462</v>
      </c>
      <c r="G87" s="251" t="s">
        <v>2204</v>
      </c>
      <c r="H87" s="251" t="s">
        <v>2463</v>
      </c>
      <c r="I87" s="253"/>
    </row>
    <row r="88" ht="22.5" customHeight="1">
      <c r="A88" s="250" t="s">
        <v>2464</v>
      </c>
      <c r="B88" s="251" t="s">
        <v>2460</v>
      </c>
      <c r="C88" s="251"/>
      <c r="D88" s="251"/>
      <c r="E88" s="251" t="s">
        <v>2465</v>
      </c>
      <c r="F88" s="251" t="s">
        <v>2204</v>
      </c>
      <c r="G88" s="250" t="s">
        <v>2466</v>
      </c>
      <c r="H88" s="251" t="s">
        <v>2227</v>
      </c>
      <c r="I88" s="253"/>
    </row>
  </sheetData>
  <hyperlinks>
    <hyperlink r:id="rId1" ref="A2"/>
    <hyperlink r:id="rId2" location="Disguise_Kit" ref="G2"/>
    <hyperlink r:id="rId3" ref="A3"/>
    <hyperlink r:id="rId4" location="Artisan's_Tools" ref="G3"/>
    <hyperlink r:id="rId5" ref="A4"/>
    <hyperlink r:id="rId6" ref="A5"/>
    <hyperlink r:id="rId7" location="Artisan's_Tools" ref="G5"/>
    <hyperlink r:id="rId8" ref="A6"/>
    <hyperlink r:id="rId9" location="Artisan's_Tools" ref="G6"/>
    <hyperlink r:id="rId10" ref="A7"/>
    <hyperlink r:id="rId11" location="Disguise_Kit" ref="G7"/>
    <hyperlink r:id="rId12" ref="A8"/>
    <hyperlink r:id="rId13" location="Disguise_Kit" ref="G8"/>
    <hyperlink r:id="rId14" ref="A9"/>
    <hyperlink r:id="rId15" ref="A10"/>
    <hyperlink r:id="rId16" ref="A11"/>
    <hyperlink r:id="rId17" location="Artisan's_Tools" ref="G11"/>
    <hyperlink r:id="rId18" ref="A12"/>
    <hyperlink r:id="rId19" location="Thieves'_Tools" ref="G12"/>
    <hyperlink r:id="rId20" ref="A13"/>
    <hyperlink r:id="rId21" location="Herbalism_Kit" ref="G13"/>
    <hyperlink r:id="rId22" ref="A14"/>
    <hyperlink r:id="rId23" ref="A15"/>
    <hyperlink r:id="rId24" ref="A16"/>
    <hyperlink r:id="rId25" ref="A17"/>
    <hyperlink r:id="rId26" location="Artisan's_Tools" ref="G17"/>
    <hyperlink r:id="rId27" ref="A18"/>
    <hyperlink r:id="rId28" location="Artisan's_Tools" ref="G18"/>
    <hyperlink r:id="rId29" ref="A19"/>
    <hyperlink r:id="rId30" location="Thieves'_Tools" ref="G19"/>
    <hyperlink r:id="rId31" ref="A20"/>
    <hyperlink r:id="rId32" location="Poisoner's_Kit" ref="G20"/>
    <hyperlink r:id="rId33" ref="A21"/>
    <hyperlink r:id="rId34" ref="A22"/>
    <hyperlink r:id="rId35" ref="A23"/>
    <hyperlink r:id="rId36" location="Cartographer's_Tools" ref="G23"/>
    <hyperlink r:id="rId37" ref="A24"/>
    <hyperlink r:id="rId38" ref="A25"/>
    <hyperlink r:id="rId39" location="Poisoner's_Kit" ref="G25"/>
    <hyperlink r:id="rId40" ref="A26"/>
    <hyperlink r:id="rId41" ref="A27"/>
    <hyperlink r:id="rId42" location="Artisan's_Tools" ref="G27"/>
    <hyperlink r:id="rId43" ref="A28"/>
    <hyperlink r:id="rId44" ref="A29"/>
    <hyperlink r:id="rId45" ref="A30"/>
    <hyperlink r:id="rId46" location="Artisan's_Tools" ref="G30"/>
    <hyperlink r:id="rId47" ref="A31"/>
    <hyperlink r:id="rId48" ref="A32"/>
    <hyperlink r:id="rId49" ref="A33"/>
    <hyperlink r:id="rId50" ref="A34"/>
    <hyperlink r:id="rId51" location="Carpenter's_Tools" ref="G34"/>
    <hyperlink r:id="rId52" ref="A35"/>
    <hyperlink r:id="rId53" ref="A36"/>
    <hyperlink r:id="rId54" ref="A37"/>
    <hyperlink r:id="rId55" location="Artisan's_Tools" ref="G37"/>
    <hyperlink r:id="rId56" ref="A38"/>
    <hyperlink r:id="rId57" location="Thieves'_Tools" ref="G38"/>
    <hyperlink r:id="rId58" ref="A39"/>
    <hyperlink r:id="rId59" ref="A40"/>
    <hyperlink r:id="rId60" location="Forgery_Kit" ref="G40"/>
    <hyperlink r:id="rId61" ref="A41"/>
    <hyperlink r:id="rId62" location="Disguise_Kit" ref="G41"/>
    <hyperlink r:id="rId63" ref="A42"/>
    <hyperlink r:id="rId64" location="Forgery_Kit" ref="G42"/>
    <hyperlink r:id="rId65" ref="A43"/>
    <hyperlink r:id="rId66" location="Thieves'_Tools" ref="G43"/>
    <hyperlink r:id="rId67" ref="A44"/>
    <hyperlink r:id="rId68" ref="A45"/>
    <hyperlink r:id="rId69" location="Disguise_Kit" ref="G45"/>
    <hyperlink r:id="rId70" ref="A46"/>
    <hyperlink r:id="rId71" location="Thieves'_Tools" ref="G46"/>
    <hyperlink r:id="rId72" ref="A47"/>
    <hyperlink r:id="rId73" location="Disguise_Kit" ref="G47"/>
    <hyperlink r:id="rId74" ref="A48"/>
    <hyperlink r:id="rId75" location="Artisan's_Tools" ref="G48"/>
    <hyperlink r:id="rId76" ref="A49"/>
    <hyperlink r:id="rId77" location="Artisan's_Tools" ref="G49"/>
    <hyperlink r:id="rId78" ref="A50"/>
    <hyperlink r:id="rId79" location="Herbalism_Kit" ref="G50"/>
    <hyperlink r:id="rId80" ref="A51"/>
    <hyperlink r:id="rId81" ref="A52"/>
    <hyperlink r:id="rId82" ref="A53"/>
    <hyperlink r:id="rId83" ref="A54"/>
    <hyperlink r:id="rId84" location="Navigator's_Tools" ref="G54"/>
    <hyperlink r:id="rId85" ref="A55"/>
    <hyperlink r:id="rId86" ref="A56"/>
    <hyperlink r:id="rId87" location="Disguise_Kit" ref="G56"/>
    <hyperlink r:id="rId88" ref="A57"/>
    <hyperlink r:id="rId89" ref="A58"/>
    <hyperlink r:id="rId90" location="Artisan's_Tools" ref="G58"/>
    <hyperlink r:id="rId91" ref="A59"/>
    <hyperlink r:id="rId92" location="Artisan's_Tools" ref="G59"/>
    <hyperlink r:id="rId93" ref="A60"/>
    <hyperlink r:id="rId94" ref="A61"/>
    <hyperlink r:id="rId95" location="Artisan's_Tools" ref="G61"/>
    <hyperlink r:id="rId96" ref="A62"/>
    <hyperlink r:id="rId97" ref="A63"/>
    <hyperlink r:id="rId98" ref="A64"/>
    <hyperlink r:id="rId99" ref="A65"/>
    <hyperlink r:id="rId100" ref="A66"/>
    <hyperlink r:id="rId101" ref="A67"/>
    <hyperlink r:id="rId102" ref="A68"/>
    <hyperlink r:id="rId103" ref="A69"/>
    <hyperlink r:id="rId104" location="Thieves'_Tools" ref="G69"/>
    <hyperlink r:id="rId105" ref="A70"/>
    <hyperlink r:id="rId106" location="Artisan's_Tools" ref="G70"/>
    <hyperlink r:id="rId107" ref="A71"/>
    <hyperlink r:id="rId108" ref="A72"/>
    <hyperlink r:id="rId109" ref="A73"/>
    <hyperlink r:id="rId110" location="Artisan's_Tools" ref="G73"/>
    <hyperlink r:id="rId111" ref="A74"/>
    <hyperlink r:id="rId112" location="Artisan's_Tools" ref="G74"/>
    <hyperlink r:id="rId113" ref="A75"/>
    <hyperlink r:id="rId114" ref="A76"/>
    <hyperlink r:id="rId115" location="Herbalism_Kit" ref="G76"/>
    <hyperlink r:id="rId116" ref="A77"/>
    <hyperlink r:id="rId117" ref="A78"/>
    <hyperlink r:id="rId118" location="Cartographer's_Tools" ref="G78"/>
    <hyperlink r:id="rId119" ref="A79"/>
    <hyperlink r:id="rId120" ref="A80"/>
    <hyperlink r:id="rId121" location="Disguise_Kit" ref="G80"/>
    <hyperlink r:id="rId122" ref="A81"/>
    <hyperlink r:id="rId123" ref="A82"/>
    <hyperlink r:id="rId124" ref="A83"/>
    <hyperlink r:id="rId125" ref="A84"/>
    <hyperlink r:id="rId126" ref="A85"/>
    <hyperlink r:id="rId127" ref="A86"/>
    <hyperlink r:id="rId128" ref="A87"/>
    <hyperlink r:id="rId129" ref="A88"/>
    <hyperlink r:id="rId130" location="Disguise_Kit" ref="G88"/>
  </hyperlinks>
  <drawing r:id="rId131"/>
  <tableParts count="1">
    <tablePart r:id="rId13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2.86"/>
    <col customWidth="1" min="2" max="2" width="9.57"/>
    <col customWidth="1" min="3" max="3" width="6.86"/>
    <col customWidth="1" min="4" max="5" width="9.14"/>
    <col customWidth="1" min="6" max="6" width="10.57"/>
    <col customWidth="1" min="7" max="7" width="9.43"/>
    <col customWidth="1" min="9" max="9" width="20.29"/>
  </cols>
  <sheetData>
    <row r="1" ht="22.5" customHeight="1">
      <c r="A1" s="259" t="s">
        <v>2</v>
      </c>
      <c r="B1" s="259" t="s">
        <v>2467</v>
      </c>
      <c r="C1" s="259" t="s">
        <v>2468</v>
      </c>
      <c r="D1" s="259" t="s">
        <v>2469</v>
      </c>
      <c r="E1" s="259" t="s">
        <v>2470</v>
      </c>
      <c r="F1" s="259" t="s">
        <v>2471</v>
      </c>
      <c r="G1" s="259" t="s">
        <v>2472</v>
      </c>
      <c r="H1" s="259" t="s">
        <v>2297</v>
      </c>
      <c r="I1" s="259" t="s">
        <v>2212</v>
      </c>
    </row>
    <row r="2" ht="22.5" customHeight="1">
      <c r="A2" s="260" t="s">
        <v>271</v>
      </c>
      <c r="B2" s="261"/>
      <c r="C2" s="262"/>
      <c r="D2" s="262">
        <v>1.0</v>
      </c>
      <c r="E2" s="261"/>
      <c r="F2" s="262"/>
      <c r="G2" s="262">
        <v>2.0</v>
      </c>
      <c r="H2" s="260"/>
      <c r="I2" s="260" t="s">
        <v>2473</v>
      </c>
    </row>
    <row r="3" ht="22.5" customHeight="1">
      <c r="A3" s="260" t="s">
        <v>194</v>
      </c>
      <c r="B3" s="261"/>
      <c r="C3" s="262"/>
      <c r="D3" s="262"/>
      <c r="E3" s="261"/>
      <c r="F3" s="262">
        <v>2.0</v>
      </c>
      <c r="G3" s="262">
        <v>1.0</v>
      </c>
      <c r="H3" s="260"/>
      <c r="I3" s="260" t="s">
        <v>2474</v>
      </c>
    </row>
    <row r="4" ht="22.5" customHeight="1">
      <c r="A4" s="260" t="s">
        <v>2475</v>
      </c>
      <c r="B4" s="261">
        <v>2.0</v>
      </c>
      <c r="C4" s="262"/>
      <c r="D4" s="262">
        <v>1.0</v>
      </c>
      <c r="E4" s="261"/>
      <c r="F4" s="262"/>
      <c r="G4" s="262"/>
      <c r="H4" s="260"/>
      <c r="I4" s="260" t="s">
        <v>2476</v>
      </c>
    </row>
    <row r="5" ht="22.5" customHeight="1">
      <c r="A5" s="260" t="s">
        <v>2477</v>
      </c>
      <c r="B5" s="261">
        <v>1.0</v>
      </c>
      <c r="C5" s="262"/>
      <c r="D5" s="262">
        <v>2.0</v>
      </c>
      <c r="E5" s="261"/>
      <c r="F5" s="262"/>
      <c r="G5" s="262"/>
      <c r="H5" s="260"/>
      <c r="I5" s="260" t="s">
        <v>2478</v>
      </c>
    </row>
    <row r="6" ht="22.5" customHeight="1">
      <c r="A6" s="260" t="s">
        <v>2479</v>
      </c>
      <c r="B6" s="261">
        <v>2.0</v>
      </c>
      <c r="C6" s="262">
        <v>1.0</v>
      </c>
      <c r="D6" s="262"/>
      <c r="E6" s="261"/>
      <c r="F6" s="262"/>
      <c r="G6" s="262"/>
      <c r="H6" s="260"/>
      <c r="I6" s="260" t="s">
        <v>2478</v>
      </c>
    </row>
    <row r="7" ht="22.5" customHeight="1">
      <c r="A7" s="260" t="s">
        <v>2480</v>
      </c>
      <c r="B7" s="261"/>
      <c r="C7" s="262">
        <v>2.0</v>
      </c>
      <c r="D7" s="262"/>
      <c r="E7" s="261"/>
      <c r="F7" s="262"/>
      <c r="G7" s="262">
        <v>1.0</v>
      </c>
      <c r="H7" s="260"/>
      <c r="I7" s="260" t="s">
        <v>2478</v>
      </c>
    </row>
    <row r="8" ht="22.5" customHeight="1">
      <c r="A8" s="260" t="s">
        <v>2481</v>
      </c>
      <c r="B8" s="261"/>
      <c r="C8" s="262">
        <v>1.0</v>
      </c>
      <c r="D8" s="262"/>
      <c r="E8" s="261"/>
      <c r="F8" s="262">
        <v>2.0</v>
      </c>
      <c r="G8" s="262"/>
      <c r="H8" s="260"/>
      <c r="I8" s="260" t="s">
        <v>2478</v>
      </c>
    </row>
    <row r="9" ht="22.5" customHeight="1">
      <c r="A9" s="260" t="s">
        <v>274</v>
      </c>
      <c r="B9" s="262" t="s">
        <v>2482</v>
      </c>
      <c r="C9" s="262" t="s">
        <v>2482</v>
      </c>
      <c r="D9" s="262">
        <v>2.0</v>
      </c>
      <c r="E9" s="262" t="s">
        <v>2482</v>
      </c>
      <c r="F9" s="262" t="s">
        <v>2482</v>
      </c>
      <c r="G9" s="262" t="s">
        <v>2482</v>
      </c>
      <c r="H9" s="260" t="s">
        <v>2483</v>
      </c>
      <c r="I9" s="260" t="s">
        <v>2484</v>
      </c>
    </row>
    <row r="10" ht="22.5" customHeight="1">
      <c r="A10" s="260" t="s">
        <v>2485</v>
      </c>
      <c r="B10" s="262" t="s">
        <v>2482</v>
      </c>
      <c r="C10" s="262" t="s">
        <v>2482</v>
      </c>
      <c r="D10" s="262" t="s">
        <v>2482</v>
      </c>
      <c r="E10" s="262" t="s">
        <v>2482</v>
      </c>
      <c r="F10" s="262">
        <v>2.0</v>
      </c>
      <c r="G10" s="262" t="s">
        <v>2482</v>
      </c>
      <c r="H10" s="260" t="s">
        <v>2483</v>
      </c>
      <c r="I10" s="260" t="s">
        <v>2486</v>
      </c>
    </row>
    <row r="11" ht="22.5" customHeight="1">
      <c r="A11" s="260" t="s">
        <v>2487</v>
      </c>
      <c r="B11" s="261"/>
      <c r="C11" s="262"/>
      <c r="D11" s="262">
        <v>1.0</v>
      </c>
      <c r="E11" s="261"/>
      <c r="F11" s="262">
        <v>2.0</v>
      </c>
      <c r="G11" s="262"/>
      <c r="H11" s="260"/>
      <c r="I11" s="260" t="s">
        <v>2488</v>
      </c>
    </row>
    <row r="12" ht="22.5" customHeight="1">
      <c r="A12" s="260" t="s">
        <v>2489</v>
      </c>
      <c r="B12" s="261"/>
      <c r="C12" s="262">
        <v>2.0</v>
      </c>
      <c r="D12" s="262"/>
      <c r="E12" s="261"/>
      <c r="F12" s="262">
        <v>1.0</v>
      </c>
      <c r="G12" s="262"/>
      <c r="H12" s="260"/>
      <c r="I12" s="260" t="s">
        <v>2490</v>
      </c>
    </row>
    <row r="13" ht="22.5" customHeight="1">
      <c r="A13" s="260" t="s">
        <v>2491</v>
      </c>
      <c r="B13" s="261"/>
      <c r="C13" s="262">
        <v>2.0</v>
      </c>
      <c r="D13" s="262"/>
      <c r="E13" s="261"/>
      <c r="F13" s="262"/>
      <c r="G13" s="262">
        <v>1.0</v>
      </c>
      <c r="H13" s="260"/>
      <c r="I13" s="260" t="s">
        <v>2492</v>
      </c>
    </row>
    <row r="14" ht="22.5" customHeight="1">
      <c r="A14" s="260" t="s">
        <v>2493</v>
      </c>
      <c r="B14" s="261"/>
      <c r="C14" s="262"/>
      <c r="D14" s="262"/>
      <c r="E14" s="261">
        <v>2.0</v>
      </c>
      <c r="F14" s="262"/>
      <c r="G14" s="262">
        <v>1.0</v>
      </c>
      <c r="H14" s="260"/>
      <c r="I14" s="260" t="s">
        <v>2494</v>
      </c>
    </row>
    <row r="15" ht="22.5" customHeight="1">
      <c r="A15" s="260" t="s">
        <v>2495</v>
      </c>
      <c r="B15" s="261"/>
      <c r="C15" s="262">
        <v>2.0</v>
      </c>
      <c r="D15" s="262"/>
      <c r="E15" s="261"/>
      <c r="F15" s="262"/>
      <c r="G15" s="262">
        <v>1.0</v>
      </c>
      <c r="H15" s="260"/>
      <c r="I15" s="260" t="s">
        <v>2496</v>
      </c>
    </row>
    <row r="16" ht="22.5" customHeight="1">
      <c r="A16" s="260" t="s">
        <v>2497</v>
      </c>
      <c r="B16" s="262" t="s">
        <v>2482</v>
      </c>
      <c r="C16" s="262">
        <v>1.0</v>
      </c>
      <c r="D16" s="262" t="s">
        <v>2482</v>
      </c>
      <c r="E16" s="262" t="s">
        <v>2482</v>
      </c>
      <c r="F16" s="262" t="s">
        <v>2482</v>
      </c>
      <c r="G16" s="262">
        <v>2.0</v>
      </c>
      <c r="H16" s="260"/>
      <c r="I16" s="260" t="s">
        <v>2498</v>
      </c>
    </row>
    <row r="17" ht="22.5" customHeight="1">
      <c r="A17" s="260" t="s">
        <v>2499</v>
      </c>
      <c r="B17" s="261"/>
      <c r="C17" s="262"/>
      <c r="D17" s="262">
        <v>2.0</v>
      </c>
      <c r="E17" s="261">
        <v>1.0</v>
      </c>
      <c r="F17" s="262"/>
      <c r="G17" s="262"/>
      <c r="H17" s="260"/>
      <c r="I17" s="260" t="s">
        <v>2500</v>
      </c>
    </row>
    <row r="18" ht="22.5" customHeight="1">
      <c r="A18" s="260" t="s">
        <v>2501</v>
      </c>
      <c r="B18" s="261"/>
      <c r="C18" s="262"/>
      <c r="D18" s="262">
        <v>2.0</v>
      </c>
      <c r="E18" s="261"/>
      <c r="F18" s="262">
        <v>1.0</v>
      </c>
      <c r="G18" s="262"/>
      <c r="H18" s="260"/>
      <c r="I18" s="260" t="s">
        <v>2502</v>
      </c>
    </row>
    <row r="19" ht="22.5" customHeight="1">
      <c r="A19" s="260" t="s">
        <v>125</v>
      </c>
      <c r="B19" s="261">
        <v>2.0</v>
      </c>
      <c r="C19" s="262"/>
      <c r="D19" s="262">
        <v>1.0</v>
      </c>
      <c r="E19" s="261"/>
      <c r="F19" s="262"/>
      <c r="G19" s="262"/>
      <c r="H19" s="260"/>
      <c r="I19" s="260" t="s">
        <v>2503</v>
      </c>
    </row>
    <row r="20" ht="22.5" customHeight="1">
      <c r="A20" s="260" t="s">
        <v>10</v>
      </c>
      <c r="B20" s="261"/>
      <c r="C20" s="262">
        <v>2.0</v>
      </c>
      <c r="D20" s="262"/>
      <c r="E20" s="261"/>
      <c r="F20" s="262">
        <v>1.0</v>
      </c>
      <c r="G20" s="262"/>
      <c r="H20" s="260"/>
      <c r="I20" s="260" t="s">
        <v>2504</v>
      </c>
    </row>
    <row r="21" ht="22.5" customHeight="1">
      <c r="A21" s="260" t="s">
        <v>2505</v>
      </c>
      <c r="B21" s="261"/>
      <c r="C21" s="262">
        <v>1.0</v>
      </c>
      <c r="D21" s="262"/>
      <c r="E21" s="261">
        <v>2.0</v>
      </c>
      <c r="F21" s="262"/>
      <c r="G21" s="262"/>
      <c r="H21" s="260"/>
      <c r="I21" s="260" t="s">
        <v>2506</v>
      </c>
    </row>
    <row r="22" ht="22.5" customHeight="1">
      <c r="A22" s="260" t="s">
        <v>2507</v>
      </c>
      <c r="B22" s="261"/>
      <c r="C22" s="262">
        <v>1.0</v>
      </c>
      <c r="D22" s="262">
        <v>2.0</v>
      </c>
      <c r="E22" s="261"/>
      <c r="F22" s="262"/>
      <c r="G22" s="262"/>
      <c r="H22" s="260"/>
      <c r="I22" s="260" t="s">
        <v>2508</v>
      </c>
    </row>
    <row r="23" ht="22.5" customHeight="1">
      <c r="A23" s="260" t="s">
        <v>2509</v>
      </c>
      <c r="B23" s="261">
        <v>1.0</v>
      </c>
      <c r="C23" s="262"/>
      <c r="D23" s="262">
        <v>2.0</v>
      </c>
      <c r="E23" s="261"/>
      <c r="F23" s="262"/>
      <c r="G23" s="262"/>
      <c r="H23" s="260"/>
      <c r="I23" s="260" t="s">
        <v>2508</v>
      </c>
    </row>
    <row r="24" ht="22.5" customHeight="1">
      <c r="A24" s="260" t="s">
        <v>2510</v>
      </c>
      <c r="B24" s="261"/>
      <c r="C24" s="262"/>
      <c r="D24" s="262">
        <v>2.0</v>
      </c>
      <c r="E24" s="261">
        <v>1.0</v>
      </c>
      <c r="F24" s="262"/>
      <c r="G24" s="262"/>
      <c r="H24" s="260"/>
      <c r="I24" s="260" t="s">
        <v>2508</v>
      </c>
    </row>
    <row r="25" ht="22.5" customHeight="1">
      <c r="A25" s="260" t="s">
        <v>37</v>
      </c>
      <c r="B25" s="261">
        <v>2.0</v>
      </c>
      <c r="C25" s="262"/>
      <c r="D25" s="262"/>
      <c r="E25" s="261"/>
      <c r="F25" s="262">
        <v>1.0</v>
      </c>
      <c r="G25" s="262"/>
      <c r="H25" s="260"/>
      <c r="I25" s="260" t="s">
        <v>2511</v>
      </c>
    </row>
    <row r="26" ht="22.5" customHeight="1">
      <c r="A26" s="260" t="s">
        <v>206</v>
      </c>
      <c r="B26" s="261"/>
      <c r="C26" s="262"/>
      <c r="D26" s="262">
        <v>2.0</v>
      </c>
      <c r="E26" s="261"/>
      <c r="F26" s="262">
        <v>1.0</v>
      </c>
      <c r="G26" s="262"/>
      <c r="H26" s="260"/>
      <c r="I26" s="260" t="s">
        <v>2512</v>
      </c>
    </row>
    <row r="27" ht="22.5" customHeight="1">
      <c r="A27" s="260" t="s">
        <v>209</v>
      </c>
      <c r="B27" s="261">
        <v>2.0</v>
      </c>
      <c r="C27" s="262"/>
      <c r="D27" s="262">
        <v>1.0</v>
      </c>
      <c r="E27" s="261"/>
      <c r="F27" s="262"/>
      <c r="G27" s="262"/>
      <c r="H27" s="260"/>
      <c r="I27" s="260" t="s">
        <v>2513</v>
      </c>
    </row>
    <row r="28" ht="22.5" customHeight="1">
      <c r="A28" s="260" t="s">
        <v>227</v>
      </c>
      <c r="B28" s="262" t="s">
        <v>2482</v>
      </c>
      <c r="C28" s="262" t="s">
        <v>2482</v>
      </c>
      <c r="D28" s="262">
        <v>2.0</v>
      </c>
      <c r="E28" s="262" t="s">
        <v>2482</v>
      </c>
      <c r="F28" s="262" t="s">
        <v>2482</v>
      </c>
      <c r="G28" s="262" t="s">
        <v>2482</v>
      </c>
      <c r="H28" s="260" t="s">
        <v>2483</v>
      </c>
      <c r="I28" s="260" t="s">
        <v>2514</v>
      </c>
    </row>
    <row r="29" ht="22.5" customHeight="1">
      <c r="A29" s="260" t="s">
        <v>268</v>
      </c>
      <c r="B29" s="261"/>
      <c r="C29" s="262"/>
      <c r="D29" s="262"/>
      <c r="E29" s="261">
        <v>2.0</v>
      </c>
      <c r="F29" s="262">
        <v>1.0</v>
      </c>
      <c r="G29" s="262"/>
      <c r="H29" s="260"/>
      <c r="I29" s="260" t="s">
        <v>2515</v>
      </c>
    </row>
    <row r="30" ht="22.5" customHeight="1">
      <c r="A30" s="260" t="s">
        <v>2516</v>
      </c>
      <c r="B30" s="261">
        <v>2.0</v>
      </c>
      <c r="C30" s="262">
        <v>1.0</v>
      </c>
      <c r="D30" s="262"/>
      <c r="E30" s="261"/>
      <c r="F30" s="262"/>
      <c r="G30" s="262"/>
      <c r="H30" s="260"/>
      <c r="I30" s="260" t="s">
        <v>2517</v>
      </c>
    </row>
    <row r="31" ht="22.5" customHeight="1">
      <c r="A31" s="260" t="s">
        <v>2518</v>
      </c>
      <c r="B31" s="261"/>
      <c r="C31" s="262"/>
      <c r="D31" s="262"/>
      <c r="E31" s="261">
        <v>1.0</v>
      </c>
      <c r="F31" s="262"/>
      <c r="G31" s="262">
        <v>2.0</v>
      </c>
      <c r="H31" s="260"/>
      <c r="I31" s="260" t="s">
        <v>2519</v>
      </c>
    </row>
    <row r="32" ht="22.5" customHeight="1">
      <c r="A32" s="260" t="s">
        <v>2520</v>
      </c>
      <c r="B32" s="261"/>
      <c r="C32" s="262">
        <v>1.0</v>
      </c>
      <c r="D32" s="262"/>
      <c r="E32" s="261"/>
      <c r="F32" s="262"/>
      <c r="G32" s="262">
        <v>2.0</v>
      </c>
      <c r="H32" s="260"/>
      <c r="I32" s="260" t="s">
        <v>2519</v>
      </c>
    </row>
    <row r="33" ht="22.5" customHeight="1">
      <c r="A33" s="260" t="s">
        <v>2521</v>
      </c>
      <c r="B33" s="261"/>
      <c r="C33" s="262"/>
      <c r="D33" s="262"/>
      <c r="E33" s="261"/>
      <c r="F33" s="262">
        <f>1</f>
        <v>1</v>
      </c>
      <c r="G33" s="262">
        <v>2.0</v>
      </c>
      <c r="H33" s="260"/>
      <c r="I33" s="260" t="s">
        <v>2519</v>
      </c>
    </row>
    <row r="34" ht="22.5" customHeight="1">
      <c r="A34" s="260" t="s">
        <v>2522</v>
      </c>
      <c r="B34" s="261"/>
      <c r="C34" s="262">
        <v>1.0</v>
      </c>
      <c r="D34" s="262"/>
      <c r="E34" s="261"/>
      <c r="F34" s="262"/>
      <c r="G34" s="262">
        <v>2.0</v>
      </c>
      <c r="H34" s="260"/>
      <c r="I34" s="260" t="s">
        <v>2519</v>
      </c>
    </row>
    <row r="35" ht="22.5" customHeight="1">
      <c r="A35" s="260" t="s">
        <v>2523</v>
      </c>
      <c r="B35" s="261"/>
      <c r="C35" s="262"/>
      <c r="D35" s="262">
        <v>1.0</v>
      </c>
      <c r="E35" s="261"/>
      <c r="F35" s="262"/>
      <c r="G35" s="262">
        <v>2.0</v>
      </c>
      <c r="H35" s="260"/>
      <c r="I35" s="260" t="s">
        <v>2519</v>
      </c>
    </row>
    <row r="36" ht="22.5" customHeight="1">
      <c r="A36" s="260" t="s">
        <v>2524</v>
      </c>
      <c r="B36" s="261"/>
      <c r="C36" s="262"/>
      <c r="D36" s="262"/>
      <c r="E36" s="261">
        <v>1.0</v>
      </c>
      <c r="F36" s="262"/>
      <c r="G36" s="262">
        <v>2.0</v>
      </c>
      <c r="H36" s="260"/>
      <c r="I36" s="260" t="s">
        <v>2519</v>
      </c>
    </row>
    <row r="37" ht="22.5" customHeight="1">
      <c r="A37" s="260" t="s">
        <v>2525</v>
      </c>
      <c r="B37" s="261"/>
      <c r="C37" s="262"/>
      <c r="D37" s="262"/>
      <c r="E37" s="261">
        <v>1.0</v>
      </c>
      <c r="F37" s="262"/>
      <c r="G37" s="262">
        <v>2.0</v>
      </c>
      <c r="H37" s="260"/>
      <c r="I37" s="260" t="s">
        <v>2519</v>
      </c>
    </row>
    <row r="38" ht="22.5" customHeight="1">
      <c r="A38" s="260" t="s">
        <v>2526</v>
      </c>
      <c r="B38" s="261">
        <v>1.0</v>
      </c>
      <c r="C38" s="262"/>
      <c r="D38" s="262"/>
      <c r="E38" s="261"/>
      <c r="F38" s="262"/>
      <c r="G38" s="262">
        <v>2.0</v>
      </c>
      <c r="H38" s="260"/>
      <c r="I38" s="260" t="s">
        <v>2519</v>
      </c>
    </row>
    <row r="39" ht="22.5" customHeight="1">
      <c r="A39" s="260" t="s">
        <v>2527</v>
      </c>
      <c r="B39" s="261"/>
      <c r="C39" s="262">
        <v>2.0</v>
      </c>
      <c r="D39" s="262"/>
      <c r="E39" s="261"/>
      <c r="F39" s="262"/>
      <c r="G39" s="262">
        <v>1.0</v>
      </c>
      <c r="H39" s="260"/>
      <c r="I39" s="263" t="s">
        <v>2528</v>
      </c>
    </row>
    <row r="40" ht="22.5" customHeight="1">
      <c r="A40" s="260" t="s">
        <v>2529</v>
      </c>
      <c r="B40" s="261"/>
      <c r="C40" s="262">
        <v>2.0</v>
      </c>
      <c r="D40" s="262">
        <v>1.0</v>
      </c>
      <c r="E40" s="261"/>
      <c r="F40" s="262"/>
      <c r="G40" s="262"/>
      <c r="H40" s="260"/>
      <c r="I40" s="263" t="s">
        <v>2530</v>
      </c>
    </row>
    <row r="41" ht="22.5" customHeight="1">
      <c r="A41" s="260" t="s">
        <v>2531</v>
      </c>
      <c r="B41" s="261"/>
      <c r="C41" s="262">
        <v>2.0</v>
      </c>
      <c r="D41" s="262">
        <v>1.0</v>
      </c>
      <c r="E41" s="261"/>
      <c r="F41" s="262"/>
      <c r="G41" s="262"/>
      <c r="H41" s="260"/>
      <c r="I41" s="260" t="s">
        <v>2530</v>
      </c>
    </row>
    <row r="42" ht="22.5" customHeight="1">
      <c r="A42" s="260" t="s">
        <v>2532</v>
      </c>
      <c r="B42" s="261">
        <v>2.0</v>
      </c>
      <c r="C42" s="262"/>
      <c r="D42" s="262"/>
      <c r="E42" s="261">
        <v>1.0</v>
      </c>
      <c r="F42" s="262"/>
      <c r="G42" s="262"/>
      <c r="H42" s="260"/>
      <c r="I42" s="260" t="s">
        <v>2533</v>
      </c>
    </row>
    <row r="43" ht="22.5" customHeight="1">
      <c r="A43" s="260" t="s">
        <v>2534</v>
      </c>
      <c r="B43" s="261"/>
      <c r="C43" s="262"/>
      <c r="D43" s="262"/>
      <c r="E43" s="261">
        <v>1.0</v>
      </c>
      <c r="F43" s="262">
        <v>2.0</v>
      </c>
      <c r="G43" s="262"/>
      <c r="H43" s="260"/>
      <c r="I43" s="260" t="s">
        <v>2533</v>
      </c>
    </row>
    <row r="44" ht="22.5" customHeight="1">
      <c r="A44" s="260" t="s">
        <v>2535</v>
      </c>
      <c r="B44" s="261"/>
      <c r="C44" s="262">
        <v>2.0</v>
      </c>
      <c r="D44" s="262">
        <v>1.0</v>
      </c>
      <c r="E44" s="261"/>
      <c r="F44" s="262"/>
      <c r="G44" s="262"/>
      <c r="H44" s="260"/>
      <c r="I44" s="260" t="s">
        <v>2536</v>
      </c>
    </row>
    <row r="45" ht="22.5" customHeight="1">
      <c r="A45" s="260" t="s">
        <v>2537</v>
      </c>
      <c r="B45" s="261"/>
      <c r="C45" s="262"/>
      <c r="D45" s="262">
        <v>2.0</v>
      </c>
      <c r="E45" s="261"/>
      <c r="F45" s="262">
        <v>1.0</v>
      </c>
      <c r="G45" s="262"/>
      <c r="H45" s="260"/>
      <c r="I45" s="260" t="s">
        <v>2538</v>
      </c>
    </row>
    <row r="46" ht="22.5" customHeight="1">
      <c r="A46" s="260" t="s">
        <v>2539</v>
      </c>
      <c r="B46" s="261">
        <v>2.0</v>
      </c>
      <c r="C46" s="262"/>
      <c r="D46" s="262">
        <v>2.0</v>
      </c>
      <c r="E46" s="261"/>
      <c r="F46" s="262"/>
      <c r="G46" s="262"/>
      <c r="H46" s="260"/>
      <c r="I46" s="260" t="s">
        <v>2538</v>
      </c>
    </row>
    <row r="47" ht="22.5" customHeight="1">
      <c r="A47" s="260" t="s">
        <v>2540</v>
      </c>
      <c r="B47" s="261"/>
      <c r="C47" s="262">
        <v>2.0</v>
      </c>
      <c r="D47" s="262"/>
      <c r="E47" s="261">
        <v>1.0</v>
      </c>
      <c r="F47" s="262"/>
      <c r="G47" s="262"/>
      <c r="H47" s="260"/>
      <c r="I47" s="263" t="s">
        <v>2541</v>
      </c>
    </row>
    <row r="48" ht="22.5" customHeight="1">
      <c r="A48" s="260" t="s">
        <v>2542</v>
      </c>
      <c r="B48" s="261"/>
      <c r="C48" s="262">
        <v>2.0</v>
      </c>
      <c r="D48" s="262"/>
      <c r="E48" s="261"/>
      <c r="F48" s="262"/>
      <c r="G48" s="262">
        <v>1.0</v>
      </c>
      <c r="H48" s="260"/>
      <c r="I48" s="260" t="s">
        <v>2543</v>
      </c>
    </row>
    <row r="49" ht="22.5" customHeight="1">
      <c r="A49" s="260" t="s">
        <v>2544</v>
      </c>
      <c r="B49" s="261"/>
      <c r="C49" s="262">
        <v>2.0</v>
      </c>
      <c r="D49" s="262"/>
      <c r="E49" s="261"/>
      <c r="F49" s="262">
        <v>1.0</v>
      </c>
      <c r="G49" s="262"/>
      <c r="H49" s="260"/>
      <c r="I49" s="260" t="s">
        <v>2543</v>
      </c>
    </row>
    <row r="50" ht="22.5" customHeight="1">
      <c r="A50" s="260" t="s">
        <v>2545</v>
      </c>
      <c r="B50" s="261"/>
      <c r="C50" s="262">
        <v>2.0</v>
      </c>
      <c r="D50" s="262"/>
      <c r="E50" s="261"/>
      <c r="F50" s="262"/>
      <c r="G50" s="262">
        <v>1.0</v>
      </c>
      <c r="H50" s="260"/>
      <c r="I50" s="260" t="s">
        <v>2546</v>
      </c>
    </row>
    <row r="51" ht="22.5" customHeight="1">
      <c r="A51" s="260" t="s">
        <v>2547</v>
      </c>
      <c r="B51" s="261"/>
      <c r="C51" s="262">
        <v>2.0</v>
      </c>
      <c r="D51" s="262">
        <v>1.0</v>
      </c>
      <c r="E51" s="261"/>
      <c r="F51" s="262"/>
      <c r="G51" s="262"/>
      <c r="H51" s="260"/>
      <c r="I51" s="260" t="s">
        <v>2546</v>
      </c>
    </row>
    <row r="52" ht="22.5" customHeight="1">
      <c r="A52" s="260" t="s">
        <v>173</v>
      </c>
      <c r="B52" s="261">
        <v>1.0</v>
      </c>
      <c r="C52" s="262">
        <v>1.0</v>
      </c>
      <c r="D52" s="262">
        <v>1.0</v>
      </c>
      <c r="E52" s="261">
        <v>1.0</v>
      </c>
      <c r="F52" s="262">
        <v>1.0</v>
      </c>
      <c r="G52" s="262">
        <v>1.0</v>
      </c>
      <c r="H52" s="260"/>
      <c r="I52" s="260" t="s">
        <v>2548</v>
      </c>
    </row>
    <row r="53" ht="22.5" customHeight="1">
      <c r="A53" s="260" t="s">
        <v>2549</v>
      </c>
      <c r="B53" s="262" t="s">
        <v>2482</v>
      </c>
      <c r="C53" s="262" t="s">
        <v>2482</v>
      </c>
      <c r="D53" s="262" t="s">
        <v>2482</v>
      </c>
      <c r="E53" s="262" t="s">
        <v>2482</v>
      </c>
      <c r="F53" s="262" t="s">
        <v>2482</v>
      </c>
      <c r="G53" s="262" t="s">
        <v>2482</v>
      </c>
      <c r="H53" s="260" t="s">
        <v>2550</v>
      </c>
      <c r="I53" s="260" t="s">
        <v>2551</v>
      </c>
    </row>
    <row r="54" ht="22.5" customHeight="1">
      <c r="A54" s="260" t="s">
        <v>46</v>
      </c>
      <c r="B54" s="261">
        <v>2.0</v>
      </c>
      <c r="C54" s="262"/>
      <c r="D54" s="262"/>
      <c r="E54" s="261"/>
      <c r="F54" s="262"/>
      <c r="G54" s="262">
        <v>1.0</v>
      </c>
      <c r="H54" s="260"/>
      <c r="I54" s="260" t="s">
        <v>2552</v>
      </c>
    </row>
    <row r="55" ht="22.5" customHeight="1">
      <c r="A55" s="260" t="s">
        <v>2553</v>
      </c>
      <c r="B55" s="261"/>
      <c r="C55" s="262">
        <v>1.0</v>
      </c>
      <c r="D55" s="262"/>
      <c r="E55" s="261">
        <v>2.0</v>
      </c>
      <c r="F55" s="262"/>
      <c r="G55" s="262"/>
      <c r="H55" s="260"/>
      <c r="I55" s="260" t="s">
        <v>2554</v>
      </c>
    </row>
    <row r="56" ht="22.5" customHeight="1">
      <c r="A56" s="260" t="s">
        <v>2555</v>
      </c>
      <c r="B56" s="261"/>
      <c r="C56" s="262"/>
      <c r="D56" s="262">
        <v>1.0</v>
      </c>
      <c r="E56" s="261">
        <v>2.0</v>
      </c>
      <c r="F56" s="262"/>
      <c r="G56" s="262"/>
      <c r="H56" s="260"/>
      <c r="I56" s="260" t="s">
        <v>2554</v>
      </c>
    </row>
    <row r="57" ht="22.5" customHeight="1">
      <c r="A57" s="260" t="s">
        <v>128</v>
      </c>
      <c r="B57" s="262" t="s">
        <v>2482</v>
      </c>
      <c r="C57" s="262" t="s">
        <v>2482</v>
      </c>
      <c r="D57" s="262" t="s">
        <v>2482</v>
      </c>
      <c r="E57" s="262" t="s">
        <v>2482</v>
      </c>
      <c r="F57" s="262" t="s">
        <v>2482</v>
      </c>
      <c r="G57" s="262">
        <v>2.0</v>
      </c>
      <c r="H57" s="260" t="s">
        <v>2550</v>
      </c>
      <c r="I57" s="260" t="s">
        <v>2556</v>
      </c>
    </row>
    <row r="58" ht="22.5" customHeight="1">
      <c r="A58" s="260" t="s">
        <v>149</v>
      </c>
      <c r="B58" s="261">
        <v>2.0</v>
      </c>
      <c r="C58" s="262"/>
      <c r="D58" s="262">
        <v>1.0</v>
      </c>
      <c r="E58" s="261"/>
      <c r="F58" s="262"/>
      <c r="G58" s="262"/>
      <c r="H58" s="260"/>
      <c r="I58" s="260" t="s">
        <v>2557</v>
      </c>
    </row>
    <row r="59" ht="22.5" customHeight="1">
      <c r="A59" s="260" t="s">
        <v>233</v>
      </c>
      <c r="B59" s="261"/>
      <c r="C59" s="262"/>
      <c r="D59" s="262"/>
      <c r="E59" s="261">
        <v>1.0</v>
      </c>
      <c r="F59" s="262"/>
      <c r="G59" s="262">
        <v>2.0</v>
      </c>
      <c r="H59" s="260"/>
      <c r="I59" s="260" t="s">
        <v>2558</v>
      </c>
    </row>
    <row r="60" ht="22.5" customHeight="1">
      <c r="A60" s="260" t="s">
        <v>2559</v>
      </c>
      <c r="B60" s="261"/>
      <c r="C60" s="262"/>
      <c r="D60" s="262">
        <v>2.0</v>
      </c>
      <c r="E60" s="261">
        <v>1.0</v>
      </c>
      <c r="F60" s="262"/>
      <c r="G60" s="262"/>
      <c r="H60" s="260"/>
      <c r="I60" s="260" t="s">
        <v>2560</v>
      </c>
    </row>
    <row r="61" ht="22.5" customHeight="1">
      <c r="A61" s="260" t="s">
        <v>2561</v>
      </c>
      <c r="B61" s="261"/>
      <c r="C61" s="262"/>
      <c r="D61" s="262"/>
      <c r="E61" s="261"/>
      <c r="F61" s="262">
        <v>1.0</v>
      </c>
      <c r="G61" s="262">
        <v>2.0</v>
      </c>
      <c r="H61" s="260"/>
      <c r="I61" s="260" t="s">
        <v>2562</v>
      </c>
    </row>
    <row r="62" ht="22.5" customHeight="1">
      <c r="A62" s="260" t="s">
        <v>2563</v>
      </c>
      <c r="B62" s="261">
        <v>2.0</v>
      </c>
      <c r="C62" s="262"/>
      <c r="D62" s="262">
        <v>1.0</v>
      </c>
      <c r="E62" s="261"/>
      <c r="F62" s="262"/>
      <c r="G62" s="262"/>
      <c r="H62" s="260"/>
      <c r="I62" s="260" t="s">
        <v>2564</v>
      </c>
    </row>
    <row r="63" ht="22.5" customHeight="1">
      <c r="A63" s="260" t="s">
        <v>2565</v>
      </c>
      <c r="B63" s="261"/>
      <c r="C63" s="262"/>
      <c r="D63" s="262"/>
      <c r="E63" s="261"/>
      <c r="F63" s="262"/>
      <c r="G63" s="262">
        <v>2.0</v>
      </c>
      <c r="H63" s="260"/>
      <c r="I63" s="260" t="s">
        <v>2566</v>
      </c>
    </row>
    <row r="64" ht="22.5" customHeight="1">
      <c r="A64" s="260" t="s">
        <v>2567</v>
      </c>
      <c r="B64" s="261"/>
      <c r="C64" s="262"/>
      <c r="D64" s="262"/>
      <c r="E64" s="261">
        <v>1.0</v>
      </c>
      <c r="F64" s="262"/>
      <c r="G64" s="262">
        <v>2.0</v>
      </c>
      <c r="H64" s="260"/>
      <c r="I64" s="260" t="s">
        <v>2568</v>
      </c>
    </row>
    <row r="65" ht="22.5" customHeight="1">
      <c r="A65" s="260" t="s">
        <v>2569</v>
      </c>
      <c r="B65" s="261"/>
      <c r="C65" s="262"/>
      <c r="D65" s="262">
        <v>2.0</v>
      </c>
      <c r="E65" s="261"/>
      <c r="F65" s="262">
        <v>1.0</v>
      </c>
      <c r="G65" s="262"/>
      <c r="H65" s="260"/>
      <c r="I65" s="260" t="s">
        <v>2570</v>
      </c>
    </row>
    <row r="66" ht="22.5" customHeight="1">
      <c r="A66" s="260" t="s">
        <v>2571</v>
      </c>
      <c r="B66" s="261">
        <v>1.0</v>
      </c>
      <c r="C66" s="262"/>
      <c r="D66" s="262">
        <v>2.0</v>
      </c>
      <c r="E66" s="261"/>
      <c r="F66" s="262"/>
      <c r="G66" s="262"/>
      <c r="H66" s="260"/>
      <c r="I66" s="260" t="s">
        <v>2572</v>
      </c>
    </row>
    <row r="67" ht="22.5" customHeight="1">
      <c r="A67" s="260" t="s">
        <v>2573</v>
      </c>
      <c r="B67" s="261"/>
      <c r="C67" s="262">
        <v>2.0</v>
      </c>
      <c r="D67" s="262"/>
      <c r="E67" s="261"/>
      <c r="F67" s="262">
        <v>1.0</v>
      </c>
      <c r="G67" s="262"/>
      <c r="H67" s="260"/>
      <c r="I67" s="260" t="s">
        <v>2574</v>
      </c>
    </row>
    <row r="68" ht="22.5" customHeight="1">
      <c r="A68" s="260" t="s">
        <v>2575</v>
      </c>
      <c r="B68" s="261"/>
      <c r="C68" s="262"/>
      <c r="D68" s="262"/>
      <c r="E68" s="261">
        <v>1.0</v>
      </c>
      <c r="F68" s="262"/>
      <c r="G68" s="262">
        <v>2.0</v>
      </c>
      <c r="H68" s="260"/>
      <c r="I68" s="260" t="s">
        <v>2576</v>
      </c>
    </row>
    <row r="69" ht="22.5" customHeight="1">
      <c r="A69" s="260" t="s">
        <v>2577</v>
      </c>
      <c r="B69" s="261"/>
      <c r="C69" s="262">
        <v>2.0</v>
      </c>
      <c r="D69" s="262"/>
      <c r="E69" s="261">
        <v>1.0</v>
      </c>
      <c r="F69" s="262"/>
      <c r="G69" s="262"/>
      <c r="H69" s="260"/>
      <c r="I69" s="260" t="s">
        <v>2576</v>
      </c>
    </row>
    <row r="70" ht="22.5" customHeight="1">
      <c r="A70" s="260" t="s">
        <v>2578</v>
      </c>
      <c r="B70" s="261"/>
      <c r="C70" s="262"/>
      <c r="D70" s="262"/>
      <c r="E70" s="261">
        <v>1.0</v>
      </c>
      <c r="F70" s="262"/>
      <c r="G70" s="262">
        <v>2.0</v>
      </c>
      <c r="H70" s="260"/>
      <c r="I70" s="260" t="s">
        <v>2576</v>
      </c>
    </row>
    <row r="71" ht="22.5" customHeight="1">
      <c r="A71" s="260" t="s">
        <v>2579</v>
      </c>
      <c r="B71" s="261"/>
      <c r="C71" s="262"/>
      <c r="D71" s="262"/>
      <c r="E71" s="261">
        <v>1.0</v>
      </c>
      <c r="F71" s="262"/>
      <c r="G71" s="262">
        <v>2.0</v>
      </c>
      <c r="H71" s="260"/>
      <c r="I71" s="260" t="s">
        <v>2576</v>
      </c>
    </row>
    <row r="72" ht="22.5" customHeight="1">
      <c r="A72" s="260" t="s">
        <v>2580</v>
      </c>
      <c r="B72" s="261">
        <v>2.0</v>
      </c>
      <c r="C72" s="262"/>
      <c r="D72" s="262"/>
      <c r="E72" s="261"/>
      <c r="F72" s="262">
        <v>1.0</v>
      </c>
      <c r="G72" s="262"/>
      <c r="H72" s="260"/>
      <c r="I72" s="260" t="s">
        <v>2581</v>
      </c>
    </row>
    <row r="73" ht="22.5" customHeight="1">
      <c r="A73" s="260" t="s">
        <v>2582</v>
      </c>
      <c r="B73" s="261"/>
      <c r="C73" s="262">
        <v>2.0</v>
      </c>
      <c r="D73" s="262"/>
      <c r="E73" s="261"/>
      <c r="F73" s="262"/>
      <c r="G73" s="262"/>
      <c r="H73" s="260"/>
      <c r="I73" s="263" t="str">
        <f t="shared" ref="I73:I74" si="1">HYPERLINK("https://media.wizards.com/2017/dnd/downloads/UA-ElfSubraces.pdf","UA: Elf Subraces 1")</f>
        <v>UA: Elf Subraces 1</v>
      </c>
    </row>
    <row r="74" ht="22.5" customHeight="1">
      <c r="A74" s="260" t="s">
        <v>2583</v>
      </c>
      <c r="B74" s="261">
        <v>1.0</v>
      </c>
      <c r="C74" s="262">
        <v>2.0</v>
      </c>
      <c r="D74" s="262"/>
      <c r="E74" s="261"/>
      <c r="F74" s="262"/>
      <c r="G74" s="262"/>
      <c r="H74" s="260"/>
      <c r="I74" s="263" t="str">
        <f t="shared" si="1"/>
        <v>UA: Elf Subraces 1</v>
      </c>
    </row>
    <row r="75" ht="22.5" customHeight="1">
      <c r="A75" s="260" t="s">
        <v>2584</v>
      </c>
      <c r="B75" s="261"/>
      <c r="C75" s="262"/>
      <c r="D75" s="262">
        <v>1.0</v>
      </c>
      <c r="E75" s="261"/>
      <c r="F75" s="262"/>
      <c r="G75" s="262">
        <v>2.0</v>
      </c>
      <c r="H75" s="260"/>
      <c r="I75" s="263" t="str">
        <f>HYPERLINK("https://media.wizards.com/2015/downloads/dnd/07_UA_That_Old_Black_Magic.pdf","UA: That Old Black Magic 1")</f>
        <v>UA: That Old Black Magic 1</v>
      </c>
    </row>
    <row r="76" ht="22.5" customHeight="1">
      <c r="A76" s="260" t="s">
        <v>2585</v>
      </c>
      <c r="B76" s="261">
        <v>1.0</v>
      </c>
      <c r="C76" s="262"/>
      <c r="D76" s="262"/>
      <c r="E76" s="261"/>
      <c r="F76" s="262"/>
      <c r="G76" s="262">
        <v>2.0</v>
      </c>
      <c r="H76" s="260"/>
      <c r="I76" s="260" t="s">
        <v>2586</v>
      </c>
    </row>
    <row r="77" ht="22.5" customHeight="1">
      <c r="A77" s="260" t="s">
        <v>2587</v>
      </c>
      <c r="B77" s="261"/>
      <c r="C77" s="262"/>
      <c r="D77" s="262"/>
      <c r="E77" s="261"/>
      <c r="F77" s="262">
        <v>1.0</v>
      </c>
      <c r="G77" s="262">
        <v>2.0</v>
      </c>
      <c r="H77" s="260"/>
      <c r="I77" s="260" t="s">
        <v>2586</v>
      </c>
    </row>
    <row r="78" ht="22.5" customHeight="1">
      <c r="A78" s="260" t="s">
        <v>2588</v>
      </c>
      <c r="B78" s="261"/>
      <c r="C78" s="262"/>
      <c r="D78" s="262">
        <v>1.0</v>
      </c>
      <c r="E78" s="261"/>
      <c r="F78" s="262"/>
      <c r="G78" s="262">
        <v>2.0</v>
      </c>
      <c r="H78" s="260"/>
      <c r="I78" s="260" t="s">
        <v>2586</v>
      </c>
    </row>
    <row r="79" ht="22.5" customHeight="1">
      <c r="A79" s="260" t="s">
        <v>89</v>
      </c>
      <c r="B79" s="261">
        <v>1.0</v>
      </c>
      <c r="C79" s="262"/>
      <c r="D79" s="262"/>
      <c r="E79" s="261"/>
      <c r="F79" s="262">
        <v>2.0</v>
      </c>
      <c r="G79" s="262"/>
      <c r="H79" s="260"/>
      <c r="I79" s="260" t="s">
        <v>2589</v>
      </c>
    </row>
    <row r="80" ht="22.5" customHeight="1">
      <c r="A80" s="260" t="s">
        <v>197</v>
      </c>
      <c r="B80" s="261"/>
      <c r="C80" s="262">
        <v>2.0</v>
      </c>
      <c r="D80" s="262"/>
      <c r="E80" s="261"/>
      <c r="F80" s="262">
        <v>1.0</v>
      </c>
      <c r="G80" s="262"/>
      <c r="H80" s="260"/>
      <c r="I80" s="260" t="s">
        <v>2590</v>
      </c>
    </row>
    <row r="81" ht="22.5" customHeight="1">
      <c r="A81" s="260" t="s">
        <v>203</v>
      </c>
      <c r="B81" s="261"/>
      <c r="C81" s="262"/>
      <c r="D81" s="262">
        <v>2.0</v>
      </c>
      <c r="E81" s="261"/>
      <c r="F81" s="262">
        <v>1.0</v>
      </c>
      <c r="G81" s="262"/>
      <c r="H81" s="260"/>
      <c r="I81" s="260" t="s">
        <v>2591</v>
      </c>
    </row>
    <row r="82" ht="22.5" customHeight="1">
      <c r="A82" s="260" t="s">
        <v>230</v>
      </c>
      <c r="B82" s="261"/>
      <c r="C82" s="262">
        <v>2.0</v>
      </c>
      <c r="D82" s="262"/>
      <c r="E82" s="261"/>
      <c r="F82" s="262"/>
      <c r="G82" s="262">
        <v>1.0</v>
      </c>
      <c r="H82" s="260"/>
      <c r="I82" s="260" t="s">
        <v>2592</v>
      </c>
    </row>
    <row r="83" ht="22.5" customHeight="1">
      <c r="A83" s="260" t="s">
        <v>265</v>
      </c>
      <c r="B83" s="261">
        <v>1.0</v>
      </c>
      <c r="C83" s="262"/>
      <c r="D83" s="262">
        <v>1.0</v>
      </c>
      <c r="E83" s="261"/>
      <c r="F83" s="262"/>
      <c r="G83" s="262">
        <v>1.0</v>
      </c>
      <c r="H83" s="260"/>
      <c r="I83" s="260" t="s">
        <v>2593</v>
      </c>
    </row>
    <row r="84" ht="22.5" customHeight="1">
      <c r="A84" s="260" t="s">
        <v>200</v>
      </c>
      <c r="B84" s="261">
        <v>-2.0</v>
      </c>
      <c r="C84" s="262">
        <v>2.0</v>
      </c>
      <c r="D84" s="262"/>
      <c r="E84" s="261"/>
      <c r="F84" s="262"/>
      <c r="G84" s="262"/>
      <c r="H84" s="260"/>
      <c r="I84" s="260" t="s">
        <v>2594</v>
      </c>
    </row>
    <row r="85" ht="22.5" customHeight="1">
      <c r="A85" s="260" t="s">
        <v>33</v>
      </c>
      <c r="B85" s="261">
        <v>2.0</v>
      </c>
      <c r="C85" s="262">
        <v>1.0</v>
      </c>
      <c r="D85" s="262"/>
      <c r="E85" s="261"/>
      <c r="F85" s="262"/>
      <c r="G85" s="262"/>
      <c r="H85" s="260"/>
      <c r="I85" s="260" t="s">
        <v>2595</v>
      </c>
    </row>
    <row r="86" ht="22.5" customHeight="1">
      <c r="A86" s="260" t="s">
        <v>170</v>
      </c>
      <c r="B86" s="261"/>
      <c r="C86" s="262"/>
      <c r="D86" s="262">
        <v>2.0</v>
      </c>
      <c r="E86" s="261">
        <v>1.0</v>
      </c>
      <c r="F86" s="262"/>
      <c r="G86" s="262"/>
      <c r="H86" s="260"/>
      <c r="I86" s="260" t="s">
        <v>2596</v>
      </c>
    </row>
    <row r="87" ht="22.5" customHeight="1">
      <c r="A87" s="260" t="s">
        <v>122</v>
      </c>
      <c r="B87" s="261"/>
      <c r="C87" s="262">
        <v>2.0</v>
      </c>
      <c r="D87" s="262">
        <v>1.0</v>
      </c>
      <c r="E87" s="261"/>
      <c r="F87" s="262"/>
      <c r="G87" s="262"/>
      <c r="H87" s="260"/>
      <c r="I87" s="260" t="s">
        <v>2597</v>
      </c>
    </row>
    <row r="88" ht="22.5" customHeight="1">
      <c r="A88" s="260" t="s">
        <v>212</v>
      </c>
      <c r="B88" s="261">
        <v>2.0</v>
      </c>
      <c r="C88" s="262"/>
      <c r="D88" s="262">
        <v>1.0</v>
      </c>
      <c r="E88" s="261">
        <v>-2.0</v>
      </c>
      <c r="F88" s="262"/>
      <c r="G88" s="262"/>
      <c r="H88" s="260"/>
      <c r="I88" s="260" t="s">
        <v>2598</v>
      </c>
    </row>
    <row r="89" ht="22.5" customHeight="1">
      <c r="A89" s="260" t="s">
        <v>2599</v>
      </c>
      <c r="B89" s="261"/>
      <c r="C89" s="262"/>
      <c r="D89" s="262"/>
      <c r="E89" s="261">
        <v>1.0</v>
      </c>
      <c r="F89" s="262"/>
      <c r="G89" s="262">
        <v>2.0</v>
      </c>
      <c r="H89" s="260"/>
      <c r="I89" s="260" t="s">
        <v>2598</v>
      </c>
    </row>
  </sheetData>
  <dataValidations>
    <dataValidation type="custom" allowBlank="1" showDropDown="1" sqref="B2:G89">
      <formula1>AND(ISNUMBER(B2),(NOT(OR(NOT(ISERROR(DATEVALUE(B2))), AND(ISNUMBER(B2), LEFT(CELL("format", B2))="D")))))</formula1>
    </dataValidation>
  </dataValidations>
  <hyperlinks>
    <hyperlink r:id="rId2" ref="I39"/>
    <hyperlink r:id="rId3" ref="I40"/>
    <hyperlink r:id="rId4" ref="I47"/>
  </hyperlinks>
  <drawing r:id="rId5"/>
  <legacyDrawing r:id="rId6"/>
  <tableParts count="1">
    <tablePart r:id="rId8"/>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4.43" defaultRowHeight="15.0"/>
  <cols>
    <col customWidth="1" min="1" max="1" width="17.14"/>
    <col customWidth="1" min="2" max="2" width="8.29"/>
  </cols>
  <sheetData>
    <row r="1">
      <c r="A1" s="1" t="s">
        <v>2600</v>
      </c>
      <c r="B1" s="30" t="s">
        <v>2601</v>
      </c>
      <c r="C1" s="3" t="s">
        <v>2602</v>
      </c>
      <c r="D1" s="4" t="s">
        <v>2603</v>
      </c>
      <c r="E1" s="4" t="s">
        <v>2604</v>
      </c>
      <c r="F1" s="4" t="s">
        <v>2605</v>
      </c>
      <c r="G1" s="4" t="s">
        <v>2606</v>
      </c>
      <c r="H1" s="4" t="s">
        <v>2607</v>
      </c>
      <c r="I1" s="4" t="s">
        <v>2608</v>
      </c>
      <c r="J1" s="4" t="s">
        <v>2609</v>
      </c>
      <c r="K1" s="4" t="s">
        <v>2610</v>
      </c>
      <c r="L1" s="2" t="s">
        <v>2611</v>
      </c>
      <c r="N1" s="30" t="s">
        <v>2612</v>
      </c>
      <c r="O1" s="1" t="s">
        <v>2613</v>
      </c>
      <c r="P1" s="1" t="s">
        <v>2614</v>
      </c>
      <c r="Q1" s="1" t="s">
        <v>2615</v>
      </c>
      <c r="R1" s="1" t="s">
        <v>2616</v>
      </c>
      <c r="S1" s="1" t="s">
        <v>2617</v>
      </c>
      <c r="T1" s="1" t="s">
        <v>2618</v>
      </c>
      <c r="U1" s="1" t="s">
        <v>2619</v>
      </c>
      <c r="W1" s="30" t="s">
        <v>2620</v>
      </c>
      <c r="X1" s="3" t="s">
        <v>2621</v>
      </c>
      <c r="Y1" s="3" t="s">
        <v>2622</v>
      </c>
      <c r="Z1" s="3" t="s">
        <v>2623</v>
      </c>
      <c r="AA1" s="3" t="s">
        <v>2624</v>
      </c>
      <c r="AB1" s="3" t="s">
        <v>2625</v>
      </c>
      <c r="AC1" s="3" t="s">
        <v>2626</v>
      </c>
      <c r="AD1" s="3" t="s">
        <v>2627</v>
      </c>
      <c r="AE1" s="3" t="s">
        <v>2628</v>
      </c>
      <c r="AF1" s="21" t="s">
        <v>2629</v>
      </c>
    </row>
    <row r="2">
      <c r="A2" s="1" t="s">
        <v>2630</v>
      </c>
      <c r="B2" s="6">
        <v>1.0</v>
      </c>
      <c r="C2" s="10" t="s">
        <v>2631</v>
      </c>
      <c r="D2" s="10">
        <v>2.0</v>
      </c>
      <c r="E2" s="10">
        <v>0.0</v>
      </c>
      <c r="F2" s="10">
        <v>0.0</v>
      </c>
      <c r="G2" s="10">
        <v>0.0</v>
      </c>
      <c r="H2" s="10">
        <v>0.0</v>
      </c>
      <c r="I2" s="10">
        <v>0.0</v>
      </c>
      <c r="J2" s="10">
        <v>0.0</v>
      </c>
      <c r="K2" s="10">
        <v>0.0</v>
      </c>
      <c r="L2" s="7">
        <v>0.0</v>
      </c>
      <c r="N2" s="6">
        <v>1.0</v>
      </c>
      <c r="O2" s="10">
        <v>0.0</v>
      </c>
      <c r="P2" s="10">
        <v>4.0</v>
      </c>
      <c r="Q2" s="10">
        <v>0.0</v>
      </c>
      <c r="R2" s="10">
        <v>0.0</v>
      </c>
      <c r="S2" s="10">
        <v>0.0</v>
      </c>
      <c r="T2" s="10">
        <v>2.0</v>
      </c>
      <c r="U2" s="7">
        <v>2.0</v>
      </c>
      <c r="W2" s="6">
        <v>1.0</v>
      </c>
      <c r="X2" s="10">
        <v>2.0</v>
      </c>
      <c r="Y2" s="10">
        <v>2.0</v>
      </c>
      <c r="Z2" s="10">
        <v>3.0</v>
      </c>
      <c r="AA2" s="10">
        <v>2.0</v>
      </c>
      <c r="AB2" s="10">
        <v>2.0</v>
      </c>
      <c r="AC2" s="10">
        <v>3.0</v>
      </c>
      <c r="AD2" s="10">
        <v>4.0</v>
      </c>
      <c r="AE2" s="10">
        <v>2.0</v>
      </c>
      <c r="AF2" s="7">
        <v>3.0</v>
      </c>
    </row>
    <row r="3">
      <c r="A3" s="1" t="s">
        <v>2632</v>
      </c>
      <c r="B3" s="14">
        <f t="shared" ref="B3:B21" si="1">1+B2</f>
        <v>2</v>
      </c>
      <c r="C3" s="10" t="s">
        <v>2631</v>
      </c>
      <c r="D3" s="10">
        <v>3.0</v>
      </c>
      <c r="E3" s="10">
        <v>0.0</v>
      </c>
      <c r="F3" s="10">
        <v>0.0</v>
      </c>
      <c r="G3" s="10">
        <v>0.0</v>
      </c>
      <c r="H3" s="10">
        <v>0.0</v>
      </c>
      <c r="I3" s="10">
        <v>0.0</v>
      </c>
      <c r="J3" s="10">
        <v>0.0</v>
      </c>
      <c r="K3" s="10">
        <v>0.0</v>
      </c>
      <c r="L3" s="7">
        <v>0.0</v>
      </c>
      <c r="N3" s="14">
        <f t="shared" ref="N3:N21" si="2">1+N2</f>
        <v>2</v>
      </c>
      <c r="O3" s="10">
        <v>4.0</v>
      </c>
      <c r="P3" s="10">
        <v>5.0</v>
      </c>
      <c r="Q3" s="10">
        <v>0.0</v>
      </c>
      <c r="R3" s="10">
        <v>2.0</v>
      </c>
      <c r="S3" s="10">
        <v>0.0</v>
      </c>
      <c r="T3" s="10">
        <v>3.0</v>
      </c>
      <c r="U3" s="7">
        <v>3.0</v>
      </c>
      <c r="W3" s="14">
        <f t="shared" ref="W3:W21" si="3">1+W2</f>
        <v>2</v>
      </c>
      <c r="X3" s="10">
        <v>2.0</v>
      </c>
      <c r="Y3" s="10">
        <v>2.0</v>
      </c>
      <c r="Z3" s="10">
        <v>3.0</v>
      </c>
      <c r="AA3" s="10">
        <v>2.0</v>
      </c>
      <c r="AB3" s="10">
        <v>2.0</v>
      </c>
      <c r="AC3" s="10">
        <v>3.0</v>
      </c>
      <c r="AD3" s="10">
        <v>4.0</v>
      </c>
      <c r="AE3" s="10">
        <v>2.0</v>
      </c>
      <c r="AF3" s="7">
        <v>3.0</v>
      </c>
    </row>
    <row r="4">
      <c r="A4" s="1" t="s">
        <v>2633</v>
      </c>
      <c r="B4" s="14">
        <f t="shared" si="1"/>
        <v>3</v>
      </c>
      <c r="C4" s="10" t="s">
        <v>2631</v>
      </c>
      <c r="D4" s="10">
        <v>4.0</v>
      </c>
      <c r="E4" s="10">
        <v>2.0</v>
      </c>
      <c r="F4" s="10">
        <v>0.0</v>
      </c>
      <c r="G4" s="10">
        <v>0.0</v>
      </c>
      <c r="H4" s="10">
        <v>0.0</v>
      </c>
      <c r="I4" s="10">
        <v>0.0</v>
      </c>
      <c r="J4" s="10">
        <v>0.0</v>
      </c>
      <c r="K4" s="10">
        <v>0.0</v>
      </c>
      <c r="L4" s="7">
        <v>0.0</v>
      </c>
      <c r="N4" s="14">
        <f t="shared" si="2"/>
        <v>3</v>
      </c>
      <c r="O4" s="10">
        <v>4.0</v>
      </c>
      <c r="P4" s="10">
        <v>6.0</v>
      </c>
      <c r="Q4" s="10">
        <v>3.0</v>
      </c>
      <c r="R4" s="10">
        <v>3.0</v>
      </c>
      <c r="S4" s="10">
        <v>3.0</v>
      </c>
      <c r="T4" s="10">
        <v>4.0</v>
      </c>
      <c r="U4" s="7">
        <v>4.0</v>
      </c>
      <c r="W4" s="14">
        <f t="shared" si="3"/>
        <v>3</v>
      </c>
      <c r="X4" s="10">
        <v>2.0</v>
      </c>
      <c r="Y4" s="10">
        <v>2.0</v>
      </c>
      <c r="Z4" s="10">
        <v>3.0</v>
      </c>
      <c r="AA4" s="10">
        <v>2.0</v>
      </c>
      <c r="AB4" s="10">
        <v>2.0</v>
      </c>
      <c r="AC4" s="10">
        <v>3.0</v>
      </c>
      <c r="AD4" s="10">
        <v>4.0</v>
      </c>
      <c r="AE4" s="10">
        <v>2.0</v>
      </c>
      <c r="AF4" s="7">
        <v>3.0</v>
      </c>
    </row>
    <row r="5">
      <c r="A5" s="1" t="s">
        <v>2634</v>
      </c>
      <c r="B5" s="14">
        <f t="shared" si="1"/>
        <v>4</v>
      </c>
      <c r="C5" s="10" t="s">
        <v>2631</v>
      </c>
      <c r="D5" s="10">
        <v>4.0</v>
      </c>
      <c r="E5" s="10">
        <v>3.0</v>
      </c>
      <c r="F5" s="10">
        <v>0.0</v>
      </c>
      <c r="G5" s="10">
        <v>0.0</v>
      </c>
      <c r="H5" s="10">
        <v>0.0</v>
      </c>
      <c r="I5" s="10">
        <v>0.0</v>
      </c>
      <c r="J5" s="10">
        <v>0.0</v>
      </c>
      <c r="K5" s="10">
        <v>0.0</v>
      </c>
      <c r="L5" s="7">
        <v>0.0</v>
      </c>
      <c r="N5" s="14">
        <f t="shared" si="2"/>
        <v>4</v>
      </c>
      <c r="O5" s="10">
        <v>4.0</v>
      </c>
      <c r="P5" s="10">
        <v>7.0</v>
      </c>
      <c r="Q5" s="10">
        <v>4.0</v>
      </c>
      <c r="R5" s="10">
        <v>3.0</v>
      </c>
      <c r="S5" s="10">
        <v>4.0</v>
      </c>
      <c r="T5" s="10">
        <v>5.0</v>
      </c>
      <c r="U5" s="7">
        <v>5.0</v>
      </c>
      <c r="W5" s="14">
        <f t="shared" si="3"/>
        <v>4</v>
      </c>
      <c r="X5" s="10">
        <v>2.0</v>
      </c>
      <c r="Y5" s="10">
        <v>3.0</v>
      </c>
      <c r="Z5" s="10">
        <v>4.0</v>
      </c>
      <c r="AA5" s="10">
        <v>3.0</v>
      </c>
      <c r="AB5" s="10">
        <v>2.0</v>
      </c>
      <c r="AC5" s="10">
        <v>3.0</v>
      </c>
      <c r="AD5" s="10">
        <v>5.0</v>
      </c>
      <c r="AE5" s="10">
        <v>3.0</v>
      </c>
      <c r="AF5" s="7">
        <v>4.0</v>
      </c>
    </row>
    <row r="6">
      <c r="A6" s="1" t="s">
        <v>2635</v>
      </c>
      <c r="B6" s="14">
        <f t="shared" si="1"/>
        <v>5</v>
      </c>
      <c r="C6" s="10" t="s">
        <v>2631</v>
      </c>
      <c r="D6" s="10">
        <v>4.0</v>
      </c>
      <c r="E6" s="10">
        <v>3.0</v>
      </c>
      <c r="F6" s="10">
        <v>2.0</v>
      </c>
      <c r="G6" s="10">
        <v>0.0</v>
      </c>
      <c r="H6" s="10">
        <v>0.0</v>
      </c>
      <c r="I6" s="10">
        <v>0.0</v>
      </c>
      <c r="J6" s="10">
        <v>0.0</v>
      </c>
      <c r="K6" s="10">
        <v>0.0</v>
      </c>
      <c r="L6" s="7">
        <v>0.0</v>
      </c>
      <c r="N6" s="14">
        <f t="shared" si="2"/>
        <v>5</v>
      </c>
      <c r="O6" s="10">
        <v>4.0</v>
      </c>
      <c r="P6" s="10">
        <v>8.0</v>
      </c>
      <c r="Q6" s="10">
        <v>4.0</v>
      </c>
      <c r="R6" s="10">
        <v>4.0</v>
      </c>
      <c r="S6" s="10">
        <v>4.0</v>
      </c>
      <c r="T6" s="10">
        <v>6.0</v>
      </c>
      <c r="U6" s="7">
        <v>6.0</v>
      </c>
      <c r="W6" s="14">
        <f t="shared" si="3"/>
        <v>5</v>
      </c>
      <c r="X6" s="10">
        <v>2.0</v>
      </c>
      <c r="Y6" s="10">
        <v>3.0</v>
      </c>
      <c r="Z6" s="10">
        <v>4.0</v>
      </c>
      <c r="AA6" s="10">
        <v>3.0</v>
      </c>
      <c r="AB6" s="10">
        <v>2.0</v>
      </c>
      <c r="AC6" s="10">
        <v>3.0</v>
      </c>
      <c r="AD6" s="10">
        <v>5.0</v>
      </c>
      <c r="AE6" s="10">
        <v>3.0</v>
      </c>
      <c r="AF6" s="7">
        <v>4.0</v>
      </c>
    </row>
    <row r="7">
      <c r="A7" s="1" t="s">
        <v>2636</v>
      </c>
      <c r="B7" s="14">
        <f t="shared" si="1"/>
        <v>6</v>
      </c>
      <c r="C7" s="10" t="s">
        <v>2631</v>
      </c>
      <c r="D7" s="10">
        <v>4.0</v>
      </c>
      <c r="E7" s="10">
        <v>3.0</v>
      </c>
      <c r="F7" s="10">
        <v>3.0</v>
      </c>
      <c r="G7" s="10">
        <v>0.0</v>
      </c>
      <c r="H7" s="10">
        <v>0.0</v>
      </c>
      <c r="I7" s="10">
        <v>0.0</v>
      </c>
      <c r="J7" s="10">
        <v>0.0</v>
      </c>
      <c r="K7" s="10">
        <v>0.0</v>
      </c>
      <c r="L7" s="7">
        <v>0.0</v>
      </c>
      <c r="N7" s="14">
        <f t="shared" si="2"/>
        <v>6</v>
      </c>
      <c r="O7" s="10">
        <v>6.0</v>
      </c>
      <c r="P7" s="10">
        <v>9.0</v>
      </c>
      <c r="Q7" s="10">
        <v>4.0</v>
      </c>
      <c r="R7" s="10">
        <v>4.0</v>
      </c>
      <c r="S7" s="10">
        <v>4.0</v>
      </c>
      <c r="T7" s="10">
        <v>7.0</v>
      </c>
      <c r="U7" s="7">
        <v>7.0</v>
      </c>
      <c r="W7" s="14">
        <f t="shared" si="3"/>
        <v>6</v>
      </c>
      <c r="X7" s="10">
        <v>2.0</v>
      </c>
      <c r="Y7" s="10">
        <v>3.0</v>
      </c>
      <c r="Z7" s="10">
        <v>4.0</v>
      </c>
      <c r="AA7" s="10">
        <v>3.0</v>
      </c>
      <c r="AB7" s="10">
        <v>2.0</v>
      </c>
      <c r="AC7" s="10">
        <v>3.0</v>
      </c>
      <c r="AD7" s="10">
        <v>5.0</v>
      </c>
      <c r="AE7" s="10">
        <v>3.0</v>
      </c>
      <c r="AF7" s="7">
        <v>4.0</v>
      </c>
    </row>
    <row r="8">
      <c r="A8" s="1" t="s">
        <v>2637</v>
      </c>
      <c r="B8" s="14">
        <f t="shared" si="1"/>
        <v>7</v>
      </c>
      <c r="C8" s="10" t="s">
        <v>2631</v>
      </c>
      <c r="D8" s="10">
        <v>4.0</v>
      </c>
      <c r="E8" s="10">
        <v>3.0</v>
      </c>
      <c r="F8" s="10">
        <v>3.0</v>
      </c>
      <c r="G8" s="10">
        <v>1.0</v>
      </c>
      <c r="H8" s="10">
        <v>0.0</v>
      </c>
      <c r="I8" s="10">
        <v>0.0</v>
      </c>
      <c r="J8" s="10">
        <v>0.0</v>
      </c>
      <c r="K8" s="10">
        <v>0.0</v>
      </c>
      <c r="L8" s="7">
        <v>0.0</v>
      </c>
      <c r="N8" s="14">
        <f t="shared" si="2"/>
        <v>7</v>
      </c>
      <c r="O8" s="10">
        <v>6.0</v>
      </c>
      <c r="P8" s="10">
        <v>10.0</v>
      </c>
      <c r="Q8" s="10">
        <v>5.0</v>
      </c>
      <c r="R8" s="10">
        <v>5.0</v>
      </c>
      <c r="S8" s="10">
        <v>5.0</v>
      </c>
      <c r="T8" s="10">
        <v>8.0</v>
      </c>
      <c r="U8" s="7">
        <v>8.0</v>
      </c>
      <c r="W8" s="14">
        <f t="shared" si="3"/>
        <v>7</v>
      </c>
      <c r="X8" s="10">
        <v>2.0</v>
      </c>
      <c r="Y8" s="10">
        <v>3.0</v>
      </c>
      <c r="Z8" s="10">
        <v>4.0</v>
      </c>
      <c r="AA8" s="10">
        <v>3.0</v>
      </c>
      <c r="AB8" s="10">
        <v>2.0</v>
      </c>
      <c r="AC8" s="10">
        <v>3.0</v>
      </c>
      <c r="AD8" s="10">
        <v>5.0</v>
      </c>
      <c r="AE8" s="10">
        <v>3.0</v>
      </c>
      <c r="AF8" s="7">
        <v>4.0</v>
      </c>
    </row>
    <row r="9">
      <c r="A9" s="1" t="s">
        <v>2638</v>
      </c>
      <c r="B9" s="14">
        <f t="shared" si="1"/>
        <v>8</v>
      </c>
      <c r="C9" s="10" t="s">
        <v>2631</v>
      </c>
      <c r="D9" s="10">
        <v>4.0</v>
      </c>
      <c r="E9" s="10">
        <v>3.0</v>
      </c>
      <c r="F9" s="10">
        <v>3.0</v>
      </c>
      <c r="G9" s="10">
        <v>2.0</v>
      </c>
      <c r="H9" s="10">
        <v>0.0</v>
      </c>
      <c r="I9" s="10">
        <v>0.0</v>
      </c>
      <c r="J9" s="10">
        <v>0.0</v>
      </c>
      <c r="K9" s="10">
        <v>0.0</v>
      </c>
      <c r="L9" s="7">
        <v>0.0</v>
      </c>
      <c r="N9" s="14">
        <f t="shared" si="2"/>
        <v>8</v>
      </c>
      <c r="O9" s="10">
        <v>6.0</v>
      </c>
      <c r="P9" s="10">
        <v>11.0</v>
      </c>
      <c r="Q9" s="10">
        <v>6.0</v>
      </c>
      <c r="R9" s="10">
        <v>5.0</v>
      </c>
      <c r="S9" s="10">
        <v>6.0</v>
      </c>
      <c r="T9" s="10">
        <v>9.0</v>
      </c>
      <c r="U9" s="7">
        <v>9.0</v>
      </c>
      <c r="W9" s="14">
        <f t="shared" si="3"/>
        <v>8</v>
      </c>
      <c r="X9" s="10">
        <v>2.0</v>
      </c>
      <c r="Y9" s="10">
        <v>3.0</v>
      </c>
      <c r="Z9" s="10">
        <v>4.0</v>
      </c>
      <c r="AA9" s="10">
        <v>3.0</v>
      </c>
      <c r="AB9" s="10">
        <v>2.0</v>
      </c>
      <c r="AC9" s="10">
        <v>3.0</v>
      </c>
      <c r="AD9" s="10">
        <v>5.0</v>
      </c>
      <c r="AE9" s="10">
        <v>3.0</v>
      </c>
      <c r="AF9" s="7">
        <v>4.0</v>
      </c>
    </row>
    <row r="10">
      <c r="A10" s="1" t="s">
        <v>2639</v>
      </c>
      <c r="B10" s="14">
        <f t="shared" si="1"/>
        <v>9</v>
      </c>
      <c r="C10" s="10" t="s">
        <v>2631</v>
      </c>
      <c r="D10" s="10">
        <v>4.0</v>
      </c>
      <c r="E10" s="10">
        <v>3.0</v>
      </c>
      <c r="F10" s="10">
        <v>3.0</v>
      </c>
      <c r="G10" s="10">
        <v>3.0</v>
      </c>
      <c r="H10" s="10">
        <v>1.0</v>
      </c>
      <c r="I10" s="10">
        <v>0.0</v>
      </c>
      <c r="J10" s="10">
        <v>0.0</v>
      </c>
      <c r="K10" s="10">
        <v>0.0</v>
      </c>
      <c r="L10" s="7">
        <v>0.0</v>
      </c>
      <c r="N10" s="14">
        <f t="shared" si="2"/>
        <v>9</v>
      </c>
      <c r="O10" s="10">
        <v>6.0</v>
      </c>
      <c r="P10" s="10">
        <v>12.0</v>
      </c>
      <c r="Q10" s="10">
        <v>6.0</v>
      </c>
      <c r="R10" s="10">
        <v>6.0</v>
      </c>
      <c r="S10" s="10">
        <v>6.0</v>
      </c>
      <c r="T10" s="10">
        <v>10.0</v>
      </c>
      <c r="U10" s="7">
        <v>10.0</v>
      </c>
      <c r="W10" s="14">
        <f t="shared" si="3"/>
        <v>9</v>
      </c>
      <c r="X10" s="10">
        <v>2.0</v>
      </c>
      <c r="Y10" s="10">
        <v>3.0</v>
      </c>
      <c r="Z10" s="10">
        <v>4.0</v>
      </c>
      <c r="AA10" s="10">
        <v>3.0</v>
      </c>
      <c r="AB10" s="10">
        <v>2.0</v>
      </c>
      <c r="AC10" s="10">
        <v>3.0</v>
      </c>
      <c r="AD10" s="10">
        <v>5.0</v>
      </c>
      <c r="AE10" s="10">
        <v>3.0</v>
      </c>
      <c r="AF10" s="7">
        <v>4.0</v>
      </c>
    </row>
    <row r="11">
      <c r="A11" s="1" t="s">
        <v>2640</v>
      </c>
      <c r="B11" s="14">
        <f t="shared" si="1"/>
        <v>10</v>
      </c>
      <c r="C11" s="10" t="s">
        <v>2631</v>
      </c>
      <c r="D11" s="10">
        <v>4.0</v>
      </c>
      <c r="E11" s="10">
        <v>3.0</v>
      </c>
      <c r="F11" s="10">
        <v>3.0</v>
      </c>
      <c r="G11" s="10">
        <v>3.0</v>
      </c>
      <c r="H11" s="10">
        <v>2.0</v>
      </c>
      <c r="I11" s="10">
        <v>0.0</v>
      </c>
      <c r="J11" s="10">
        <v>0.0</v>
      </c>
      <c r="K11" s="10">
        <v>0.0</v>
      </c>
      <c r="L11" s="7">
        <v>0.0</v>
      </c>
      <c r="N11" s="14">
        <f t="shared" si="2"/>
        <v>10</v>
      </c>
      <c r="O11" s="10">
        <v>8.0</v>
      </c>
      <c r="P11" s="10">
        <v>14.0</v>
      </c>
      <c r="Q11" s="10">
        <v>7.0</v>
      </c>
      <c r="R11" s="10">
        <v>6.0</v>
      </c>
      <c r="S11" s="10">
        <v>7.0</v>
      </c>
      <c r="T11" s="10">
        <v>11.0</v>
      </c>
      <c r="U11" s="7">
        <v>10.0</v>
      </c>
      <c r="W11" s="14">
        <f t="shared" si="3"/>
        <v>10</v>
      </c>
      <c r="X11" s="10">
        <v>3.0</v>
      </c>
      <c r="Y11" s="10">
        <v>4.0</v>
      </c>
      <c r="Z11" s="10">
        <v>5.0</v>
      </c>
      <c r="AA11" s="10">
        <v>4.0</v>
      </c>
      <c r="AB11" s="10">
        <v>3.0</v>
      </c>
      <c r="AC11" s="10">
        <v>4.0</v>
      </c>
      <c r="AD11" s="10">
        <v>6.0</v>
      </c>
      <c r="AE11" s="10">
        <v>4.0</v>
      </c>
      <c r="AF11" s="7">
        <v>5.0</v>
      </c>
    </row>
    <row r="12">
      <c r="A12" s="1" t="s">
        <v>2641</v>
      </c>
      <c r="B12" s="14">
        <f t="shared" si="1"/>
        <v>11</v>
      </c>
      <c r="C12" s="10" t="s">
        <v>2631</v>
      </c>
      <c r="D12" s="10">
        <v>4.0</v>
      </c>
      <c r="E12" s="10">
        <v>3.0</v>
      </c>
      <c r="F12" s="10">
        <v>3.0</v>
      </c>
      <c r="G12" s="10">
        <v>3.0</v>
      </c>
      <c r="H12" s="10">
        <v>2.0</v>
      </c>
      <c r="I12" s="10">
        <v>1.0</v>
      </c>
      <c r="J12" s="10">
        <v>0.0</v>
      </c>
      <c r="K12" s="10">
        <v>0.0</v>
      </c>
      <c r="L12" s="7">
        <v>0.0</v>
      </c>
      <c r="N12" s="14">
        <f t="shared" si="2"/>
        <v>11</v>
      </c>
      <c r="O12" s="10">
        <v>8.0</v>
      </c>
      <c r="P12" s="10">
        <v>15.0</v>
      </c>
      <c r="Q12" s="10">
        <v>8.0</v>
      </c>
      <c r="R12" s="10">
        <v>7.0</v>
      </c>
      <c r="S12" s="10">
        <v>8.0</v>
      </c>
      <c r="T12" s="10">
        <v>12.0</v>
      </c>
      <c r="U12" s="7">
        <v>11.0</v>
      </c>
      <c r="W12" s="14">
        <f t="shared" si="3"/>
        <v>11</v>
      </c>
      <c r="X12" s="10">
        <v>3.0</v>
      </c>
      <c r="Y12" s="10">
        <v>4.0</v>
      </c>
      <c r="Z12" s="10">
        <v>5.0</v>
      </c>
      <c r="AA12" s="10">
        <v>4.0</v>
      </c>
      <c r="AB12" s="10">
        <v>3.0</v>
      </c>
      <c r="AC12" s="10">
        <v>4.0</v>
      </c>
      <c r="AD12" s="10">
        <v>6.0</v>
      </c>
      <c r="AE12" s="10">
        <v>4.0</v>
      </c>
      <c r="AF12" s="7">
        <v>5.0</v>
      </c>
    </row>
    <row r="13">
      <c r="A13" s="1" t="s">
        <v>2642</v>
      </c>
      <c r="B13" s="14">
        <f t="shared" si="1"/>
        <v>12</v>
      </c>
      <c r="C13" s="10" t="s">
        <v>2631</v>
      </c>
      <c r="D13" s="10">
        <v>4.0</v>
      </c>
      <c r="E13" s="10">
        <v>3.0</v>
      </c>
      <c r="F13" s="10">
        <v>3.0</v>
      </c>
      <c r="G13" s="10">
        <v>3.0</v>
      </c>
      <c r="H13" s="10">
        <v>2.0</v>
      </c>
      <c r="I13" s="10">
        <v>1.0</v>
      </c>
      <c r="J13" s="10">
        <v>0.0</v>
      </c>
      <c r="K13" s="10">
        <v>0.0</v>
      </c>
      <c r="L13" s="7">
        <v>0.0</v>
      </c>
      <c r="N13" s="14">
        <f t="shared" si="2"/>
        <v>12</v>
      </c>
      <c r="O13" s="10">
        <v>8.0</v>
      </c>
      <c r="P13" s="10">
        <v>15.0</v>
      </c>
      <c r="Q13" s="10">
        <v>8.0</v>
      </c>
      <c r="R13" s="10">
        <v>7.0</v>
      </c>
      <c r="S13" s="10">
        <v>8.0</v>
      </c>
      <c r="T13" s="10">
        <v>12.0</v>
      </c>
      <c r="U13" s="7">
        <v>11.0</v>
      </c>
      <c r="W13" s="14">
        <f t="shared" si="3"/>
        <v>12</v>
      </c>
      <c r="X13" s="10">
        <v>3.0</v>
      </c>
      <c r="Y13" s="10">
        <v>4.0</v>
      </c>
      <c r="Z13" s="10">
        <v>5.0</v>
      </c>
      <c r="AA13" s="10">
        <v>4.0</v>
      </c>
      <c r="AB13" s="10">
        <v>3.0</v>
      </c>
      <c r="AC13" s="10">
        <v>4.0</v>
      </c>
      <c r="AD13" s="10">
        <v>6.0</v>
      </c>
      <c r="AE13" s="10">
        <v>4.0</v>
      </c>
      <c r="AF13" s="7">
        <v>5.0</v>
      </c>
    </row>
    <row r="14">
      <c r="A14" s="1" t="s">
        <v>2643</v>
      </c>
      <c r="B14" s="14">
        <f t="shared" si="1"/>
        <v>13</v>
      </c>
      <c r="C14" s="10" t="s">
        <v>2631</v>
      </c>
      <c r="D14" s="10">
        <v>4.0</v>
      </c>
      <c r="E14" s="10">
        <v>3.0</v>
      </c>
      <c r="F14" s="10">
        <v>3.0</v>
      </c>
      <c r="G14" s="10">
        <v>3.0</v>
      </c>
      <c r="H14" s="10">
        <v>2.0</v>
      </c>
      <c r="I14" s="10">
        <v>1.0</v>
      </c>
      <c r="J14" s="10">
        <v>1.0</v>
      </c>
      <c r="K14" s="10">
        <v>0.0</v>
      </c>
      <c r="L14" s="7">
        <v>0.0</v>
      </c>
      <c r="N14" s="14">
        <f t="shared" si="2"/>
        <v>13</v>
      </c>
      <c r="O14" s="10">
        <v>8.0</v>
      </c>
      <c r="P14" s="10">
        <v>16.0</v>
      </c>
      <c r="Q14" s="10">
        <v>9.0</v>
      </c>
      <c r="R14" s="10">
        <v>8.0</v>
      </c>
      <c r="S14" s="10">
        <v>9.0</v>
      </c>
      <c r="T14" s="10">
        <v>13.0</v>
      </c>
      <c r="U14" s="7">
        <v>12.0</v>
      </c>
      <c r="W14" s="14">
        <f t="shared" si="3"/>
        <v>13</v>
      </c>
      <c r="X14" s="10">
        <v>3.0</v>
      </c>
      <c r="Y14" s="10">
        <v>4.0</v>
      </c>
      <c r="Z14" s="10">
        <v>5.0</v>
      </c>
      <c r="AA14" s="10">
        <v>4.0</v>
      </c>
      <c r="AB14" s="10">
        <v>3.0</v>
      </c>
      <c r="AC14" s="10">
        <v>4.0</v>
      </c>
      <c r="AD14" s="10">
        <v>6.0</v>
      </c>
      <c r="AE14" s="10">
        <v>4.0</v>
      </c>
      <c r="AF14" s="7">
        <v>5.0</v>
      </c>
    </row>
    <row r="15">
      <c r="A15" s="1" t="s">
        <v>2644</v>
      </c>
      <c r="B15" s="14">
        <f t="shared" si="1"/>
        <v>14</v>
      </c>
      <c r="C15" s="10" t="s">
        <v>2631</v>
      </c>
      <c r="D15" s="10">
        <v>4.0</v>
      </c>
      <c r="E15" s="10">
        <v>3.0</v>
      </c>
      <c r="F15" s="10">
        <v>3.0</v>
      </c>
      <c r="G15" s="10">
        <v>3.0</v>
      </c>
      <c r="H15" s="10">
        <v>2.0</v>
      </c>
      <c r="I15" s="10">
        <v>1.0</v>
      </c>
      <c r="J15" s="10">
        <v>1.0</v>
      </c>
      <c r="K15" s="10">
        <v>0.0</v>
      </c>
      <c r="L15" s="7">
        <v>0.0</v>
      </c>
      <c r="N15" s="14">
        <f t="shared" si="2"/>
        <v>14</v>
      </c>
      <c r="O15" s="10">
        <v>10.0</v>
      </c>
      <c r="P15" s="10">
        <v>18.0</v>
      </c>
      <c r="Q15" s="10">
        <v>10.0</v>
      </c>
      <c r="R15" s="10">
        <v>8.0</v>
      </c>
      <c r="S15" s="10">
        <v>10.0</v>
      </c>
      <c r="T15" s="10">
        <v>13.0</v>
      </c>
      <c r="U15" s="7">
        <v>12.0</v>
      </c>
      <c r="W15" s="14">
        <f t="shared" si="3"/>
        <v>14</v>
      </c>
      <c r="X15" s="10">
        <v>4.0</v>
      </c>
      <c r="Y15" s="10">
        <v>4.0</v>
      </c>
      <c r="Z15" s="10">
        <v>5.0</v>
      </c>
      <c r="AA15" s="10">
        <v>4.0</v>
      </c>
      <c r="AB15" s="10">
        <v>3.0</v>
      </c>
      <c r="AC15" s="10">
        <v>4.0</v>
      </c>
      <c r="AD15" s="10">
        <v>6.0</v>
      </c>
      <c r="AE15" s="10">
        <v>4.0</v>
      </c>
      <c r="AF15" s="7">
        <v>5.0</v>
      </c>
    </row>
    <row r="16">
      <c r="A16" s="1" t="s">
        <v>2645</v>
      </c>
      <c r="B16" s="14">
        <f t="shared" si="1"/>
        <v>15</v>
      </c>
      <c r="C16" s="10" t="s">
        <v>2631</v>
      </c>
      <c r="D16" s="10">
        <v>4.0</v>
      </c>
      <c r="E16" s="10">
        <v>3.0</v>
      </c>
      <c r="F16" s="10">
        <v>3.0</v>
      </c>
      <c r="G16" s="10">
        <v>3.0</v>
      </c>
      <c r="H16" s="10">
        <v>2.0</v>
      </c>
      <c r="I16" s="10">
        <v>1.0</v>
      </c>
      <c r="J16" s="10">
        <v>1.0</v>
      </c>
      <c r="K16" s="10">
        <v>1.0</v>
      </c>
      <c r="L16" s="7">
        <v>0.0</v>
      </c>
      <c r="N16" s="14">
        <f t="shared" si="2"/>
        <v>15</v>
      </c>
      <c r="O16" s="10">
        <v>10.0</v>
      </c>
      <c r="P16" s="10">
        <v>19.0</v>
      </c>
      <c r="Q16" s="10">
        <v>10.0</v>
      </c>
      <c r="R16" s="10">
        <v>9.0</v>
      </c>
      <c r="S16" s="10">
        <v>10.0</v>
      </c>
      <c r="T16" s="10">
        <v>14.0</v>
      </c>
      <c r="U16" s="7">
        <v>13.0</v>
      </c>
      <c r="W16" s="14">
        <f t="shared" si="3"/>
        <v>15</v>
      </c>
      <c r="X16" s="10">
        <v>4.0</v>
      </c>
      <c r="Y16" s="10">
        <v>4.0</v>
      </c>
      <c r="Z16" s="10">
        <v>5.0</v>
      </c>
      <c r="AA16" s="10">
        <v>4.0</v>
      </c>
      <c r="AB16" s="10">
        <v>3.0</v>
      </c>
      <c r="AC16" s="10">
        <v>4.0</v>
      </c>
      <c r="AD16" s="10">
        <v>6.0</v>
      </c>
      <c r="AE16" s="10">
        <v>4.0</v>
      </c>
      <c r="AF16" s="7">
        <v>5.0</v>
      </c>
    </row>
    <row r="17">
      <c r="A17" s="1" t="s">
        <v>2646</v>
      </c>
      <c r="B17" s="14">
        <f t="shared" si="1"/>
        <v>16</v>
      </c>
      <c r="C17" s="10" t="s">
        <v>2631</v>
      </c>
      <c r="D17" s="10">
        <v>4.0</v>
      </c>
      <c r="E17" s="10">
        <v>3.0</v>
      </c>
      <c r="F17" s="10">
        <v>3.0</v>
      </c>
      <c r="G17" s="10">
        <v>3.0</v>
      </c>
      <c r="H17" s="10">
        <v>2.0</v>
      </c>
      <c r="I17" s="10">
        <v>1.0</v>
      </c>
      <c r="J17" s="10">
        <v>1.0</v>
      </c>
      <c r="K17" s="10">
        <v>1.0</v>
      </c>
      <c r="L17" s="7">
        <v>0.0</v>
      </c>
      <c r="N17" s="14">
        <f t="shared" si="2"/>
        <v>16</v>
      </c>
      <c r="O17" s="10">
        <v>10.0</v>
      </c>
      <c r="P17" s="10">
        <v>19.0</v>
      </c>
      <c r="Q17" s="10">
        <v>11.0</v>
      </c>
      <c r="R17" s="10">
        <v>9.0</v>
      </c>
      <c r="S17" s="10">
        <v>11.0</v>
      </c>
      <c r="T17" s="10">
        <v>14.0</v>
      </c>
      <c r="U17" s="7">
        <v>13.0</v>
      </c>
      <c r="W17" s="14">
        <f t="shared" si="3"/>
        <v>16</v>
      </c>
      <c r="X17" s="10">
        <v>4.0</v>
      </c>
      <c r="Y17" s="10">
        <v>4.0</v>
      </c>
      <c r="Z17" s="10">
        <v>5.0</v>
      </c>
      <c r="AA17" s="10">
        <v>4.0</v>
      </c>
      <c r="AB17" s="10">
        <v>3.0</v>
      </c>
      <c r="AC17" s="10">
        <v>4.0</v>
      </c>
      <c r="AD17" s="10">
        <v>6.0</v>
      </c>
      <c r="AE17" s="10">
        <v>4.0</v>
      </c>
      <c r="AF17" s="7">
        <v>5.0</v>
      </c>
    </row>
    <row r="18">
      <c r="A18" s="1" t="s">
        <v>2647</v>
      </c>
      <c r="B18" s="14">
        <f t="shared" si="1"/>
        <v>17</v>
      </c>
      <c r="C18" s="10" t="s">
        <v>2631</v>
      </c>
      <c r="D18" s="10">
        <v>4.0</v>
      </c>
      <c r="E18" s="10">
        <v>3.0</v>
      </c>
      <c r="F18" s="10">
        <v>3.0</v>
      </c>
      <c r="G18" s="10">
        <v>3.0</v>
      </c>
      <c r="H18" s="10">
        <v>2.0</v>
      </c>
      <c r="I18" s="10">
        <v>1.0</v>
      </c>
      <c r="J18" s="10">
        <v>1.0</v>
      </c>
      <c r="K18" s="10">
        <v>1.0</v>
      </c>
      <c r="L18" s="7">
        <v>1.0</v>
      </c>
      <c r="N18" s="14">
        <f t="shared" si="2"/>
        <v>17</v>
      </c>
      <c r="O18" s="10">
        <v>10.0</v>
      </c>
      <c r="P18" s="10">
        <v>20.0</v>
      </c>
      <c r="Q18" s="10">
        <v>11.0</v>
      </c>
      <c r="R18" s="10">
        <v>10.0</v>
      </c>
      <c r="S18" s="10">
        <v>11.0</v>
      </c>
      <c r="T18" s="10">
        <v>15.0</v>
      </c>
      <c r="U18" s="7">
        <v>14.0</v>
      </c>
      <c r="W18" s="14">
        <f t="shared" si="3"/>
        <v>17</v>
      </c>
      <c r="X18" s="10">
        <v>4.0</v>
      </c>
      <c r="Y18" s="10">
        <v>4.0</v>
      </c>
      <c r="Z18" s="10">
        <v>5.0</v>
      </c>
      <c r="AA18" s="10">
        <v>4.0</v>
      </c>
      <c r="AB18" s="10">
        <v>3.0</v>
      </c>
      <c r="AC18" s="10">
        <v>4.0</v>
      </c>
      <c r="AD18" s="10">
        <v>6.0</v>
      </c>
      <c r="AE18" s="10">
        <v>4.0</v>
      </c>
      <c r="AF18" s="7">
        <v>5.0</v>
      </c>
    </row>
    <row r="19">
      <c r="A19" s="1" t="s">
        <v>2648</v>
      </c>
      <c r="B19" s="14">
        <f t="shared" si="1"/>
        <v>18</v>
      </c>
      <c r="C19" s="10" t="s">
        <v>2631</v>
      </c>
      <c r="D19" s="10">
        <v>4.0</v>
      </c>
      <c r="E19" s="10">
        <v>3.0</v>
      </c>
      <c r="F19" s="10">
        <v>3.0</v>
      </c>
      <c r="G19" s="10">
        <v>3.0</v>
      </c>
      <c r="H19" s="10">
        <v>2.0</v>
      </c>
      <c r="I19" s="10">
        <v>1.0</v>
      </c>
      <c r="J19" s="10">
        <v>1.0</v>
      </c>
      <c r="K19" s="10">
        <v>1.0</v>
      </c>
      <c r="L19" s="7">
        <v>1.0</v>
      </c>
      <c r="N19" s="14">
        <f t="shared" si="2"/>
        <v>18</v>
      </c>
      <c r="O19" s="10">
        <v>12.0</v>
      </c>
      <c r="P19" s="10">
        <v>22.0</v>
      </c>
      <c r="Q19" s="10">
        <v>11.0</v>
      </c>
      <c r="R19" s="10">
        <v>10.0</v>
      </c>
      <c r="S19" s="10">
        <v>11.0</v>
      </c>
      <c r="T19" s="10">
        <v>15.0</v>
      </c>
      <c r="U19" s="7">
        <v>14.0</v>
      </c>
      <c r="W19" s="14">
        <f t="shared" si="3"/>
        <v>18</v>
      </c>
      <c r="X19" s="10">
        <v>4.0</v>
      </c>
      <c r="Y19" s="10">
        <v>4.0</v>
      </c>
      <c r="Z19" s="10">
        <v>5.0</v>
      </c>
      <c r="AA19" s="10">
        <v>4.0</v>
      </c>
      <c r="AB19" s="10">
        <v>3.0</v>
      </c>
      <c r="AC19" s="10">
        <v>4.0</v>
      </c>
      <c r="AD19" s="10">
        <v>6.0</v>
      </c>
      <c r="AE19" s="10">
        <v>4.0</v>
      </c>
      <c r="AF19" s="7">
        <v>5.0</v>
      </c>
    </row>
    <row r="20">
      <c r="A20" s="1" t="s">
        <v>2649</v>
      </c>
      <c r="B20" s="14">
        <f t="shared" si="1"/>
        <v>19</v>
      </c>
      <c r="C20" s="10" t="s">
        <v>2631</v>
      </c>
      <c r="D20" s="10">
        <v>4.0</v>
      </c>
      <c r="E20" s="10">
        <v>3.0</v>
      </c>
      <c r="F20" s="10">
        <v>3.0</v>
      </c>
      <c r="G20" s="10">
        <v>3.0</v>
      </c>
      <c r="H20" s="10">
        <v>2.0</v>
      </c>
      <c r="I20" s="10">
        <v>1.0</v>
      </c>
      <c r="J20" s="10">
        <v>1.0</v>
      </c>
      <c r="K20" s="10">
        <v>1.0</v>
      </c>
      <c r="L20" s="7">
        <v>1.0</v>
      </c>
      <c r="N20" s="14">
        <f t="shared" si="2"/>
        <v>19</v>
      </c>
      <c r="O20" s="10">
        <v>12.0</v>
      </c>
      <c r="P20" s="10">
        <v>22.0</v>
      </c>
      <c r="Q20" s="10">
        <v>12.0</v>
      </c>
      <c r="R20" s="10">
        <v>11.0</v>
      </c>
      <c r="S20" s="10">
        <v>12.0</v>
      </c>
      <c r="T20" s="10">
        <v>15.0</v>
      </c>
      <c r="U20" s="7">
        <v>15.0</v>
      </c>
      <c r="W20" s="14">
        <f t="shared" si="3"/>
        <v>19</v>
      </c>
      <c r="X20" s="10">
        <v>4.0</v>
      </c>
      <c r="Y20" s="10">
        <v>4.0</v>
      </c>
      <c r="Z20" s="10">
        <v>5.0</v>
      </c>
      <c r="AA20" s="10">
        <v>4.0</v>
      </c>
      <c r="AB20" s="10">
        <v>3.0</v>
      </c>
      <c r="AC20" s="10">
        <v>4.0</v>
      </c>
      <c r="AD20" s="10">
        <v>6.0</v>
      </c>
      <c r="AE20" s="10">
        <v>4.0</v>
      </c>
      <c r="AF20" s="7">
        <v>5.0</v>
      </c>
    </row>
    <row r="21">
      <c r="A21" s="1" t="s">
        <v>2650</v>
      </c>
      <c r="B21" s="27">
        <f t="shared" si="1"/>
        <v>20</v>
      </c>
      <c r="C21" s="10" t="s">
        <v>2631</v>
      </c>
      <c r="D21" s="25">
        <v>4.0</v>
      </c>
      <c r="E21" s="25">
        <v>3.0</v>
      </c>
      <c r="F21" s="25">
        <v>3.0</v>
      </c>
      <c r="G21" s="25">
        <v>3.0</v>
      </c>
      <c r="H21" s="25">
        <v>2.0</v>
      </c>
      <c r="I21" s="25">
        <v>1.0</v>
      </c>
      <c r="J21" s="25">
        <v>1.0</v>
      </c>
      <c r="K21" s="25">
        <v>1.0</v>
      </c>
      <c r="L21" s="26">
        <v>1.0</v>
      </c>
      <c r="N21" s="27">
        <f t="shared" si="2"/>
        <v>20</v>
      </c>
      <c r="O21" s="25">
        <v>12.0</v>
      </c>
      <c r="P21" s="25">
        <v>22.0</v>
      </c>
      <c r="Q21" s="25">
        <v>13.0</v>
      </c>
      <c r="R21" s="25">
        <v>11.0</v>
      </c>
      <c r="S21" s="25">
        <v>13.0</v>
      </c>
      <c r="T21" s="25">
        <v>15.0</v>
      </c>
      <c r="U21" s="26">
        <v>15.0</v>
      </c>
      <c r="W21" s="27">
        <f t="shared" si="3"/>
        <v>20</v>
      </c>
      <c r="X21" s="25">
        <v>4.0</v>
      </c>
      <c r="Y21" s="25">
        <v>4.0</v>
      </c>
      <c r="Z21" s="25">
        <v>5.0</v>
      </c>
      <c r="AA21" s="25">
        <v>4.0</v>
      </c>
      <c r="AB21" s="25">
        <v>3.0</v>
      </c>
      <c r="AC21" s="25">
        <v>4.0</v>
      </c>
      <c r="AD21" s="25">
        <v>6.0</v>
      </c>
      <c r="AE21" s="25">
        <v>4.0</v>
      </c>
      <c r="AF21" s="26">
        <v>5.0</v>
      </c>
    </row>
    <row r="22">
      <c r="B22" s="30"/>
      <c r="C22" s="3"/>
      <c r="D22" s="3"/>
      <c r="E22" s="264"/>
      <c r="F22" s="264"/>
      <c r="G22" s="264"/>
      <c r="H22" s="264"/>
    </row>
    <row r="23">
      <c r="A23" s="1" t="s">
        <v>2651</v>
      </c>
      <c r="B23" s="6">
        <v>1.0</v>
      </c>
      <c r="C23" s="10" t="s">
        <v>2652</v>
      </c>
      <c r="D23" s="10">
        <v>0.0</v>
      </c>
      <c r="E23" s="10">
        <v>0.0</v>
      </c>
      <c r="F23" s="10">
        <v>0.0</v>
      </c>
      <c r="G23" s="10">
        <v>0.0</v>
      </c>
      <c r="H23" s="7">
        <v>0.0</v>
      </c>
      <c r="I23" s="10">
        <v>0.0</v>
      </c>
      <c r="J23" s="10">
        <v>0.0</v>
      </c>
      <c r="K23" s="10">
        <v>0.0</v>
      </c>
      <c r="L23" s="7">
        <v>0.0</v>
      </c>
    </row>
    <row r="24">
      <c r="A24" s="1" t="s">
        <v>2653</v>
      </c>
      <c r="B24" s="14">
        <f t="shared" ref="B24:B42" si="4">1+B23</f>
        <v>2</v>
      </c>
      <c r="C24" s="10" t="s">
        <v>2652</v>
      </c>
      <c r="D24" s="10">
        <v>2.0</v>
      </c>
      <c r="E24" s="10">
        <v>0.0</v>
      </c>
      <c r="F24" s="10">
        <v>0.0</v>
      </c>
      <c r="G24" s="10">
        <v>0.0</v>
      </c>
      <c r="H24" s="7">
        <v>0.0</v>
      </c>
      <c r="I24" s="10">
        <v>0.0</v>
      </c>
      <c r="J24" s="10">
        <v>0.0</v>
      </c>
      <c r="K24" s="10">
        <v>0.0</v>
      </c>
      <c r="L24" s="7">
        <v>0.0</v>
      </c>
    </row>
    <row r="25">
      <c r="A25" s="1" t="s">
        <v>2654</v>
      </c>
      <c r="B25" s="14">
        <f t="shared" si="4"/>
        <v>3</v>
      </c>
      <c r="C25" s="10" t="s">
        <v>2652</v>
      </c>
      <c r="D25" s="10">
        <v>3.0</v>
      </c>
      <c r="E25" s="10">
        <v>0.0</v>
      </c>
      <c r="F25" s="10">
        <v>0.0</v>
      </c>
      <c r="G25" s="10">
        <v>0.0</v>
      </c>
      <c r="H25" s="7">
        <v>0.0</v>
      </c>
      <c r="I25" s="10">
        <v>0.0</v>
      </c>
      <c r="J25" s="10">
        <v>0.0</v>
      </c>
      <c r="K25" s="10">
        <v>0.0</v>
      </c>
      <c r="L25" s="7">
        <v>0.0</v>
      </c>
    </row>
    <row r="26">
      <c r="A26" s="1" t="s">
        <v>2655</v>
      </c>
      <c r="B26" s="14">
        <f t="shared" si="4"/>
        <v>4</v>
      </c>
      <c r="C26" s="10" t="s">
        <v>2652</v>
      </c>
      <c r="D26" s="10">
        <v>3.0</v>
      </c>
      <c r="E26" s="10">
        <v>0.0</v>
      </c>
      <c r="F26" s="10">
        <v>0.0</v>
      </c>
      <c r="G26" s="10">
        <v>0.0</v>
      </c>
      <c r="H26" s="7">
        <v>0.0</v>
      </c>
      <c r="I26" s="10">
        <v>0.0</v>
      </c>
      <c r="J26" s="10">
        <v>0.0</v>
      </c>
      <c r="K26" s="10">
        <v>0.0</v>
      </c>
      <c r="L26" s="7">
        <v>0.0</v>
      </c>
    </row>
    <row r="27">
      <c r="A27" s="1" t="s">
        <v>2656</v>
      </c>
      <c r="B27" s="14">
        <f t="shared" si="4"/>
        <v>5</v>
      </c>
      <c r="C27" s="10" t="s">
        <v>2652</v>
      </c>
      <c r="D27" s="10">
        <v>4.0</v>
      </c>
      <c r="E27" s="10">
        <v>2.0</v>
      </c>
      <c r="F27" s="10">
        <v>0.0</v>
      </c>
      <c r="G27" s="10">
        <v>0.0</v>
      </c>
      <c r="H27" s="7">
        <v>0.0</v>
      </c>
      <c r="I27" s="10">
        <v>0.0</v>
      </c>
      <c r="J27" s="10">
        <v>0.0</v>
      </c>
      <c r="K27" s="10">
        <v>0.0</v>
      </c>
      <c r="L27" s="7">
        <v>0.0</v>
      </c>
    </row>
    <row r="28">
      <c r="A28" s="1" t="s">
        <v>2657</v>
      </c>
      <c r="B28" s="14">
        <f t="shared" si="4"/>
        <v>6</v>
      </c>
      <c r="C28" s="10" t="s">
        <v>2652</v>
      </c>
      <c r="D28" s="10">
        <v>4.0</v>
      </c>
      <c r="E28" s="10">
        <v>2.0</v>
      </c>
      <c r="F28" s="10">
        <v>0.0</v>
      </c>
      <c r="G28" s="10">
        <v>0.0</v>
      </c>
      <c r="H28" s="7">
        <v>0.0</v>
      </c>
      <c r="I28" s="10">
        <v>0.0</v>
      </c>
      <c r="J28" s="10">
        <v>0.0</v>
      </c>
      <c r="K28" s="10">
        <v>0.0</v>
      </c>
      <c r="L28" s="7">
        <v>0.0</v>
      </c>
    </row>
    <row r="29">
      <c r="A29" s="1" t="s">
        <v>2658</v>
      </c>
      <c r="B29" s="14">
        <f t="shared" si="4"/>
        <v>7</v>
      </c>
      <c r="C29" s="10" t="s">
        <v>2652</v>
      </c>
      <c r="D29" s="10">
        <v>4.0</v>
      </c>
      <c r="E29" s="10">
        <v>3.0</v>
      </c>
      <c r="F29" s="10">
        <v>0.0</v>
      </c>
      <c r="G29" s="10">
        <v>0.0</v>
      </c>
      <c r="H29" s="7">
        <v>0.0</v>
      </c>
      <c r="I29" s="10">
        <v>0.0</v>
      </c>
      <c r="J29" s="10">
        <v>0.0</v>
      </c>
      <c r="K29" s="10">
        <v>0.0</v>
      </c>
      <c r="L29" s="7">
        <v>0.0</v>
      </c>
    </row>
    <row r="30">
      <c r="A30" s="1" t="s">
        <v>2659</v>
      </c>
      <c r="B30" s="14">
        <f t="shared" si="4"/>
        <v>8</v>
      </c>
      <c r="C30" s="10" t="s">
        <v>2652</v>
      </c>
      <c r="D30" s="10">
        <v>4.0</v>
      </c>
      <c r="E30" s="10">
        <v>3.0</v>
      </c>
      <c r="F30" s="10">
        <v>0.0</v>
      </c>
      <c r="G30" s="10">
        <v>0.0</v>
      </c>
      <c r="H30" s="7">
        <v>0.0</v>
      </c>
      <c r="I30" s="10">
        <v>0.0</v>
      </c>
      <c r="J30" s="10">
        <v>0.0</v>
      </c>
      <c r="K30" s="10">
        <v>0.0</v>
      </c>
      <c r="L30" s="7">
        <v>0.0</v>
      </c>
    </row>
    <row r="31">
      <c r="A31" s="1" t="s">
        <v>2660</v>
      </c>
      <c r="B31" s="14">
        <f t="shared" si="4"/>
        <v>9</v>
      </c>
      <c r="C31" s="10" t="s">
        <v>2652</v>
      </c>
      <c r="D31" s="10">
        <v>4.0</v>
      </c>
      <c r="E31" s="10">
        <v>3.0</v>
      </c>
      <c r="F31" s="10">
        <v>2.0</v>
      </c>
      <c r="G31" s="10">
        <v>0.0</v>
      </c>
      <c r="H31" s="7">
        <v>0.0</v>
      </c>
      <c r="I31" s="10">
        <v>0.0</v>
      </c>
      <c r="J31" s="10">
        <v>0.0</v>
      </c>
      <c r="K31" s="10">
        <v>0.0</v>
      </c>
      <c r="L31" s="7">
        <v>0.0</v>
      </c>
    </row>
    <row r="32">
      <c r="A32" s="1" t="s">
        <v>2661</v>
      </c>
      <c r="B32" s="14">
        <f t="shared" si="4"/>
        <v>10</v>
      </c>
      <c r="C32" s="10" t="s">
        <v>2652</v>
      </c>
      <c r="D32" s="10">
        <v>4.0</v>
      </c>
      <c r="E32" s="10">
        <v>3.0</v>
      </c>
      <c r="F32" s="10">
        <v>2.0</v>
      </c>
      <c r="G32" s="10">
        <v>0.0</v>
      </c>
      <c r="H32" s="7">
        <v>0.0</v>
      </c>
      <c r="I32" s="10">
        <v>0.0</v>
      </c>
      <c r="J32" s="10">
        <v>0.0</v>
      </c>
      <c r="K32" s="10">
        <v>0.0</v>
      </c>
      <c r="L32" s="7">
        <v>0.0</v>
      </c>
    </row>
    <row r="33">
      <c r="A33" s="1" t="s">
        <v>2662</v>
      </c>
      <c r="B33" s="14">
        <f t="shared" si="4"/>
        <v>11</v>
      </c>
      <c r="C33" s="10" t="s">
        <v>2652</v>
      </c>
      <c r="D33" s="10">
        <v>4.0</v>
      </c>
      <c r="E33" s="10">
        <v>3.0</v>
      </c>
      <c r="F33" s="10">
        <v>3.0</v>
      </c>
      <c r="G33" s="10">
        <v>0.0</v>
      </c>
      <c r="H33" s="7">
        <v>0.0</v>
      </c>
      <c r="I33" s="10">
        <v>0.0</v>
      </c>
      <c r="J33" s="10">
        <v>0.0</v>
      </c>
      <c r="K33" s="10">
        <v>0.0</v>
      </c>
      <c r="L33" s="7">
        <v>0.0</v>
      </c>
    </row>
    <row r="34">
      <c r="A34" s="1" t="s">
        <v>2663</v>
      </c>
      <c r="B34" s="14">
        <f t="shared" si="4"/>
        <v>12</v>
      </c>
      <c r="C34" s="10" t="s">
        <v>2652</v>
      </c>
      <c r="D34" s="10">
        <v>4.0</v>
      </c>
      <c r="E34" s="10">
        <v>3.0</v>
      </c>
      <c r="F34" s="10">
        <v>3.0</v>
      </c>
      <c r="G34" s="10">
        <v>0.0</v>
      </c>
      <c r="H34" s="7">
        <v>0.0</v>
      </c>
      <c r="I34" s="10">
        <v>0.0</v>
      </c>
      <c r="J34" s="10">
        <v>0.0</v>
      </c>
      <c r="K34" s="10">
        <v>0.0</v>
      </c>
      <c r="L34" s="7">
        <v>0.0</v>
      </c>
    </row>
    <row r="35">
      <c r="A35" s="1" t="s">
        <v>2664</v>
      </c>
      <c r="B35" s="14">
        <f t="shared" si="4"/>
        <v>13</v>
      </c>
      <c r="C35" s="10" t="s">
        <v>2652</v>
      </c>
      <c r="D35" s="10">
        <v>4.0</v>
      </c>
      <c r="E35" s="10">
        <v>3.0</v>
      </c>
      <c r="F35" s="10">
        <v>3.0</v>
      </c>
      <c r="G35" s="10">
        <v>1.0</v>
      </c>
      <c r="H35" s="7">
        <v>0.0</v>
      </c>
      <c r="I35" s="10">
        <v>0.0</v>
      </c>
      <c r="J35" s="10">
        <v>0.0</v>
      </c>
      <c r="K35" s="10">
        <v>0.0</v>
      </c>
      <c r="L35" s="7">
        <v>0.0</v>
      </c>
    </row>
    <row r="36">
      <c r="A36" s="1" t="s">
        <v>2665</v>
      </c>
      <c r="B36" s="14">
        <f t="shared" si="4"/>
        <v>14</v>
      </c>
      <c r="C36" s="10" t="s">
        <v>2652</v>
      </c>
      <c r="D36" s="10">
        <v>4.0</v>
      </c>
      <c r="E36" s="10">
        <v>3.0</v>
      </c>
      <c r="F36" s="10">
        <v>3.0</v>
      </c>
      <c r="G36" s="10">
        <v>1.0</v>
      </c>
      <c r="H36" s="7">
        <v>0.0</v>
      </c>
      <c r="I36" s="10">
        <v>0.0</v>
      </c>
      <c r="J36" s="10">
        <v>0.0</v>
      </c>
      <c r="K36" s="10">
        <v>0.0</v>
      </c>
      <c r="L36" s="7">
        <v>0.0</v>
      </c>
    </row>
    <row r="37">
      <c r="A37" s="1" t="s">
        <v>2666</v>
      </c>
      <c r="B37" s="14">
        <f t="shared" si="4"/>
        <v>15</v>
      </c>
      <c r="C37" s="10" t="s">
        <v>2652</v>
      </c>
      <c r="D37" s="10">
        <v>4.0</v>
      </c>
      <c r="E37" s="10">
        <v>3.0</v>
      </c>
      <c r="F37" s="10">
        <v>3.0</v>
      </c>
      <c r="G37" s="10">
        <v>2.0</v>
      </c>
      <c r="H37" s="7">
        <v>0.0</v>
      </c>
      <c r="I37" s="10">
        <v>0.0</v>
      </c>
      <c r="J37" s="10">
        <v>0.0</v>
      </c>
      <c r="K37" s="10">
        <v>0.0</v>
      </c>
      <c r="L37" s="7">
        <v>0.0</v>
      </c>
    </row>
    <row r="38">
      <c r="A38" s="1" t="s">
        <v>2667</v>
      </c>
      <c r="B38" s="14">
        <f t="shared" si="4"/>
        <v>16</v>
      </c>
      <c r="C38" s="10" t="s">
        <v>2652</v>
      </c>
      <c r="D38" s="10">
        <v>4.0</v>
      </c>
      <c r="E38" s="10">
        <v>3.0</v>
      </c>
      <c r="F38" s="10">
        <v>3.0</v>
      </c>
      <c r="G38" s="10">
        <v>2.0</v>
      </c>
      <c r="H38" s="7">
        <v>0.0</v>
      </c>
      <c r="I38" s="10">
        <v>0.0</v>
      </c>
      <c r="J38" s="10">
        <v>0.0</v>
      </c>
      <c r="K38" s="10">
        <v>0.0</v>
      </c>
      <c r="L38" s="7">
        <v>0.0</v>
      </c>
    </row>
    <row r="39">
      <c r="A39" s="1" t="s">
        <v>2668</v>
      </c>
      <c r="B39" s="14">
        <f t="shared" si="4"/>
        <v>17</v>
      </c>
      <c r="C39" s="10" t="s">
        <v>2652</v>
      </c>
      <c r="D39" s="10">
        <v>4.0</v>
      </c>
      <c r="E39" s="10">
        <v>3.0</v>
      </c>
      <c r="F39" s="10">
        <v>3.0</v>
      </c>
      <c r="G39" s="10">
        <v>3.0</v>
      </c>
      <c r="H39" s="7">
        <v>1.0</v>
      </c>
      <c r="I39" s="10">
        <v>0.0</v>
      </c>
      <c r="J39" s="10">
        <v>0.0</v>
      </c>
      <c r="K39" s="10">
        <v>0.0</v>
      </c>
      <c r="L39" s="7">
        <v>0.0</v>
      </c>
    </row>
    <row r="40">
      <c r="A40" s="1" t="s">
        <v>2669</v>
      </c>
      <c r="B40" s="14">
        <f t="shared" si="4"/>
        <v>18</v>
      </c>
      <c r="C40" s="10" t="s">
        <v>2652</v>
      </c>
      <c r="D40" s="10">
        <v>4.0</v>
      </c>
      <c r="E40" s="10">
        <v>3.0</v>
      </c>
      <c r="F40" s="10">
        <v>3.0</v>
      </c>
      <c r="G40" s="10">
        <v>3.0</v>
      </c>
      <c r="H40" s="7">
        <v>1.0</v>
      </c>
      <c r="I40" s="10">
        <v>0.0</v>
      </c>
      <c r="J40" s="10">
        <v>0.0</v>
      </c>
      <c r="K40" s="10">
        <v>0.0</v>
      </c>
      <c r="L40" s="7">
        <v>0.0</v>
      </c>
    </row>
    <row r="41">
      <c r="A41" s="1" t="s">
        <v>2670</v>
      </c>
      <c r="B41" s="14">
        <f t="shared" si="4"/>
        <v>19</v>
      </c>
      <c r="C41" s="10" t="s">
        <v>2652</v>
      </c>
      <c r="D41" s="10">
        <v>4.0</v>
      </c>
      <c r="E41" s="10">
        <v>3.0</v>
      </c>
      <c r="F41" s="10">
        <v>3.0</v>
      </c>
      <c r="G41" s="10">
        <v>3.0</v>
      </c>
      <c r="H41" s="7">
        <v>2.0</v>
      </c>
      <c r="I41" s="10">
        <v>0.0</v>
      </c>
      <c r="J41" s="10">
        <v>0.0</v>
      </c>
      <c r="K41" s="10">
        <v>0.0</v>
      </c>
      <c r="L41" s="7">
        <v>0.0</v>
      </c>
    </row>
    <row r="42">
      <c r="A42" s="1" t="s">
        <v>2671</v>
      </c>
      <c r="B42" s="27">
        <f t="shared" si="4"/>
        <v>20</v>
      </c>
      <c r="C42" s="10" t="s">
        <v>2652</v>
      </c>
      <c r="D42" s="25">
        <v>4.0</v>
      </c>
      <c r="E42" s="25">
        <v>3.0</v>
      </c>
      <c r="F42" s="25">
        <v>3.0</v>
      </c>
      <c r="G42" s="25">
        <v>3.0</v>
      </c>
      <c r="H42" s="26">
        <v>2.0</v>
      </c>
      <c r="I42" s="10">
        <v>0.0</v>
      </c>
      <c r="J42" s="10">
        <v>0.0</v>
      </c>
      <c r="K42" s="10">
        <v>0.0</v>
      </c>
      <c r="L42" s="7">
        <v>0.0</v>
      </c>
    </row>
    <row r="43">
      <c r="B43" s="1"/>
      <c r="C43" s="4"/>
      <c r="D43" s="4"/>
      <c r="E43" s="28"/>
      <c r="F43" s="28"/>
      <c r="G43" s="29"/>
    </row>
    <row r="44">
      <c r="A44" s="1" t="s">
        <v>2672</v>
      </c>
      <c r="B44" s="6">
        <v>1.0</v>
      </c>
      <c r="C44" s="10" t="s">
        <v>2673</v>
      </c>
      <c r="D44" s="10">
        <v>0.0</v>
      </c>
      <c r="E44" s="10">
        <v>0.0</v>
      </c>
      <c r="F44" s="10">
        <v>0.0</v>
      </c>
      <c r="G44" s="7">
        <v>0.0</v>
      </c>
      <c r="H44" s="10">
        <v>0.0</v>
      </c>
      <c r="I44" s="10">
        <v>0.0</v>
      </c>
      <c r="J44" s="10">
        <v>0.0</v>
      </c>
      <c r="K44" s="10">
        <v>0.0</v>
      </c>
      <c r="L44" s="7">
        <v>0.0</v>
      </c>
    </row>
    <row r="45">
      <c r="A45" s="1" t="s">
        <v>2674</v>
      </c>
      <c r="B45" s="14">
        <f t="shared" ref="B45:B63" si="5">1+B44</f>
        <v>2</v>
      </c>
      <c r="C45" s="10" t="s">
        <v>2673</v>
      </c>
      <c r="D45" s="10">
        <v>0.0</v>
      </c>
      <c r="E45" s="10">
        <v>0.0</v>
      </c>
      <c r="F45" s="10">
        <v>0.0</v>
      </c>
      <c r="G45" s="7">
        <v>0.0</v>
      </c>
      <c r="H45" s="10">
        <v>0.0</v>
      </c>
      <c r="I45" s="10">
        <v>0.0</v>
      </c>
      <c r="J45" s="10">
        <v>0.0</v>
      </c>
      <c r="K45" s="10">
        <v>0.0</v>
      </c>
      <c r="L45" s="7">
        <v>0.0</v>
      </c>
    </row>
    <row r="46">
      <c r="A46" s="1" t="s">
        <v>2675</v>
      </c>
      <c r="B46" s="14">
        <f t="shared" si="5"/>
        <v>3</v>
      </c>
      <c r="C46" s="10" t="s">
        <v>2673</v>
      </c>
      <c r="D46" s="10">
        <v>2.0</v>
      </c>
      <c r="E46" s="10">
        <v>0.0</v>
      </c>
      <c r="F46" s="10">
        <v>0.0</v>
      </c>
      <c r="G46" s="7">
        <v>0.0</v>
      </c>
      <c r="H46" s="10">
        <v>0.0</v>
      </c>
      <c r="I46" s="10">
        <v>0.0</v>
      </c>
      <c r="J46" s="10">
        <v>0.0</v>
      </c>
      <c r="K46" s="10">
        <v>0.0</v>
      </c>
      <c r="L46" s="7">
        <v>0.0</v>
      </c>
    </row>
    <row r="47">
      <c r="A47" s="1" t="s">
        <v>2676</v>
      </c>
      <c r="B47" s="14">
        <f t="shared" si="5"/>
        <v>4</v>
      </c>
      <c r="C47" s="10" t="s">
        <v>2673</v>
      </c>
      <c r="D47" s="10">
        <v>3.0</v>
      </c>
      <c r="E47" s="10">
        <v>0.0</v>
      </c>
      <c r="F47" s="10">
        <v>0.0</v>
      </c>
      <c r="G47" s="7">
        <v>0.0</v>
      </c>
      <c r="H47" s="10">
        <v>0.0</v>
      </c>
      <c r="I47" s="10">
        <v>0.0</v>
      </c>
      <c r="J47" s="10">
        <v>0.0</v>
      </c>
      <c r="K47" s="10">
        <v>0.0</v>
      </c>
      <c r="L47" s="7">
        <v>0.0</v>
      </c>
    </row>
    <row r="48">
      <c r="A48" s="1" t="s">
        <v>2677</v>
      </c>
      <c r="B48" s="14">
        <f t="shared" si="5"/>
        <v>5</v>
      </c>
      <c r="C48" s="10" t="s">
        <v>2673</v>
      </c>
      <c r="D48" s="10">
        <v>3.0</v>
      </c>
      <c r="E48" s="10">
        <v>0.0</v>
      </c>
      <c r="F48" s="10">
        <v>0.0</v>
      </c>
      <c r="G48" s="7">
        <v>0.0</v>
      </c>
      <c r="H48" s="10">
        <v>0.0</v>
      </c>
      <c r="I48" s="10">
        <v>0.0</v>
      </c>
      <c r="J48" s="10">
        <v>0.0</v>
      </c>
      <c r="K48" s="10">
        <v>0.0</v>
      </c>
      <c r="L48" s="7">
        <v>0.0</v>
      </c>
    </row>
    <row r="49">
      <c r="A49" s="1" t="s">
        <v>2678</v>
      </c>
      <c r="B49" s="14">
        <f t="shared" si="5"/>
        <v>6</v>
      </c>
      <c r="C49" s="10" t="s">
        <v>2673</v>
      </c>
      <c r="D49" s="10">
        <v>3.0</v>
      </c>
      <c r="E49" s="10">
        <v>0.0</v>
      </c>
      <c r="F49" s="10">
        <v>0.0</v>
      </c>
      <c r="G49" s="7">
        <v>0.0</v>
      </c>
      <c r="H49" s="10">
        <v>0.0</v>
      </c>
      <c r="I49" s="10">
        <v>0.0</v>
      </c>
      <c r="J49" s="10">
        <v>0.0</v>
      </c>
      <c r="K49" s="10">
        <v>0.0</v>
      </c>
      <c r="L49" s="7">
        <v>0.0</v>
      </c>
    </row>
    <row r="50">
      <c r="A50" s="1" t="s">
        <v>2679</v>
      </c>
      <c r="B50" s="14">
        <f t="shared" si="5"/>
        <v>7</v>
      </c>
      <c r="C50" s="10" t="s">
        <v>2673</v>
      </c>
      <c r="D50" s="10">
        <v>4.0</v>
      </c>
      <c r="E50" s="10">
        <v>2.0</v>
      </c>
      <c r="F50" s="10">
        <v>0.0</v>
      </c>
      <c r="G50" s="7">
        <v>0.0</v>
      </c>
      <c r="H50" s="10">
        <v>0.0</v>
      </c>
      <c r="I50" s="10">
        <v>0.0</v>
      </c>
      <c r="J50" s="10">
        <v>0.0</v>
      </c>
      <c r="K50" s="10">
        <v>0.0</v>
      </c>
      <c r="L50" s="7">
        <v>0.0</v>
      </c>
    </row>
    <row r="51">
      <c r="A51" s="1" t="s">
        <v>2680</v>
      </c>
      <c r="B51" s="14">
        <f t="shared" si="5"/>
        <v>8</v>
      </c>
      <c r="C51" s="10" t="s">
        <v>2673</v>
      </c>
      <c r="D51" s="10">
        <v>4.0</v>
      </c>
      <c r="E51" s="10">
        <v>2.0</v>
      </c>
      <c r="F51" s="10">
        <v>0.0</v>
      </c>
      <c r="G51" s="7">
        <v>0.0</v>
      </c>
      <c r="H51" s="10">
        <v>0.0</v>
      </c>
      <c r="I51" s="10">
        <v>0.0</v>
      </c>
      <c r="J51" s="10">
        <v>0.0</v>
      </c>
      <c r="K51" s="10">
        <v>0.0</v>
      </c>
      <c r="L51" s="7">
        <v>0.0</v>
      </c>
    </row>
    <row r="52">
      <c r="A52" s="1" t="s">
        <v>2681</v>
      </c>
      <c r="B52" s="14">
        <f t="shared" si="5"/>
        <v>9</v>
      </c>
      <c r="C52" s="10" t="s">
        <v>2673</v>
      </c>
      <c r="D52" s="10">
        <v>4.0</v>
      </c>
      <c r="E52" s="10">
        <v>2.0</v>
      </c>
      <c r="F52" s="10">
        <v>0.0</v>
      </c>
      <c r="G52" s="7">
        <v>0.0</v>
      </c>
      <c r="H52" s="10">
        <v>0.0</v>
      </c>
      <c r="I52" s="10">
        <v>0.0</v>
      </c>
      <c r="J52" s="10">
        <v>0.0</v>
      </c>
      <c r="K52" s="10">
        <v>0.0</v>
      </c>
      <c r="L52" s="7">
        <v>0.0</v>
      </c>
    </row>
    <row r="53">
      <c r="A53" s="1" t="s">
        <v>2682</v>
      </c>
      <c r="B53" s="14">
        <f t="shared" si="5"/>
        <v>10</v>
      </c>
      <c r="C53" s="10" t="s">
        <v>2673</v>
      </c>
      <c r="D53" s="10">
        <v>4.0</v>
      </c>
      <c r="E53" s="10">
        <v>3.0</v>
      </c>
      <c r="F53" s="10">
        <v>0.0</v>
      </c>
      <c r="G53" s="7">
        <v>0.0</v>
      </c>
      <c r="H53" s="10">
        <v>0.0</v>
      </c>
      <c r="I53" s="10">
        <v>0.0</v>
      </c>
      <c r="J53" s="10">
        <v>0.0</v>
      </c>
      <c r="K53" s="10">
        <v>0.0</v>
      </c>
      <c r="L53" s="7">
        <v>0.0</v>
      </c>
    </row>
    <row r="54">
      <c r="A54" s="1" t="s">
        <v>2683</v>
      </c>
      <c r="B54" s="14">
        <f t="shared" si="5"/>
        <v>11</v>
      </c>
      <c r="C54" s="10" t="s">
        <v>2673</v>
      </c>
      <c r="D54" s="10">
        <v>4.0</v>
      </c>
      <c r="E54" s="10">
        <v>3.0</v>
      </c>
      <c r="F54" s="10">
        <v>0.0</v>
      </c>
      <c r="G54" s="7">
        <v>0.0</v>
      </c>
      <c r="H54" s="10">
        <v>0.0</v>
      </c>
      <c r="I54" s="10">
        <v>0.0</v>
      </c>
      <c r="J54" s="10">
        <v>0.0</v>
      </c>
      <c r="K54" s="10">
        <v>0.0</v>
      </c>
      <c r="L54" s="7">
        <v>0.0</v>
      </c>
    </row>
    <row r="55">
      <c r="A55" s="1" t="s">
        <v>2684</v>
      </c>
      <c r="B55" s="14">
        <f t="shared" si="5"/>
        <v>12</v>
      </c>
      <c r="C55" s="10" t="s">
        <v>2673</v>
      </c>
      <c r="D55" s="10">
        <v>4.0</v>
      </c>
      <c r="E55" s="10">
        <v>3.0</v>
      </c>
      <c r="F55" s="10">
        <v>0.0</v>
      </c>
      <c r="G55" s="7">
        <v>0.0</v>
      </c>
      <c r="H55" s="10">
        <v>0.0</v>
      </c>
      <c r="I55" s="10">
        <v>0.0</v>
      </c>
      <c r="J55" s="10">
        <v>0.0</v>
      </c>
      <c r="K55" s="10">
        <v>0.0</v>
      </c>
      <c r="L55" s="7">
        <v>0.0</v>
      </c>
    </row>
    <row r="56">
      <c r="A56" s="1" t="s">
        <v>2685</v>
      </c>
      <c r="B56" s="14">
        <f t="shared" si="5"/>
        <v>13</v>
      </c>
      <c r="C56" s="10" t="s">
        <v>2673</v>
      </c>
      <c r="D56" s="10">
        <v>4.0</v>
      </c>
      <c r="E56" s="10">
        <v>3.0</v>
      </c>
      <c r="F56" s="10">
        <v>2.0</v>
      </c>
      <c r="G56" s="7">
        <v>0.0</v>
      </c>
      <c r="H56" s="10">
        <v>0.0</v>
      </c>
      <c r="I56" s="10">
        <v>0.0</v>
      </c>
      <c r="J56" s="10">
        <v>0.0</v>
      </c>
      <c r="K56" s="10">
        <v>0.0</v>
      </c>
      <c r="L56" s="7">
        <v>0.0</v>
      </c>
    </row>
    <row r="57">
      <c r="A57" s="1" t="s">
        <v>2686</v>
      </c>
      <c r="B57" s="14">
        <f t="shared" si="5"/>
        <v>14</v>
      </c>
      <c r="C57" s="10" t="s">
        <v>2673</v>
      </c>
      <c r="D57" s="10">
        <v>4.0</v>
      </c>
      <c r="E57" s="10">
        <v>3.0</v>
      </c>
      <c r="F57" s="10">
        <v>2.0</v>
      </c>
      <c r="G57" s="7">
        <v>0.0</v>
      </c>
      <c r="H57" s="10">
        <v>0.0</v>
      </c>
      <c r="I57" s="10">
        <v>0.0</v>
      </c>
      <c r="J57" s="10">
        <v>0.0</v>
      </c>
      <c r="K57" s="10">
        <v>0.0</v>
      </c>
      <c r="L57" s="7">
        <v>0.0</v>
      </c>
    </row>
    <row r="58">
      <c r="A58" s="1" t="s">
        <v>2687</v>
      </c>
      <c r="B58" s="14">
        <f t="shared" si="5"/>
        <v>15</v>
      </c>
      <c r="C58" s="10" t="s">
        <v>2673</v>
      </c>
      <c r="D58" s="10">
        <v>4.0</v>
      </c>
      <c r="E58" s="10">
        <v>3.0</v>
      </c>
      <c r="F58" s="10">
        <v>2.0</v>
      </c>
      <c r="G58" s="7">
        <v>0.0</v>
      </c>
      <c r="H58" s="10">
        <v>0.0</v>
      </c>
      <c r="I58" s="10">
        <v>0.0</v>
      </c>
      <c r="J58" s="10">
        <v>0.0</v>
      </c>
      <c r="K58" s="10">
        <v>0.0</v>
      </c>
      <c r="L58" s="7">
        <v>0.0</v>
      </c>
    </row>
    <row r="59">
      <c r="A59" s="1" t="s">
        <v>2688</v>
      </c>
      <c r="B59" s="14">
        <f t="shared" si="5"/>
        <v>16</v>
      </c>
      <c r="C59" s="10" t="s">
        <v>2673</v>
      </c>
      <c r="D59" s="10">
        <v>4.0</v>
      </c>
      <c r="E59" s="10">
        <v>3.0</v>
      </c>
      <c r="F59" s="10">
        <v>3.0</v>
      </c>
      <c r="G59" s="7">
        <v>0.0</v>
      </c>
      <c r="H59" s="10">
        <v>0.0</v>
      </c>
      <c r="I59" s="10">
        <v>0.0</v>
      </c>
      <c r="J59" s="10">
        <v>0.0</v>
      </c>
      <c r="K59" s="10">
        <v>0.0</v>
      </c>
      <c r="L59" s="7">
        <v>0.0</v>
      </c>
    </row>
    <row r="60">
      <c r="A60" s="1" t="s">
        <v>2689</v>
      </c>
      <c r="B60" s="14">
        <f t="shared" si="5"/>
        <v>17</v>
      </c>
      <c r="C60" s="10" t="s">
        <v>2673</v>
      </c>
      <c r="D60" s="10">
        <v>4.0</v>
      </c>
      <c r="E60" s="10">
        <v>3.0</v>
      </c>
      <c r="F60" s="10">
        <v>3.0</v>
      </c>
      <c r="G60" s="7">
        <v>0.0</v>
      </c>
      <c r="H60" s="10">
        <v>0.0</v>
      </c>
      <c r="I60" s="10">
        <v>0.0</v>
      </c>
      <c r="J60" s="10">
        <v>0.0</v>
      </c>
      <c r="K60" s="10">
        <v>0.0</v>
      </c>
      <c r="L60" s="7">
        <v>0.0</v>
      </c>
    </row>
    <row r="61">
      <c r="A61" s="1" t="s">
        <v>2690</v>
      </c>
      <c r="B61" s="14">
        <f t="shared" si="5"/>
        <v>18</v>
      </c>
      <c r="C61" s="10" t="s">
        <v>2673</v>
      </c>
      <c r="D61" s="10">
        <v>4.0</v>
      </c>
      <c r="E61" s="10">
        <v>3.0</v>
      </c>
      <c r="F61" s="10">
        <v>3.0</v>
      </c>
      <c r="G61" s="7">
        <v>0.0</v>
      </c>
      <c r="H61" s="10">
        <v>0.0</v>
      </c>
      <c r="I61" s="10">
        <v>0.0</v>
      </c>
      <c r="J61" s="10">
        <v>0.0</v>
      </c>
      <c r="K61" s="10">
        <v>0.0</v>
      </c>
      <c r="L61" s="7">
        <v>0.0</v>
      </c>
    </row>
    <row r="62">
      <c r="A62" s="1" t="s">
        <v>2691</v>
      </c>
      <c r="B62" s="14">
        <f t="shared" si="5"/>
        <v>19</v>
      </c>
      <c r="C62" s="10" t="s">
        <v>2673</v>
      </c>
      <c r="D62" s="10">
        <v>4.0</v>
      </c>
      <c r="E62" s="10">
        <v>3.0</v>
      </c>
      <c r="F62" s="10">
        <v>3.0</v>
      </c>
      <c r="G62" s="7">
        <v>1.0</v>
      </c>
      <c r="H62" s="10">
        <v>0.0</v>
      </c>
      <c r="I62" s="10">
        <v>0.0</v>
      </c>
      <c r="J62" s="10">
        <v>0.0</v>
      </c>
      <c r="K62" s="10">
        <v>0.0</v>
      </c>
      <c r="L62" s="7">
        <v>0.0</v>
      </c>
    </row>
    <row r="63">
      <c r="A63" s="1" t="s">
        <v>2692</v>
      </c>
      <c r="B63" s="27">
        <f t="shared" si="5"/>
        <v>20</v>
      </c>
      <c r="C63" s="10" t="s">
        <v>2673</v>
      </c>
      <c r="D63" s="25">
        <v>4.0</v>
      </c>
      <c r="E63" s="25">
        <v>3.0</v>
      </c>
      <c r="F63" s="25">
        <v>3.0</v>
      </c>
      <c r="G63" s="26">
        <v>1.0</v>
      </c>
      <c r="H63" s="10">
        <v>0.0</v>
      </c>
      <c r="I63" s="10">
        <v>0.0</v>
      </c>
      <c r="J63" s="10">
        <v>0.0</v>
      </c>
      <c r="K63" s="10">
        <v>0.0</v>
      </c>
      <c r="L63" s="7">
        <v>0.0</v>
      </c>
    </row>
    <row r="64">
      <c r="D64" s="4"/>
      <c r="E64" s="4"/>
      <c r="F64" s="4"/>
      <c r="G64" s="4"/>
      <c r="H64" s="2"/>
    </row>
    <row r="65">
      <c r="A65" s="1" t="s">
        <v>2693</v>
      </c>
      <c r="B65" s="6">
        <v>1.0</v>
      </c>
      <c r="C65" s="10" t="s">
        <v>12</v>
      </c>
      <c r="D65" s="10">
        <v>2.0</v>
      </c>
      <c r="E65" s="10">
        <v>0.0</v>
      </c>
      <c r="F65" s="10">
        <v>0.0</v>
      </c>
      <c r="G65" s="10">
        <v>0.0</v>
      </c>
      <c r="H65" s="7">
        <v>0.0</v>
      </c>
      <c r="I65" s="10">
        <v>0.0</v>
      </c>
      <c r="J65" s="10">
        <v>0.0</v>
      </c>
      <c r="K65" s="10">
        <v>0.0</v>
      </c>
      <c r="L65" s="7">
        <v>0.0</v>
      </c>
    </row>
    <row r="66">
      <c r="A66" s="1" t="s">
        <v>2694</v>
      </c>
      <c r="B66" s="14">
        <f t="shared" ref="B66:B84" si="6">1+B65</f>
        <v>2</v>
      </c>
      <c r="C66" s="10" t="s">
        <v>12</v>
      </c>
      <c r="D66" s="10">
        <v>2.0</v>
      </c>
      <c r="E66" s="10">
        <v>0.0</v>
      </c>
      <c r="F66" s="10">
        <v>0.0</v>
      </c>
      <c r="G66" s="10">
        <v>0.0</v>
      </c>
      <c r="H66" s="7">
        <v>0.0</v>
      </c>
      <c r="I66" s="10">
        <v>0.0</v>
      </c>
      <c r="J66" s="10">
        <v>0.0</v>
      </c>
      <c r="K66" s="10">
        <v>0.0</v>
      </c>
      <c r="L66" s="7">
        <v>0.0</v>
      </c>
    </row>
    <row r="67">
      <c r="A67" s="1" t="s">
        <v>2695</v>
      </c>
      <c r="B67" s="14">
        <f t="shared" si="6"/>
        <v>3</v>
      </c>
      <c r="C67" s="10" t="s">
        <v>12</v>
      </c>
      <c r="D67" s="10">
        <v>3.0</v>
      </c>
      <c r="E67" s="10">
        <v>0.0</v>
      </c>
      <c r="F67" s="10">
        <v>0.0</v>
      </c>
      <c r="G67" s="10">
        <v>0.0</v>
      </c>
      <c r="H67" s="7">
        <v>0.0</v>
      </c>
      <c r="I67" s="10">
        <v>0.0</v>
      </c>
      <c r="J67" s="10">
        <v>0.0</v>
      </c>
      <c r="K67" s="10">
        <v>0.0</v>
      </c>
      <c r="L67" s="7">
        <v>0.0</v>
      </c>
    </row>
    <row r="68">
      <c r="A68" s="1" t="s">
        <v>2696</v>
      </c>
      <c r="B68" s="14">
        <f t="shared" si="6"/>
        <v>4</v>
      </c>
      <c r="C68" s="10" t="s">
        <v>12</v>
      </c>
      <c r="D68" s="10">
        <v>3.0</v>
      </c>
      <c r="E68" s="10">
        <v>0.0</v>
      </c>
      <c r="F68" s="10">
        <v>0.0</v>
      </c>
      <c r="G68" s="10">
        <v>0.0</v>
      </c>
      <c r="H68" s="7">
        <v>0.0</v>
      </c>
      <c r="I68" s="10">
        <v>0.0</v>
      </c>
      <c r="J68" s="10">
        <v>0.0</v>
      </c>
      <c r="K68" s="10">
        <v>0.0</v>
      </c>
      <c r="L68" s="7">
        <v>0.0</v>
      </c>
    </row>
    <row r="69">
      <c r="A69" s="1" t="s">
        <v>2697</v>
      </c>
      <c r="B69" s="14">
        <f t="shared" si="6"/>
        <v>5</v>
      </c>
      <c r="C69" s="10" t="s">
        <v>12</v>
      </c>
      <c r="D69" s="10">
        <v>4.0</v>
      </c>
      <c r="E69" s="10">
        <v>2.0</v>
      </c>
      <c r="F69" s="10">
        <v>0.0</v>
      </c>
      <c r="G69" s="10">
        <v>0.0</v>
      </c>
      <c r="H69" s="7">
        <v>0.0</v>
      </c>
      <c r="I69" s="10">
        <v>0.0</v>
      </c>
      <c r="J69" s="10">
        <v>0.0</v>
      </c>
      <c r="K69" s="10">
        <v>0.0</v>
      </c>
      <c r="L69" s="7">
        <v>0.0</v>
      </c>
    </row>
    <row r="70">
      <c r="A70" s="1" t="s">
        <v>2698</v>
      </c>
      <c r="B70" s="14">
        <f t="shared" si="6"/>
        <v>6</v>
      </c>
      <c r="C70" s="10" t="s">
        <v>12</v>
      </c>
      <c r="D70" s="10">
        <v>4.0</v>
      </c>
      <c r="E70" s="10">
        <v>2.0</v>
      </c>
      <c r="F70" s="10">
        <v>0.0</v>
      </c>
      <c r="G70" s="10">
        <v>0.0</v>
      </c>
      <c r="H70" s="7">
        <v>0.0</v>
      </c>
      <c r="I70" s="10">
        <v>0.0</v>
      </c>
      <c r="J70" s="10">
        <v>0.0</v>
      </c>
      <c r="K70" s="10">
        <v>0.0</v>
      </c>
      <c r="L70" s="7">
        <v>0.0</v>
      </c>
    </row>
    <row r="71">
      <c r="A71" s="1" t="s">
        <v>2699</v>
      </c>
      <c r="B71" s="14">
        <f t="shared" si="6"/>
        <v>7</v>
      </c>
      <c r="C71" s="10" t="s">
        <v>12</v>
      </c>
      <c r="D71" s="10">
        <v>4.0</v>
      </c>
      <c r="E71" s="10">
        <v>3.0</v>
      </c>
      <c r="F71" s="10">
        <v>0.0</v>
      </c>
      <c r="G71" s="10">
        <v>0.0</v>
      </c>
      <c r="H71" s="7">
        <v>0.0</v>
      </c>
      <c r="I71" s="10">
        <v>0.0</v>
      </c>
      <c r="J71" s="10">
        <v>0.0</v>
      </c>
      <c r="K71" s="10">
        <v>0.0</v>
      </c>
      <c r="L71" s="7">
        <v>0.0</v>
      </c>
    </row>
    <row r="72">
      <c r="A72" s="1" t="s">
        <v>2700</v>
      </c>
      <c r="B72" s="14">
        <f t="shared" si="6"/>
        <v>8</v>
      </c>
      <c r="C72" s="10" t="s">
        <v>12</v>
      </c>
      <c r="D72" s="10">
        <v>4.0</v>
      </c>
      <c r="E72" s="10">
        <v>3.0</v>
      </c>
      <c r="F72" s="10">
        <v>0.0</v>
      </c>
      <c r="G72" s="10">
        <v>0.0</v>
      </c>
      <c r="H72" s="7">
        <v>0.0</v>
      </c>
      <c r="I72" s="10">
        <v>0.0</v>
      </c>
      <c r="J72" s="10">
        <v>0.0</v>
      </c>
      <c r="K72" s="10">
        <v>0.0</v>
      </c>
      <c r="L72" s="7">
        <v>0.0</v>
      </c>
    </row>
    <row r="73">
      <c r="A73" s="1" t="s">
        <v>2701</v>
      </c>
      <c r="B73" s="14">
        <f t="shared" si="6"/>
        <v>9</v>
      </c>
      <c r="C73" s="10" t="s">
        <v>12</v>
      </c>
      <c r="D73" s="10">
        <v>4.0</v>
      </c>
      <c r="E73" s="10">
        <v>3.0</v>
      </c>
      <c r="F73" s="10">
        <v>2.0</v>
      </c>
      <c r="G73" s="10">
        <v>0.0</v>
      </c>
      <c r="H73" s="7">
        <v>0.0</v>
      </c>
      <c r="I73" s="10">
        <v>0.0</v>
      </c>
      <c r="J73" s="10">
        <v>0.0</v>
      </c>
      <c r="K73" s="10">
        <v>0.0</v>
      </c>
      <c r="L73" s="7">
        <v>0.0</v>
      </c>
    </row>
    <row r="74">
      <c r="A74" s="1" t="s">
        <v>2702</v>
      </c>
      <c r="B74" s="14">
        <f t="shared" si="6"/>
        <v>10</v>
      </c>
      <c r="C74" s="10" t="s">
        <v>12</v>
      </c>
      <c r="D74" s="10">
        <v>4.0</v>
      </c>
      <c r="E74" s="10">
        <v>3.0</v>
      </c>
      <c r="F74" s="10">
        <v>2.0</v>
      </c>
      <c r="G74" s="10">
        <v>0.0</v>
      </c>
      <c r="H74" s="7">
        <v>0.0</v>
      </c>
      <c r="I74" s="10">
        <v>0.0</v>
      </c>
      <c r="J74" s="10">
        <v>0.0</v>
      </c>
      <c r="K74" s="10">
        <v>0.0</v>
      </c>
      <c r="L74" s="7">
        <v>0.0</v>
      </c>
    </row>
    <row r="75">
      <c r="A75" s="1" t="s">
        <v>2703</v>
      </c>
      <c r="B75" s="14">
        <f t="shared" si="6"/>
        <v>11</v>
      </c>
      <c r="C75" s="10" t="s">
        <v>12</v>
      </c>
      <c r="D75" s="10">
        <v>4.0</v>
      </c>
      <c r="E75" s="10">
        <v>3.0</v>
      </c>
      <c r="F75" s="10">
        <v>3.0</v>
      </c>
      <c r="G75" s="10">
        <v>0.0</v>
      </c>
      <c r="H75" s="7">
        <v>0.0</v>
      </c>
      <c r="I75" s="10">
        <v>0.0</v>
      </c>
      <c r="J75" s="10">
        <v>0.0</v>
      </c>
      <c r="K75" s="10">
        <v>0.0</v>
      </c>
      <c r="L75" s="7">
        <v>0.0</v>
      </c>
    </row>
    <row r="76">
      <c r="A76" s="1" t="s">
        <v>2704</v>
      </c>
      <c r="B76" s="14">
        <f t="shared" si="6"/>
        <v>12</v>
      </c>
      <c r="C76" s="10" t="s">
        <v>12</v>
      </c>
      <c r="D76" s="10">
        <v>4.0</v>
      </c>
      <c r="E76" s="10">
        <v>3.0</v>
      </c>
      <c r="F76" s="10">
        <v>3.0</v>
      </c>
      <c r="G76" s="10">
        <v>0.0</v>
      </c>
      <c r="H76" s="7">
        <v>0.0</v>
      </c>
      <c r="I76" s="10">
        <v>0.0</v>
      </c>
      <c r="J76" s="10">
        <v>0.0</v>
      </c>
      <c r="K76" s="10">
        <v>0.0</v>
      </c>
      <c r="L76" s="7">
        <v>0.0</v>
      </c>
    </row>
    <row r="77">
      <c r="A77" s="1" t="s">
        <v>2705</v>
      </c>
      <c r="B77" s="14">
        <f t="shared" si="6"/>
        <v>13</v>
      </c>
      <c r="C77" s="10" t="s">
        <v>12</v>
      </c>
      <c r="D77" s="10">
        <v>4.0</v>
      </c>
      <c r="E77" s="10">
        <v>3.0</v>
      </c>
      <c r="F77" s="10">
        <v>3.0</v>
      </c>
      <c r="G77" s="10">
        <v>1.0</v>
      </c>
      <c r="H77" s="7">
        <v>0.0</v>
      </c>
      <c r="I77" s="10">
        <v>0.0</v>
      </c>
      <c r="J77" s="10">
        <v>0.0</v>
      </c>
      <c r="K77" s="10">
        <v>0.0</v>
      </c>
      <c r="L77" s="7">
        <v>0.0</v>
      </c>
    </row>
    <row r="78">
      <c r="A78" s="1" t="s">
        <v>2706</v>
      </c>
      <c r="B78" s="14">
        <f t="shared" si="6"/>
        <v>14</v>
      </c>
      <c r="C78" s="10" t="s">
        <v>12</v>
      </c>
      <c r="D78" s="10">
        <v>4.0</v>
      </c>
      <c r="E78" s="10">
        <v>3.0</v>
      </c>
      <c r="F78" s="10">
        <v>3.0</v>
      </c>
      <c r="G78" s="10">
        <v>1.0</v>
      </c>
      <c r="H78" s="7">
        <v>0.0</v>
      </c>
      <c r="I78" s="10">
        <v>0.0</v>
      </c>
      <c r="J78" s="10">
        <v>0.0</v>
      </c>
      <c r="K78" s="10">
        <v>0.0</v>
      </c>
      <c r="L78" s="7">
        <v>0.0</v>
      </c>
    </row>
    <row r="79">
      <c r="A79" s="1" t="s">
        <v>2707</v>
      </c>
      <c r="B79" s="14">
        <f t="shared" si="6"/>
        <v>15</v>
      </c>
      <c r="C79" s="10" t="s">
        <v>12</v>
      </c>
      <c r="D79" s="10">
        <v>4.0</v>
      </c>
      <c r="E79" s="10">
        <v>3.0</v>
      </c>
      <c r="F79" s="10">
        <v>3.0</v>
      </c>
      <c r="G79" s="10">
        <v>2.0</v>
      </c>
      <c r="H79" s="7">
        <v>0.0</v>
      </c>
      <c r="I79" s="10">
        <v>0.0</v>
      </c>
      <c r="J79" s="10">
        <v>0.0</v>
      </c>
      <c r="K79" s="10">
        <v>0.0</v>
      </c>
      <c r="L79" s="7">
        <v>0.0</v>
      </c>
    </row>
    <row r="80">
      <c r="A80" s="1" t="s">
        <v>2708</v>
      </c>
      <c r="B80" s="14">
        <f t="shared" si="6"/>
        <v>16</v>
      </c>
      <c r="C80" s="10" t="s">
        <v>12</v>
      </c>
      <c r="D80" s="10">
        <v>4.0</v>
      </c>
      <c r="E80" s="10">
        <v>3.0</v>
      </c>
      <c r="F80" s="10">
        <v>3.0</v>
      </c>
      <c r="G80" s="10">
        <v>2.0</v>
      </c>
      <c r="H80" s="7">
        <v>0.0</v>
      </c>
      <c r="I80" s="10">
        <v>0.0</v>
      </c>
      <c r="J80" s="10">
        <v>0.0</v>
      </c>
      <c r="K80" s="10">
        <v>0.0</v>
      </c>
      <c r="L80" s="7">
        <v>0.0</v>
      </c>
    </row>
    <row r="81">
      <c r="A81" s="1" t="s">
        <v>2709</v>
      </c>
      <c r="B81" s="14">
        <f t="shared" si="6"/>
        <v>17</v>
      </c>
      <c r="C81" s="10" t="s">
        <v>12</v>
      </c>
      <c r="D81" s="10">
        <v>4.0</v>
      </c>
      <c r="E81" s="10">
        <v>3.0</v>
      </c>
      <c r="F81" s="10">
        <v>3.0</v>
      </c>
      <c r="G81" s="10">
        <v>3.0</v>
      </c>
      <c r="H81" s="7">
        <v>1.0</v>
      </c>
      <c r="I81" s="10">
        <v>0.0</v>
      </c>
      <c r="J81" s="10">
        <v>0.0</v>
      </c>
      <c r="K81" s="10">
        <v>0.0</v>
      </c>
      <c r="L81" s="7">
        <v>0.0</v>
      </c>
    </row>
    <row r="82">
      <c r="A82" s="1" t="s">
        <v>2710</v>
      </c>
      <c r="B82" s="14">
        <f t="shared" si="6"/>
        <v>18</v>
      </c>
      <c r="C82" s="10" t="s">
        <v>12</v>
      </c>
      <c r="D82" s="10">
        <v>4.0</v>
      </c>
      <c r="E82" s="10">
        <v>3.0</v>
      </c>
      <c r="F82" s="10">
        <v>3.0</v>
      </c>
      <c r="G82" s="10">
        <v>3.0</v>
      </c>
      <c r="H82" s="7">
        <v>1.0</v>
      </c>
      <c r="I82" s="10">
        <v>0.0</v>
      </c>
      <c r="J82" s="10">
        <v>0.0</v>
      </c>
      <c r="K82" s="10">
        <v>0.0</v>
      </c>
      <c r="L82" s="7">
        <v>0.0</v>
      </c>
    </row>
    <row r="83">
      <c r="A83" s="1" t="s">
        <v>2711</v>
      </c>
      <c r="B83" s="14">
        <f t="shared" si="6"/>
        <v>19</v>
      </c>
      <c r="C83" s="10" t="s">
        <v>12</v>
      </c>
      <c r="D83" s="10">
        <v>4.0</v>
      </c>
      <c r="E83" s="10">
        <v>3.0</v>
      </c>
      <c r="F83" s="10">
        <v>3.0</v>
      </c>
      <c r="G83" s="10">
        <v>3.0</v>
      </c>
      <c r="H83" s="7">
        <v>2.0</v>
      </c>
      <c r="I83" s="10">
        <v>0.0</v>
      </c>
      <c r="J83" s="10">
        <v>0.0</v>
      </c>
      <c r="K83" s="10">
        <v>0.0</v>
      </c>
      <c r="L83" s="7">
        <v>0.0</v>
      </c>
    </row>
    <row r="84">
      <c r="A84" s="1" t="s">
        <v>2712</v>
      </c>
      <c r="B84" s="27">
        <f t="shared" si="6"/>
        <v>20</v>
      </c>
      <c r="C84" s="10" t="s">
        <v>12</v>
      </c>
      <c r="D84" s="25">
        <v>4.0</v>
      </c>
      <c r="E84" s="25">
        <v>3.0</v>
      </c>
      <c r="F84" s="25">
        <v>3.0</v>
      </c>
      <c r="G84" s="25">
        <v>3.0</v>
      </c>
      <c r="H84" s="26">
        <v>2.0</v>
      </c>
      <c r="I84" s="10">
        <v>0.0</v>
      </c>
      <c r="J84" s="10">
        <v>0.0</v>
      </c>
      <c r="K84" s="10">
        <v>0.0</v>
      </c>
      <c r="L84" s="7">
        <v>0.0</v>
      </c>
    </row>
    <row r="85">
      <c r="C85" s="30"/>
      <c r="D85" s="31"/>
      <c r="E85" s="31"/>
      <c r="F85" s="31"/>
      <c r="G85" s="31"/>
      <c r="H85" s="31"/>
      <c r="I85" s="31"/>
      <c r="J85" s="31"/>
      <c r="K85" s="31"/>
      <c r="L85" s="32"/>
    </row>
    <row r="86">
      <c r="A86" s="10" t="s">
        <v>2713</v>
      </c>
      <c r="B86" s="6">
        <v>1.0</v>
      </c>
      <c r="C86" s="1" t="s">
        <v>65</v>
      </c>
      <c r="D86" s="10">
        <v>1.0</v>
      </c>
      <c r="E86" s="10">
        <v>0.0</v>
      </c>
      <c r="F86" s="10">
        <v>0.0</v>
      </c>
      <c r="G86" s="10">
        <v>0.0</v>
      </c>
      <c r="H86" s="10">
        <v>0.0</v>
      </c>
      <c r="I86" s="10">
        <v>0.0</v>
      </c>
      <c r="J86" s="10">
        <v>0.0</v>
      </c>
      <c r="K86" s="10">
        <v>0.0</v>
      </c>
      <c r="L86" s="7">
        <v>0.0</v>
      </c>
    </row>
    <row r="87">
      <c r="A87" s="10" t="s">
        <v>2714</v>
      </c>
      <c r="B87" s="14">
        <f t="shared" ref="B87:B105" si="7">1+B86</f>
        <v>2</v>
      </c>
      <c r="C87" s="1" t="s">
        <v>65</v>
      </c>
      <c r="D87" s="10">
        <v>2.0</v>
      </c>
      <c r="E87" s="10">
        <v>0.0</v>
      </c>
      <c r="F87" s="10">
        <v>0.0</v>
      </c>
      <c r="G87" s="10">
        <v>0.0</v>
      </c>
      <c r="H87" s="10">
        <v>0.0</v>
      </c>
      <c r="I87" s="10">
        <v>0.0</v>
      </c>
      <c r="J87" s="10">
        <v>0.0</v>
      </c>
      <c r="K87" s="10">
        <v>0.0</v>
      </c>
      <c r="L87" s="7">
        <v>0.0</v>
      </c>
    </row>
    <row r="88">
      <c r="A88" s="10" t="s">
        <v>2715</v>
      </c>
      <c r="B88" s="14">
        <f t="shared" si="7"/>
        <v>3</v>
      </c>
      <c r="C88" s="1" t="s">
        <v>65</v>
      </c>
      <c r="D88" s="10">
        <v>0.0</v>
      </c>
      <c r="E88" s="10">
        <v>2.0</v>
      </c>
      <c r="F88" s="10">
        <v>0.0</v>
      </c>
      <c r="G88" s="10">
        <v>0.0</v>
      </c>
      <c r="H88" s="10">
        <v>0.0</v>
      </c>
      <c r="I88" s="10">
        <v>0.0</v>
      </c>
      <c r="J88" s="10">
        <v>0.0</v>
      </c>
      <c r="K88" s="10">
        <v>0.0</v>
      </c>
      <c r="L88" s="7">
        <v>0.0</v>
      </c>
    </row>
    <row r="89">
      <c r="A89" s="10" t="s">
        <v>2716</v>
      </c>
      <c r="B89" s="14">
        <f t="shared" si="7"/>
        <v>4</v>
      </c>
      <c r="C89" s="1" t="s">
        <v>65</v>
      </c>
      <c r="D89" s="10">
        <v>0.0</v>
      </c>
      <c r="E89" s="10">
        <v>2.0</v>
      </c>
      <c r="F89" s="10">
        <v>0.0</v>
      </c>
      <c r="G89" s="10">
        <v>0.0</v>
      </c>
      <c r="H89" s="10">
        <v>0.0</v>
      </c>
      <c r="I89" s="10">
        <v>0.0</v>
      </c>
      <c r="J89" s="10">
        <v>0.0</v>
      </c>
      <c r="K89" s="10">
        <v>0.0</v>
      </c>
      <c r="L89" s="7">
        <v>0.0</v>
      </c>
    </row>
    <row r="90">
      <c r="A90" s="10" t="s">
        <v>2717</v>
      </c>
      <c r="B90" s="14">
        <f t="shared" si="7"/>
        <v>5</v>
      </c>
      <c r="C90" s="1" t="s">
        <v>65</v>
      </c>
      <c r="D90" s="10">
        <v>0.0</v>
      </c>
      <c r="E90" s="10">
        <v>0.0</v>
      </c>
      <c r="F90" s="10">
        <v>2.0</v>
      </c>
      <c r="G90" s="10">
        <v>0.0</v>
      </c>
      <c r="H90" s="10">
        <v>0.0</v>
      </c>
      <c r="I90" s="10">
        <v>0.0</v>
      </c>
      <c r="J90" s="10">
        <v>0.0</v>
      </c>
      <c r="K90" s="10">
        <v>0.0</v>
      </c>
      <c r="L90" s="7">
        <v>0.0</v>
      </c>
    </row>
    <row r="91">
      <c r="A91" s="10" t="s">
        <v>2718</v>
      </c>
      <c r="B91" s="14">
        <f t="shared" si="7"/>
        <v>6</v>
      </c>
      <c r="C91" s="1" t="s">
        <v>65</v>
      </c>
      <c r="D91" s="10">
        <v>0.0</v>
      </c>
      <c r="E91" s="10">
        <v>0.0</v>
      </c>
      <c r="F91" s="10">
        <v>2.0</v>
      </c>
      <c r="G91" s="10">
        <v>0.0</v>
      </c>
      <c r="H91" s="10">
        <v>0.0</v>
      </c>
      <c r="I91" s="10">
        <v>0.0</v>
      </c>
      <c r="J91" s="10">
        <v>0.0</v>
      </c>
      <c r="K91" s="10">
        <v>0.0</v>
      </c>
      <c r="L91" s="7">
        <v>0.0</v>
      </c>
    </row>
    <row r="92">
      <c r="A92" s="10" t="s">
        <v>2719</v>
      </c>
      <c r="B92" s="14">
        <f t="shared" si="7"/>
        <v>7</v>
      </c>
      <c r="C92" s="1" t="s">
        <v>65</v>
      </c>
      <c r="D92" s="10">
        <v>0.0</v>
      </c>
      <c r="E92" s="10">
        <v>0.0</v>
      </c>
      <c r="F92" s="10">
        <v>0.0</v>
      </c>
      <c r="G92" s="10">
        <v>2.0</v>
      </c>
      <c r="H92" s="10">
        <v>0.0</v>
      </c>
      <c r="I92" s="10">
        <v>0.0</v>
      </c>
      <c r="J92" s="10">
        <v>0.0</v>
      </c>
      <c r="K92" s="10">
        <v>0.0</v>
      </c>
      <c r="L92" s="7">
        <v>0.0</v>
      </c>
    </row>
    <row r="93">
      <c r="A93" s="10" t="s">
        <v>2720</v>
      </c>
      <c r="B93" s="14">
        <f t="shared" si="7"/>
        <v>8</v>
      </c>
      <c r="C93" s="1" t="s">
        <v>65</v>
      </c>
      <c r="D93" s="10">
        <v>0.0</v>
      </c>
      <c r="E93" s="10">
        <v>0.0</v>
      </c>
      <c r="F93" s="10">
        <v>0.0</v>
      </c>
      <c r="G93" s="10">
        <v>2.0</v>
      </c>
      <c r="H93" s="10">
        <v>0.0</v>
      </c>
      <c r="I93" s="10">
        <v>0.0</v>
      </c>
      <c r="J93" s="10">
        <v>0.0</v>
      </c>
      <c r="K93" s="10">
        <v>0.0</v>
      </c>
      <c r="L93" s="7">
        <v>0.0</v>
      </c>
    </row>
    <row r="94">
      <c r="A94" s="10" t="s">
        <v>2721</v>
      </c>
      <c r="B94" s="14">
        <f t="shared" si="7"/>
        <v>9</v>
      </c>
      <c r="C94" s="1" t="s">
        <v>65</v>
      </c>
      <c r="D94" s="10">
        <v>0.0</v>
      </c>
      <c r="E94" s="10">
        <v>0.0</v>
      </c>
      <c r="F94" s="10">
        <v>0.0</v>
      </c>
      <c r="G94" s="10">
        <v>0.0</v>
      </c>
      <c r="H94" s="10">
        <v>2.0</v>
      </c>
      <c r="I94" s="10">
        <v>0.0</v>
      </c>
      <c r="J94" s="10">
        <v>0.0</v>
      </c>
      <c r="K94" s="10">
        <v>0.0</v>
      </c>
      <c r="L94" s="7">
        <v>0.0</v>
      </c>
    </row>
    <row r="95">
      <c r="A95" s="10" t="s">
        <v>2722</v>
      </c>
      <c r="B95" s="14">
        <f t="shared" si="7"/>
        <v>10</v>
      </c>
      <c r="C95" s="1" t="s">
        <v>65</v>
      </c>
      <c r="D95" s="10">
        <v>0.0</v>
      </c>
      <c r="E95" s="10">
        <v>0.0</v>
      </c>
      <c r="F95" s="10">
        <v>0.0</v>
      </c>
      <c r="G95" s="10">
        <v>0.0</v>
      </c>
      <c r="H95" s="10">
        <v>2.0</v>
      </c>
      <c r="I95" s="10">
        <v>0.0</v>
      </c>
      <c r="J95" s="10">
        <v>0.0</v>
      </c>
      <c r="K95" s="10">
        <v>0.0</v>
      </c>
      <c r="L95" s="7">
        <v>0.0</v>
      </c>
    </row>
    <row r="96">
      <c r="A96" s="10" t="s">
        <v>2723</v>
      </c>
      <c r="B96" s="14">
        <f t="shared" si="7"/>
        <v>11</v>
      </c>
      <c r="C96" s="1" t="s">
        <v>65</v>
      </c>
      <c r="D96" s="10">
        <v>0.0</v>
      </c>
      <c r="E96" s="10">
        <v>0.0</v>
      </c>
      <c r="F96" s="10">
        <v>0.0</v>
      </c>
      <c r="G96" s="10">
        <v>0.0</v>
      </c>
      <c r="H96" s="10">
        <v>3.0</v>
      </c>
      <c r="I96" s="10">
        <v>1.0</v>
      </c>
      <c r="J96" s="10">
        <v>0.0</v>
      </c>
      <c r="K96" s="10">
        <v>0.0</v>
      </c>
      <c r="L96" s="7">
        <v>0.0</v>
      </c>
    </row>
    <row r="97">
      <c r="A97" s="10" t="s">
        <v>2724</v>
      </c>
      <c r="B97" s="14">
        <f t="shared" si="7"/>
        <v>12</v>
      </c>
      <c r="C97" s="1" t="s">
        <v>65</v>
      </c>
      <c r="D97" s="10">
        <v>0.0</v>
      </c>
      <c r="E97" s="10">
        <v>0.0</v>
      </c>
      <c r="F97" s="10">
        <v>0.0</v>
      </c>
      <c r="G97" s="10">
        <v>0.0</v>
      </c>
      <c r="H97" s="10">
        <v>3.0</v>
      </c>
      <c r="I97" s="10">
        <v>0.0</v>
      </c>
      <c r="J97" s="10">
        <v>0.0</v>
      </c>
      <c r="K97" s="10">
        <v>0.0</v>
      </c>
      <c r="L97" s="7">
        <v>0.0</v>
      </c>
    </row>
    <row r="98">
      <c r="A98" s="10" t="s">
        <v>2725</v>
      </c>
      <c r="B98" s="14">
        <f t="shared" si="7"/>
        <v>13</v>
      </c>
      <c r="C98" s="1" t="s">
        <v>65</v>
      </c>
      <c r="D98" s="10">
        <v>0.0</v>
      </c>
      <c r="E98" s="10">
        <v>0.0</v>
      </c>
      <c r="F98" s="10">
        <v>0.0</v>
      </c>
      <c r="G98" s="10">
        <v>0.0</v>
      </c>
      <c r="H98" s="10">
        <v>3.0</v>
      </c>
      <c r="I98" s="10">
        <v>0.0</v>
      </c>
      <c r="J98" s="10">
        <v>1.0</v>
      </c>
      <c r="K98" s="10">
        <v>0.0</v>
      </c>
      <c r="L98" s="7">
        <v>0.0</v>
      </c>
    </row>
    <row r="99">
      <c r="A99" s="10" t="s">
        <v>2726</v>
      </c>
      <c r="B99" s="14">
        <f t="shared" si="7"/>
        <v>14</v>
      </c>
      <c r="C99" s="1" t="s">
        <v>65</v>
      </c>
      <c r="D99" s="10">
        <v>0.0</v>
      </c>
      <c r="E99" s="10">
        <v>0.0</v>
      </c>
      <c r="F99" s="10">
        <v>0.0</v>
      </c>
      <c r="G99" s="10">
        <v>0.0</v>
      </c>
      <c r="H99" s="10">
        <v>3.0</v>
      </c>
      <c r="I99" s="10">
        <v>0.0</v>
      </c>
      <c r="J99" s="10">
        <v>0.0</v>
      </c>
      <c r="K99" s="10">
        <v>0.0</v>
      </c>
      <c r="L99" s="7">
        <v>0.0</v>
      </c>
    </row>
    <row r="100">
      <c r="A100" s="10" t="s">
        <v>2727</v>
      </c>
      <c r="B100" s="14">
        <f t="shared" si="7"/>
        <v>15</v>
      </c>
      <c r="C100" s="1" t="s">
        <v>65</v>
      </c>
      <c r="D100" s="10">
        <v>0.0</v>
      </c>
      <c r="E100" s="10">
        <v>0.0</v>
      </c>
      <c r="F100" s="10">
        <v>0.0</v>
      </c>
      <c r="G100" s="10">
        <v>0.0</v>
      </c>
      <c r="H100" s="10">
        <v>3.0</v>
      </c>
      <c r="I100" s="10">
        <v>0.0</v>
      </c>
      <c r="J100" s="10">
        <v>0.0</v>
      </c>
      <c r="K100" s="10">
        <v>1.0</v>
      </c>
      <c r="L100" s="7">
        <v>0.0</v>
      </c>
    </row>
    <row r="101">
      <c r="A101" s="10" t="s">
        <v>2728</v>
      </c>
      <c r="B101" s="14">
        <f t="shared" si="7"/>
        <v>16</v>
      </c>
      <c r="C101" s="1" t="s">
        <v>65</v>
      </c>
      <c r="D101" s="10">
        <v>0.0</v>
      </c>
      <c r="E101" s="10">
        <v>0.0</v>
      </c>
      <c r="F101" s="10">
        <v>0.0</v>
      </c>
      <c r="G101" s="10">
        <v>0.0</v>
      </c>
      <c r="H101" s="10">
        <v>3.0</v>
      </c>
      <c r="I101" s="10">
        <v>0.0</v>
      </c>
      <c r="J101" s="10">
        <v>0.0</v>
      </c>
      <c r="K101" s="10">
        <v>0.0</v>
      </c>
      <c r="L101" s="7">
        <v>0.0</v>
      </c>
    </row>
    <row r="102">
      <c r="A102" s="10" t="s">
        <v>2729</v>
      </c>
      <c r="B102" s="14">
        <f t="shared" si="7"/>
        <v>17</v>
      </c>
      <c r="C102" s="1" t="s">
        <v>65</v>
      </c>
      <c r="D102" s="10">
        <v>0.0</v>
      </c>
      <c r="E102" s="10">
        <v>0.0</v>
      </c>
      <c r="F102" s="10">
        <v>0.0</v>
      </c>
      <c r="G102" s="10">
        <v>0.0</v>
      </c>
      <c r="H102" s="10">
        <v>4.0</v>
      </c>
      <c r="I102" s="10">
        <v>0.0</v>
      </c>
      <c r="J102" s="10">
        <v>0.0</v>
      </c>
      <c r="K102" s="10">
        <v>0.0</v>
      </c>
      <c r="L102" s="7">
        <v>1.0</v>
      </c>
    </row>
    <row r="103">
      <c r="A103" s="10" t="s">
        <v>2730</v>
      </c>
      <c r="B103" s="14">
        <f t="shared" si="7"/>
        <v>18</v>
      </c>
      <c r="C103" s="1" t="s">
        <v>65</v>
      </c>
      <c r="D103" s="10">
        <v>0.0</v>
      </c>
      <c r="E103" s="10">
        <v>0.0</v>
      </c>
      <c r="F103" s="10">
        <v>0.0</v>
      </c>
      <c r="G103" s="10">
        <v>0.0</v>
      </c>
      <c r="H103" s="10">
        <v>4.0</v>
      </c>
      <c r="I103" s="10">
        <v>0.0</v>
      </c>
      <c r="J103" s="10">
        <v>0.0</v>
      </c>
      <c r="K103" s="10">
        <v>0.0</v>
      </c>
      <c r="L103" s="7">
        <v>0.0</v>
      </c>
    </row>
    <row r="104">
      <c r="A104" s="10" t="s">
        <v>2731</v>
      </c>
      <c r="B104" s="14">
        <f t="shared" si="7"/>
        <v>19</v>
      </c>
      <c r="C104" s="1" t="s">
        <v>65</v>
      </c>
      <c r="D104" s="10">
        <v>0.0</v>
      </c>
      <c r="E104" s="10">
        <v>0.0</v>
      </c>
      <c r="F104" s="10">
        <v>0.0</v>
      </c>
      <c r="G104" s="10">
        <v>0.0</v>
      </c>
      <c r="H104" s="10">
        <v>4.0</v>
      </c>
      <c r="I104" s="10">
        <v>0.0</v>
      </c>
      <c r="J104" s="10">
        <v>0.0</v>
      </c>
      <c r="K104" s="10">
        <v>0.0</v>
      </c>
      <c r="L104" s="7">
        <v>0.0</v>
      </c>
    </row>
    <row r="105">
      <c r="A105" s="10" t="s">
        <v>2732</v>
      </c>
      <c r="B105" s="27">
        <f t="shared" si="7"/>
        <v>20</v>
      </c>
      <c r="C105" s="1" t="s">
        <v>65</v>
      </c>
      <c r="D105" s="25">
        <v>0.0</v>
      </c>
      <c r="E105" s="25">
        <v>0.0</v>
      </c>
      <c r="F105" s="25">
        <v>0.0</v>
      </c>
      <c r="G105" s="25">
        <v>0.0</v>
      </c>
      <c r="H105" s="25">
        <v>4.0</v>
      </c>
      <c r="I105" s="25">
        <v>0.0</v>
      </c>
      <c r="J105" s="25">
        <v>0.0</v>
      </c>
      <c r="K105" s="25">
        <v>0.0</v>
      </c>
      <c r="L105" s="26">
        <v>0.0</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sheetViews>
  <sheetFormatPr customHeight="1" defaultColWidth="14.43" defaultRowHeight="15.0"/>
  <cols>
    <col customWidth="1" min="1" max="1" width="19.71"/>
    <col customWidth="1" min="2" max="2" width="25.57"/>
    <col customWidth="1" min="3" max="3" width="51.57"/>
    <col customWidth="1" min="4" max="4" width="22.71"/>
  </cols>
  <sheetData>
    <row r="1">
      <c r="A1" s="265" t="s">
        <v>2733</v>
      </c>
      <c r="B1" s="265" t="s">
        <v>1838</v>
      </c>
      <c r="C1" s="266" t="s">
        <v>318</v>
      </c>
      <c r="D1" s="10" t="s">
        <v>2734</v>
      </c>
    </row>
    <row r="2">
      <c r="A2" s="267" t="s">
        <v>2735</v>
      </c>
      <c r="B2" s="268" t="s">
        <v>1628</v>
      </c>
      <c r="C2" s="269" t="s">
        <v>2736</v>
      </c>
      <c r="D2" s="10" t="s">
        <v>2737</v>
      </c>
    </row>
    <row r="3">
      <c r="A3" s="267" t="s">
        <v>2738</v>
      </c>
      <c r="B3" s="268" t="s">
        <v>1628</v>
      </c>
      <c r="C3" s="269" t="s">
        <v>2739</v>
      </c>
      <c r="D3" s="10" t="s">
        <v>2737</v>
      </c>
    </row>
    <row r="4">
      <c r="A4" s="267" t="s">
        <v>2740</v>
      </c>
      <c r="B4" s="268" t="s">
        <v>1628</v>
      </c>
      <c r="C4" s="270" t="s">
        <v>2741</v>
      </c>
      <c r="D4" s="10" t="s">
        <v>2737</v>
      </c>
    </row>
    <row r="5">
      <c r="A5" s="267" t="s">
        <v>2742</v>
      </c>
      <c r="B5" s="268" t="s">
        <v>1628</v>
      </c>
      <c r="C5" s="269" t="s">
        <v>2743</v>
      </c>
      <c r="D5" s="10" t="s">
        <v>2737</v>
      </c>
    </row>
    <row r="6">
      <c r="A6" s="267" t="s">
        <v>2744</v>
      </c>
      <c r="B6" s="268" t="s">
        <v>2745</v>
      </c>
      <c r="C6" s="270" t="s">
        <v>2746</v>
      </c>
      <c r="D6" s="10" t="s">
        <v>2737</v>
      </c>
    </row>
    <row r="7">
      <c r="A7" s="267" t="s">
        <v>2747</v>
      </c>
      <c r="B7" s="268" t="s">
        <v>1628</v>
      </c>
      <c r="C7" s="270" t="s">
        <v>2748</v>
      </c>
      <c r="D7" s="10" t="s">
        <v>2737</v>
      </c>
    </row>
    <row r="8">
      <c r="A8" s="267" t="s">
        <v>2749</v>
      </c>
      <c r="B8" s="268" t="s">
        <v>1628</v>
      </c>
      <c r="C8" s="269" t="s">
        <v>2750</v>
      </c>
      <c r="D8" s="10" t="s">
        <v>2737</v>
      </c>
    </row>
    <row r="9">
      <c r="A9" s="267" t="s">
        <v>2751</v>
      </c>
      <c r="B9" s="268" t="s">
        <v>1628</v>
      </c>
      <c r="C9" s="270" t="s">
        <v>2752</v>
      </c>
      <c r="D9" s="10" t="s">
        <v>2737</v>
      </c>
    </row>
    <row r="10">
      <c r="A10" s="267" t="s">
        <v>2753</v>
      </c>
      <c r="B10" s="268" t="s">
        <v>1628</v>
      </c>
      <c r="C10" s="269" t="s">
        <v>2754</v>
      </c>
      <c r="D10" s="10" t="s">
        <v>2737</v>
      </c>
    </row>
    <row r="11">
      <c r="A11" s="267" t="s">
        <v>2755</v>
      </c>
      <c r="B11" s="268" t="s">
        <v>2756</v>
      </c>
      <c r="C11" s="270" t="s">
        <v>2757</v>
      </c>
      <c r="D11" s="10" t="s">
        <v>2737</v>
      </c>
    </row>
    <row r="12">
      <c r="A12" s="267" t="s">
        <v>2758</v>
      </c>
      <c r="B12" s="268" t="s">
        <v>46</v>
      </c>
      <c r="C12" s="269" t="s">
        <v>2759</v>
      </c>
      <c r="D12" s="10" t="s">
        <v>2737</v>
      </c>
    </row>
    <row r="13">
      <c r="A13" s="267" t="s">
        <v>2760</v>
      </c>
      <c r="B13" s="268" t="s">
        <v>46</v>
      </c>
      <c r="C13" s="269" t="s">
        <v>2761</v>
      </c>
      <c r="D13" s="10" t="s">
        <v>2737</v>
      </c>
    </row>
    <row r="14">
      <c r="A14" s="267" t="s">
        <v>2762</v>
      </c>
      <c r="B14" s="268" t="s">
        <v>2763</v>
      </c>
      <c r="C14" s="270" t="s">
        <v>2764</v>
      </c>
      <c r="D14" s="10" t="s">
        <v>2737</v>
      </c>
    </row>
    <row r="15">
      <c r="A15" s="267" t="s">
        <v>2765</v>
      </c>
      <c r="B15" s="268" t="s">
        <v>1628</v>
      </c>
      <c r="C15" s="269" t="s">
        <v>2766</v>
      </c>
      <c r="D15" s="10" t="s">
        <v>2737</v>
      </c>
    </row>
    <row r="16">
      <c r="A16" s="267" t="s">
        <v>2767</v>
      </c>
      <c r="B16" s="268" t="s">
        <v>1628</v>
      </c>
      <c r="C16" s="270" t="s">
        <v>2768</v>
      </c>
      <c r="D16" s="10" t="s">
        <v>2737</v>
      </c>
    </row>
    <row r="17">
      <c r="A17" s="267" t="s">
        <v>2769</v>
      </c>
      <c r="B17" s="268" t="s">
        <v>1628</v>
      </c>
      <c r="C17" s="269" t="s">
        <v>2770</v>
      </c>
      <c r="D17" s="10" t="s">
        <v>2737</v>
      </c>
    </row>
    <row r="18">
      <c r="A18" s="267" t="s">
        <v>2771</v>
      </c>
      <c r="B18" s="268" t="s">
        <v>2772</v>
      </c>
      <c r="C18" s="269" t="s">
        <v>2773</v>
      </c>
      <c r="D18" s="10" t="s">
        <v>2737</v>
      </c>
    </row>
    <row r="19">
      <c r="A19" s="267" t="s">
        <v>2774</v>
      </c>
      <c r="B19" s="268" t="s">
        <v>2775</v>
      </c>
      <c r="C19" s="270" t="s">
        <v>2776</v>
      </c>
      <c r="D19" s="10" t="s">
        <v>2737</v>
      </c>
    </row>
    <row r="20">
      <c r="A20" s="267" t="s">
        <v>2777</v>
      </c>
      <c r="B20" s="268" t="s">
        <v>2778</v>
      </c>
      <c r="C20" s="270" t="s">
        <v>2779</v>
      </c>
      <c r="D20" s="10" t="s">
        <v>2737</v>
      </c>
    </row>
    <row r="21">
      <c r="A21" s="267" t="s">
        <v>2780</v>
      </c>
      <c r="B21" s="268" t="s">
        <v>2781</v>
      </c>
      <c r="C21" s="269" t="s">
        <v>2782</v>
      </c>
      <c r="D21" s="10" t="s">
        <v>2737</v>
      </c>
    </row>
    <row r="22">
      <c r="A22" s="267" t="s">
        <v>2783</v>
      </c>
      <c r="B22" s="268" t="s">
        <v>2784</v>
      </c>
      <c r="C22" s="269" t="s">
        <v>2785</v>
      </c>
      <c r="D22" s="10" t="s">
        <v>2737</v>
      </c>
    </row>
    <row r="23">
      <c r="A23" s="267" t="s">
        <v>2786</v>
      </c>
      <c r="B23" s="268" t="s">
        <v>2787</v>
      </c>
      <c r="C23" s="269" t="s">
        <v>2788</v>
      </c>
      <c r="D23" s="10" t="s">
        <v>2737</v>
      </c>
    </row>
    <row r="24">
      <c r="A24" s="267" t="s">
        <v>2789</v>
      </c>
      <c r="B24" s="268" t="s">
        <v>2790</v>
      </c>
      <c r="C24" s="269" t="s">
        <v>2791</v>
      </c>
      <c r="D24" s="10" t="s">
        <v>2737</v>
      </c>
    </row>
    <row r="25">
      <c r="A25" s="267" t="s">
        <v>2792</v>
      </c>
      <c r="B25" s="268" t="s">
        <v>1628</v>
      </c>
      <c r="C25" s="269" t="s">
        <v>2793</v>
      </c>
      <c r="D25" s="10" t="s">
        <v>2737</v>
      </c>
    </row>
    <row r="26">
      <c r="A26" s="267" t="s">
        <v>2794</v>
      </c>
      <c r="B26" s="268" t="s">
        <v>2795</v>
      </c>
      <c r="C26" s="270" t="s">
        <v>2796</v>
      </c>
      <c r="D26" s="10" t="s">
        <v>2737</v>
      </c>
    </row>
    <row r="27">
      <c r="A27" s="267" t="s">
        <v>2797</v>
      </c>
      <c r="B27" s="268" t="s">
        <v>233</v>
      </c>
      <c r="C27" s="269" t="s">
        <v>2798</v>
      </c>
      <c r="D27" s="10" t="s">
        <v>2737</v>
      </c>
    </row>
    <row r="28">
      <c r="A28" s="267" t="s">
        <v>2799</v>
      </c>
      <c r="B28" s="268" t="s">
        <v>2800</v>
      </c>
      <c r="C28" s="269" t="s">
        <v>2801</v>
      </c>
      <c r="D28" s="10" t="s">
        <v>2737</v>
      </c>
    </row>
    <row r="29">
      <c r="A29" s="267" t="s">
        <v>2802</v>
      </c>
      <c r="B29" s="268" t="s">
        <v>1628</v>
      </c>
      <c r="C29" s="270" t="s">
        <v>2803</v>
      </c>
      <c r="D29" s="10" t="s">
        <v>2737</v>
      </c>
    </row>
    <row r="30">
      <c r="A30" s="267" t="s">
        <v>2804</v>
      </c>
      <c r="B30" s="268" t="s">
        <v>1628</v>
      </c>
      <c r="C30" s="269" t="s">
        <v>2805</v>
      </c>
      <c r="D30" s="10" t="s">
        <v>2737</v>
      </c>
    </row>
    <row r="31">
      <c r="A31" s="267" t="s">
        <v>2806</v>
      </c>
      <c r="B31" s="268" t="s">
        <v>1628</v>
      </c>
      <c r="C31" s="270" t="s">
        <v>2807</v>
      </c>
      <c r="D31" s="10" t="s">
        <v>2737</v>
      </c>
    </row>
    <row r="32">
      <c r="A32" s="267" t="s">
        <v>2808</v>
      </c>
      <c r="B32" s="268" t="s">
        <v>2809</v>
      </c>
      <c r="C32" s="270" t="s">
        <v>2810</v>
      </c>
      <c r="D32" s="10" t="s">
        <v>2737</v>
      </c>
    </row>
    <row r="33">
      <c r="A33" s="267" t="s">
        <v>2811</v>
      </c>
      <c r="B33" s="268" t="s">
        <v>1628</v>
      </c>
      <c r="C33" s="270" t="s">
        <v>2812</v>
      </c>
      <c r="D33" s="10" t="s">
        <v>2737</v>
      </c>
    </row>
    <row r="34">
      <c r="A34" s="267" t="s">
        <v>2813</v>
      </c>
      <c r="B34" s="268" t="s">
        <v>2814</v>
      </c>
      <c r="C34" s="269" t="s">
        <v>2815</v>
      </c>
      <c r="D34" s="10" t="s">
        <v>2737</v>
      </c>
    </row>
    <row r="35">
      <c r="A35" s="267" t="s">
        <v>2816</v>
      </c>
      <c r="B35" s="268" t="s">
        <v>1628</v>
      </c>
      <c r="C35" s="269" t="s">
        <v>2817</v>
      </c>
      <c r="D35" s="10" t="s">
        <v>2737</v>
      </c>
    </row>
    <row r="36">
      <c r="A36" s="267" t="s">
        <v>2818</v>
      </c>
      <c r="B36" s="268" t="s">
        <v>1628</v>
      </c>
      <c r="C36" s="270" t="s">
        <v>2819</v>
      </c>
      <c r="D36" s="10" t="s">
        <v>2737</v>
      </c>
    </row>
    <row r="37">
      <c r="A37" s="267" t="s">
        <v>2820</v>
      </c>
      <c r="B37" s="268" t="s">
        <v>2821</v>
      </c>
      <c r="C37" s="269" t="s">
        <v>2822</v>
      </c>
      <c r="D37" s="10" t="s">
        <v>2737</v>
      </c>
    </row>
    <row r="38">
      <c r="A38" s="267" t="s">
        <v>2823</v>
      </c>
      <c r="B38" s="268" t="s">
        <v>2824</v>
      </c>
      <c r="C38" s="269" t="s">
        <v>2825</v>
      </c>
      <c r="D38" s="10" t="s">
        <v>2737</v>
      </c>
    </row>
    <row r="39">
      <c r="A39" s="267" t="s">
        <v>2826</v>
      </c>
      <c r="B39" s="268" t="s">
        <v>233</v>
      </c>
      <c r="C39" s="269" t="s">
        <v>2827</v>
      </c>
      <c r="D39" s="10" t="s">
        <v>2737</v>
      </c>
    </row>
    <row r="40">
      <c r="A40" s="267" t="s">
        <v>2828</v>
      </c>
      <c r="B40" s="268" t="s">
        <v>2829</v>
      </c>
      <c r="C40" s="270" t="s">
        <v>2830</v>
      </c>
      <c r="D40" s="10" t="s">
        <v>2737</v>
      </c>
    </row>
    <row r="41">
      <c r="A41" s="267" t="s">
        <v>2831</v>
      </c>
      <c r="B41" s="268" t="s">
        <v>1628</v>
      </c>
      <c r="C41" s="269" t="s">
        <v>2832</v>
      </c>
      <c r="D41" s="10" t="s">
        <v>2737</v>
      </c>
    </row>
    <row r="42">
      <c r="A42" s="267" t="s">
        <v>2833</v>
      </c>
      <c r="B42" s="268" t="s">
        <v>2834</v>
      </c>
      <c r="C42" s="269" t="s">
        <v>2835</v>
      </c>
      <c r="D42" s="10" t="s">
        <v>2737</v>
      </c>
    </row>
    <row r="43">
      <c r="A43" s="267" t="s">
        <v>2836</v>
      </c>
      <c r="B43" s="268" t="s">
        <v>1628</v>
      </c>
      <c r="C43" s="269" t="s">
        <v>2837</v>
      </c>
      <c r="D43" s="10" t="s">
        <v>2737</v>
      </c>
    </row>
    <row r="44">
      <c r="A44" s="267" t="s">
        <v>2838</v>
      </c>
      <c r="B44" s="268" t="s">
        <v>1628</v>
      </c>
      <c r="C44" s="269" t="s">
        <v>2839</v>
      </c>
      <c r="D44" s="10" t="s">
        <v>2737</v>
      </c>
    </row>
    <row r="45">
      <c r="A45" s="267" t="s">
        <v>2840</v>
      </c>
      <c r="B45" s="268" t="s">
        <v>1628</v>
      </c>
      <c r="C45" s="270" t="s">
        <v>2841</v>
      </c>
      <c r="D45" s="10" t="s">
        <v>2737</v>
      </c>
    </row>
    <row r="46">
      <c r="A46" s="267" t="s">
        <v>2842</v>
      </c>
      <c r="B46" s="268" t="s">
        <v>1628</v>
      </c>
      <c r="C46" s="270" t="s">
        <v>2843</v>
      </c>
      <c r="D46" s="10" t="s">
        <v>2737</v>
      </c>
    </row>
    <row r="47">
      <c r="A47" s="267" t="s">
        <v>2844</v>
      </c>
      <c r="B47" s="268" t="s">
        <v>1628</v>
      </c>
      <c r="C47" s="270" t="s">
        <v>2845</v>
      </c>
      <c r="D47" s="10" t="s">
        <v>2737</v>
      </c>
    </row>
    <row r="48">
      <c r="A48" s="267" t="s">
        <v>2846</v>
      </c>
      <c r="B48" s="268" t="s">
        <v>1628</v>
      </c>
      <c r="C48" s="270" t="s">
        <v>2847</v>
      </c>
      <c r="D48" s="10" t="s">
        <v>2737</v>
      </c>
    </row>
    <row r="49">
      <c r="A49" s="267" t="s">
        <v>2848</v>
      </c>
      <c r="B49" s="268" t="s">
        <v>2821</v>
      </c>
      <c r="C49" s="270" t="s">
        <v>2849</v>
      </c>
      <c r="D49" s="10" t="s">
        <v>2737</v>
      </c>
    </row>
    <row r="50">
      <c r="A50" s="267" t="s">
        <v>2850</v>
      </c>
      <c r="B50" s="268" t="s">
        <v>2775</v>
      </c>
      <c r="C50" s="270" t="s">
        <v>2851</v>
      </c>
      <c r="D50" s="10" t="s">
        <v>2737</v>
      </c>
    </row>
    <row r="51">
      <c r="A51" s="267" t="s">
        <v>2852</v>
      </c>
      <c r="B51" s="268" t="s">
        <v>1628</v>
      </c>
      <c r="C51" s="270" t="s">
        <v>2853</v>
      </c>
      <c r="D51" s="10" t="s">
        <v>2737</v>
      </c>
    </row>
    <row r="52">
      <c r="A52" s="267" t="s">
        <v>2854</v>
      </c>
      <c r="B52" s="268" t="s">
        <v>2855</v>
      </c>
      <c r="C52" s="269" t="s">
        <v>2856</v>
      </c>
      <c r="D52" s="10" t="s">
        <v>2737</v>
      </c>
    </row>
    <row r="53">
      <c r="A53" s="267" t="s">
        <v>2857</v>
      </c>
      <c r="B53" s="268" t="s">
        <v>1628</v>
      </c>
      <c r="C53" s="270" t="s">
        <v>2858</v>
      </c>
      <c r="D53" s="10" t="s">
        <v>2737</v>
      </c>
    </row>
    <row r="54">
      <c r="A54" s="267" t="s">
        <v>2859</v>
      </c>
      <c r="B54" s="268" t="s">
        <v>1628</v>
      </c>
      <c r="C54" s="269" t="s">
        <v>2860</v>
      </c>
      <c r="D54" s="10" t="s">
        <v>2737</v>
      </c>
    </row>
    <row r="55">
      <c r="A55" s="267" t="s">
        <v>2861</v>
      </c>
      <c r="B55" s="268" t="s">
        <v>2862</v>
      </c>
      <c r="C55" s="269" t="s">
        <v>2863</v>
      </c>
      <c r="D55" s="10" t="s">
        <v>2737</v>
      </c>
    </row>
    <row r="56">
      <c r="A56" s="267" t="s">
        <v>2864</v>
      </c>
      <c r="B56" s="268" t="s">
        <v>1628</v>
      </c>
      <c r="C56" s="269" t="s">
        <v>2865</v>
      </c>
      <c r="D56" s="10" t="s">
        <v>2737</v>
      </c>
    </row>
    <row r="57">
      <c r="A57" s="267" t="s">
        <v>2866</v>
      </c>
      <c r="B57" s="268" t="s">
        <v>1628</v>
      </c>
      <c r="C57" s="270" t="s">
        <v>2867</v>
      </c>
      <c r="D57" s="10" t="s">
        <v>2737</v>
      </c>
    </row>
    <row r="58">
      <c r="A58" s="267" t="s">
        <v>2868</v>
      </c>
      <c r="B58" s="268" t="s">
        <v>1628</v>
      </c>
      <c r="C58" s="270" t="s">
        <v>2869</v>
      </c>
      <c r="D58" s="10" t="s">
        <v>2737</v>
      </c>
    </row>
    <row r="59">
      <c r="A59" s="267" t="s">
        <v>2870</v>
      </c>
      <c r="B59" s="268" t="s">
        <v>2871</v>
      </c>
      <c r="C59" s="270" t="s">
        <v>2872</v>
      </c>
      <c r="D59" s="10" t="s">
        <v>2737</v>
      </c>
    </row>
    <row r="60">
      <c r="A60" s="267" t="s">
        <v>2873</v>
      </c>
      <c r="B60" s="268" t="s">
        <v>1628</v>
      </c>
      <c r="C60" s="269" t="s">
        <v>2874</v>
      </c>
      <c r="D60" s="10" t="s">
        <v>2737</v>
      </c>
    </row>
    <row r="61">
      <c r="A61" s="267" t="s">
        <v>2875</v>
      </c>
      <c r="B61" s="268" t="s">
        <v>2876</v>
      </c>
      <c r="C61" s="270" t="s">
        <v>2877</v>
      </c>
      <c r="D61" s="10" t="s">
        <v>2737</v>
      </c>
    </row>
    <row r="62">
      <c r="A62" s="267" t="s">
        <v>2878</v>
      </c>
      <c r="B62" s="268" t="s">
        <v>2879</v>
      </c>
      <c r="C62" s="270" t="s">
        <v>2880</v>
      </c>
      <c r="D62" s="10" t="s">
        <v>2737</v>
      </c>
    </row>
    <row r="63">
      <c r="A63" s="267" t="s">
        <v>2881</v>
      </c>
      <c r="B63" s="268" t="s">
        <v>1628</v>
      </c>
      <c r="C63" s="270" t="s">
        <v>2882</v>
      </c>
      <c r="D63" s="10" t="s">
        <v>2737</v>
      </c>
    </row>
    <row r="64">
      <c r="A64" s="267" t="s">
        <v>2883</v>
      </c>
      <c r="B64" s="268" t="s">
        <v>2745</v>
      </c>
      <c r="C64" s="269" t="s">
        <v>2884</v>
      </c>
      <c r="D64" s="10" t="s">
        <v>2737</v>
      </c>
    </row>
    <row r="65">
      <c r="A65" s="267" t="s">
        <v>2885</v>
      </c>
      <c r="B65" s="268" t="s">
        <v>1628</v>
      </c>
      <c r="C65" s="270" t="s">
        <v>2886</v>
      </c>
      <c r="D65" s="10" t="s">
        <v>2737</v>
      </c>
    </row>
    <row r="66">
      <c r="A66" s="267" t="s">
        <v>2887</v>
      </c>
      <c r="B66" s="268" t="s">
        <v>1628</v>
      </c>
      <c r="C66" s="269" t="s">
        <v>2888</v>
      </c>
      <c r="D66" s="10" t="s">
        <v>2737</v>
      </c>
    </row>
    <row r="67">
      <c r="A67" s="267" t="s">
        <v>2889</v>
      </c>
      <c r="B67" s="268" t="s">
        <v>1628</v>
      </c>
      <c r="C67" s="270" t="s">
        <v>2890</v>
      </c>
      <c r="D67" s="10" t="s">
        <v>2737</v>
      </c>
    </row>
    <row r="68">
      <c r="A68" s="267" t="s">
        <v>2891</v>
      </c>
      <c r="B68" s="268" t="s">
        <v>1628</v>
      </c>
      <c r="C68" s="270" t="s">
        <v>2892</v>
      </c>
      <c r="D68" s="10" t="s">
        <v>2737</v>
      </c>
    </row>
    <row r="69">
      <c r="A69" s="267" t="s">
        <v>2893</v>
      </c>
      <c r="B69" s="268" t="s">
        <v>1628</v>
      </c>
      <c r="C69" s="269" t="s">
        <v>2894</v>
      </c>
      <c r="D69" s="10" t="s">
        <v>2737</v>
      </c>
    </row>
    <row r="70">
      <c r="A70" s="267" t="s">
        <v>2895</v>
      </c>
      <c r="B70" s="268" t="s">
        <v>1628</v>
      </c>
      <c r="C70" s="270" t="s">
        <v>2896</v>
      </c>
      <c r="D70" s="10" t="s">
        <v>2737</v>
      </c>
    </row>
    <row r="71">
      <c r="A71" s="267" t="s">
        <v>2897</v>
      </c>
      <c r="B71" s="268" t="s">
        <v>2756</v>
      </c>
      <c r="C71" s="270" t="s">
        <v>2898</v>
      </c>
      <c r="D71" s="10" t="s">
        <v>2737</v>
      </c>
    </row>
    <row r="72">
      <c r="A72" s="267" t="s">
        <v>2899</v>
      </c>
      <c r="B72" s="268" t="s">
        <v>1628</v>
      </c>
      <c r="C72" s="269" t="s">
        <v>2900</v>
      </c>
      <c r="D72" s="10" t="s">
        <v>2737</v>
      </c>
    </row>
    <row r="73">
      <c r="A73" s="267" t="s">
        <v>2901</v>
      </c>
      <c r="B73" s="268" t="s">
        <v>2902</v>
      </c>
      <c r="C73" s="269" t="s">
        <v>2903</v>
      </c>
      <c r="D73" s="10" t="s">
        <v>2737</v>
      </c>
    </row>
    <row r="74">
      <c r="A74" s="267" t="s">
        <v>2904</v>
      </c>
      <c r="B74" s="268" t="s">
        <v>2778</v>
      </c>
      <c r="C74" s="270" t="s">
        <v>2905</v>
      </c>
      <c r="D74" s="10" t="s">
        <v>2737</v>
      </c>
    </row>
    <row r="75">
      <c r="A75" s="267" t="s">
        <v>2906</v>
      </c>
      <c r="B75" s="268" t="s">
        <v>2907</v>
      </c>
      <c r="C75" s="269" t="s">
        <v>2908</v>
      </c>
      <c r="D75" s="10" t="s">
        <v>2737</v>
      </c>
    </row>
    <row r="76">
      <c r="A76" s="267" t="s">
        <v>2909</v>
      </c>
      <c r="B76" s="268" t="s">
        <v>2910</v>
      </c>
      <c r="C76" s="270" t="s">
        <v>2911</v>
      </c>
      <c r="D76" s="10" t="s">
        <v>2737</v>
      </c>
    </row>
    <row r="77">
      <c r="A77" s="267" t="s">
        <v>2912</v>
      </c>
      <c r="B77" s="268" t="s">
        <v>1628</v>
      </c>
      <c r="C77" s="269" t="s">
        <v>2913</v>
      </c>
      <c r="D77" s="10" t="s">
        <v>2737</v>
      </c>
    </row>
    <row r="78">
      <c r="A78" s="267" t="s">
        <v>2914</v>
      </c>
      <c r="B78" s="268" t="s">
        <v>1628</v>
      </c>
      <c r="C78" s="269" t="s">
        <v>2915</v>
      </c>
      <c r="D78" s="10" t="s">
        <v>2737</v>
      </c>
    </row>
    <row r="79">
      <c r="A79" s="267" t="s">
        <v>2916</v>
      </c>
      <c r="B79" s="268" t="s">
        <v>1628</v>
      </c>
      <c r="C79" s="269" t="s">
        <v>2917</v>
      </c>
      <c r="D79" s="10" t="s">
        <v>2737</v>
      </c>
    </row>
    <row r="80">
      <c r="A80" s="267" t="s">
        <v>2918</v>
      </c>
      <c r="B80" s="268" t="s">
        <v>1628</v>
      </c>
      <c r="C80" s="270" t="s">
        <v>2919</v>
      </c>
      <c r="D80" s="10" t="s">
        <v>2737</v>
      </c>
    </row>
    <row r="81">
      <c r="A81" s="267" t="s">
        <v>2920</v>
      </c>
      <c r="B81" s="268" t="s">
        <v>2921</v>
      </c>
      <c r="C81" s="269" t="s">
        <v>2922</v>
      </c>
      <c r="D81" s="10" t="s">
        <v>2737</v>
      </c>
    </row>
    <row r="82">
      <c r="A82" s="267" t="s">
        <v>2923</v>
      </c>
      <c r="B82" s="268" t="s">
        <v>2778</v>
      </c>
      <c r="C82" s="270" t="s">
        <v>2924</v>
      </c>
      <c r="D82" s="10" t="s">
        <v>2737</v>
      </c>
    </row>
    <row r="83">
      <c r="A83" s="267" t="s">
        <v>2925</v>
      </c>
      <c r="B83" s="268" t="s">
        <v>1628</v>
      </c>
      <c r="C83" s="269" t="s">
        <v>2926</v>
      </c>
      <c r="D83" s="10" t="s">
        <v>2737</v>
      </c>
    </row>
    <row r="84">
      <c r="A84" s="267" t="s">
        <v>2927</v>
      </c>
      <c r="B84" s="268" t="s">
        <v>2928</v>
      </c>
      <c r="C84" s="270" t="s">
        <v>2929</v>
      </c>
      <c r="D84" s="10" t="s">
        <v>2737</v>
      </c>
    </row>
    <row r="85">
      <c r="A85" s="271"/>
      <c r="C85" s="272"/>
    </row>
    <row r="86">
      <c r="C86" s="272"/>
    </row>
    <row r="87">
      <c r="C87" s="272"/>
    </row>
    <row r="88">
      <c r="C88" s="272"/>
    </row>
    <row r="89">
      <c r="C89" s="272"/>
    </row>
    <row r="90">
      <c r="C90" s="272"/>
    </row>
    <row r="91">
      <c r="C91" s="272"/>
    </row>
    <row r="92">
      <c r="C92" s="272"/>
    </row>
    <row r="93">
      <c r="C93" s="272"/>
    </row>
    <row r="94">
      <c r="C94" s="272"/>
    </row>
    <row r="95">
      <c r="C95" s="272"/>
    </row>
    <row r="96">
      <c r="C96" s="272"/>
    </row>
    <row r="97">
      <c r="C97" s="272"/>
    </row>
    <row r="98">
      <c r="C98" s="272"/>
    </row>
    <row r="99">
      <c r="C99" s="272"/>
    </row>
    <row r="100">
      <c r="C100" s="272"/>
    </row>
    <row r="101">
      <c r="C101" s="272"/>
    </row>
    <row r="102">
      <c r="C102" s="272"/>
    </row>
    <row r="103">
      <c r="C103" s="272"/>
    </row>
    <row r="104">
      <c r="C104" s="272"/>
    </row>
    <row r="105">
      <c r="C105" s="272"/>
    </row>
    <row r="106">
      <c r="C106" s="272"/>
    </row>
    <row r="107">
      <c r="C107" s="272"/>
    </row>
    <row r="108">
      <c r="C108" s="272"/>
    </row>
    <row r="109">
      <c r="C109" s="272"/>
    </row>
    <row r="110">
      <c r="C110" s="272"/>
    </row>
    <row r="111">
      <c r="C111" s="272"/>
    </row>
    <row r="112">
      <c r="C112" s="272"/>
    </row>
    <row r="113">
      <c r="C113" s="272"/>
    </row>
    <row r="114">
      <c r="C114" s="272"/>
    </row>
    <row r="115">
      <c r="C115" s="272"/>
    </row>
    <row r="116">
      <c r="C116" s="272"/>
    </row>
    <row r="117">
      <c r="C117" s="272"/>
    </row>
    <row r="118">
      <c r="C118" s="272"/>
    </row>
    <row r="119">
      <c r="C119" s="272"/>
    </row>
    <row r="120">
      <c r="C120" s="272"/>
    </row>
    <row r="121">
      <c r="C121" s="272"/>
    </row>
    <row r="122">
      <c r="C122" s="272"/>
    </row>
    <row r="123">
      <c r="C123" s="272"/>
    </row>
    <row r="124">
      <c r="C124" s="272"/>
    </row>
    <row r="125">
      <c r="C125" s="272"/>
    </row>
    <row r="126">
      <c r="C126" s="272"/>
    </row>
    <row r="127">
      <c r="C127" s="272"/>
    </row>
    <row r="128">
      <c r="C128" s="272"/>
    </row>
    <row r="129">
      <c r="C129" s="272"/>
    </row>
    <row r="130">
      <c r="C130" s="272"/>
    </row>
    <row r="131">
      <c r="C131" s="272"/>
    </row>
    <row r="132">
      <c r="C132" s="272"/>
    </row>
    <row r="133">
      <c r="C133" s="272"/>
    </row>
    <row r="134">
      <c r="C134" s="272"/>
    </row>
    <row r="135">
      <c r="C135" s="272"/>
    </row>
    <row r="136">
      <c r="C136" s="272"/>
    </row>
    <row r="137">
      <c r="C137" s="272"/>
    </row>
    <row r="138">
      <c r="C138" s="272"/>
    </row>
    <row r="139">
      <c r="C139" s="272"/>
    </row>
    <row r="140">
      <c r="C140" s="272"/>
    </row>
    <row r="141">
      <c r="C141" s="272"/>
    </row>
    <row r="142">
      <c r="C142" s="272"/>
    </row>
    <row r="143">
      <c r="C143" s="272"/>
    </row>
    <row r="144">
      <c r="C144" s="272"/>
    </row>
    <row r="145">
      <c r="C145" s="272"/>
    </row>
    <row r="146">
      <c r="C146" s="272"/>
    </row>
    <row r="147">
      <c r="C147" s="272"/>
    </row>
    <row r="148">
      <c r="C148" s="272"/>
    </row>
    <row r="149">
      <c r="C149" s="272"/>
    </row>
    <row r="150">
      <c r="C150" s="272"/>
    </row>
    <row r="151">
      <c r="C151" s="272"/>
    </row>
    <row r="152">
      <c r="C152" s="272"/>
    </row>
    <row r="153">
      <c r="C153" s="272"/>
    </row>
    <row r="154">
      <c r="C154" s="272"/>
    </row>
    <row r="155">
      <c r="C155" s="272"/>
    </row>
    <row r="156">
      <c r="C156" s="272"/>
    </row>
    <row r="157">
      <c r="C157" s="272"/>
    </row>
    <row r="158">
      <c r="C158" s="272"/>
    </row>
    <row r="159">
      <c r="C159" s="272"/>
    </row>
    <row r="160">
      <c r="C160" s="272"/>
    </row>
    <row r="161">
      <c r="C161" s="272"/>
    </row>
    <row r="162">
      <c r="C162" s="272"/>
    </row>
    <row r="163">
      <c r="C163" s="272"/>
    </row>
    <row r="164">
      <c r="C164" s="272"/>
    </row>
    <row r="165">
      <c r="C165" s="272"/>
    </row>
    <row r="166">
      <c r="C166" s="272"/>
    </row>
    <row r="167">
      <c r="C167" s="272"/>
    </row>
    <row r="168">
      <c r="C168" s="272"/>
    </row>
    <row r="169">
      <c r="C169" s="272"/>
    </row>
    <row r="170">
      <c r="C170" s="272"/>
    </row>
    <row r="171">
      <c r="C171" s="272"/>
    </row>
    <row r="172">
      <c r="C172" s="272"/>
    </row>
    <row r="173">
      <c r="C173" s="272"/>
    </row>
    <row r="174">
      <c r="C174" s="272"/>
    </row>
    <row r="175">
      <c r="C175" s="272"/>
    </row>
    <row r="176">
      <c r="C176" s="272"/>
    </row>
    <row r="177">
      <c r="C177" s="272"/>
    </row>
    <row r="178">
      <c r="C178" s="272"/>
    </row>
    <row r="179">
      <c r="C179" s="272"/>
    </row>
    <row r="180">
      <c r="C180" s="272"/>
    </row>
    <row r="181">
      <c r="C181" s="272"/>
    </row>
    <row r="182">
      <c r="C182" s="272"/>
    </row>
    <row r="183">
      <c r="C183" s="272"/>
    </row>
    <row r="184">
      <c r="C184" s="272"/>
    </row>
    <row r="185">
      <c r="C185" s="272"/>
    </row>
    <row r="186">
      <c r="C186" s="272"/>
    </row>
    <row r="187">
      <c r="C187" s="272"/>
    </row>
    <row r="188">
      <c r="C188" s="272"/>
    </row>
    <row r="189">
      <c r="C189" s="272"/>
    </row>
    <row r="190">
      <c r="C190" s="272"/>
    </row>
    <row r="191">
      <c r="C191" s="272"/>
    </row>
    <row r="192">
      <c r="C192" s="272"/>
    </row>
    <row r="193">
      <c r="C193" s="272"/>
    </row>
    <row r="194">
      <c r="C194" s="272"/>
    </row>
    <row r="195">
      <c r="C195" s="272"/>
    </row>
    <row r="196">
      <c r="C196" s="272"/>
    </row>
    <row r="197">
      <c r="C197" s="272"/>
    </row>
    <row r="198">
      <c r="C198" s="272"/>
    </row>
    <row r="199">
      <c r="C199" s="272"/>
    </row>
    <row r="200">
      <c r="C200" s="272"/>
    </row>
    <row r="201">
      <c r="C201" s="272"/>
    </row>
    <row r="202">
      <c r="C202" s="272"/>
    </row>
    <row r="203">
      <c r="C203" s="272"/>
    </row>
    <row r="204">
      <c r="C204" s="272"/>
    </row>
    <row r="205">
      <c r="C205" s="272"/>
    </row>
    <row r="206">
      <c r="C206" s="272"/>
    </row>
    <row r="207">
      <c r="C207" s="272"/>
    </row>
    <row r="208">
      <c r="C208" s="272"/>
    </row>
    <row r="209">
      <c r="C209" s="272"/>
    </row>
    <row r="210">
      <c r="C210" s="272"/>
    </row>
    <row r="211">
      <c r="C211" s="272"/>
    </row>
    <row r="212">
      <c r="C212" s="272"/>
    </row>
    <row r="213">
      <c r="C213" s="272"/>
    </row>
    <row r="214">
      <c r="C214" s="272"/>
    </row>
    <row r="215">
      <c r="C215" s="272"/>
    </row>
    <row r="216">
      <c r="C216" s="272"/>
    </row>
    <row r="217">
      <c r="C217" s="272"/>
    </row>
    <row r="218">
      <c r="C218" s="272"/>
    </row>
    <row r="219">
      <c r="C219" s="272"/>
    </row>
    <row r="220">
      <c r="C220" s="272"/>
    </row>
    <row r="221">
      <c r="C221" s="272"/>
    </row>
    <row r="222">
      <c r="C222" s="272"/>
    </row>
    <row r="223">
      <c r="C223" s="272"/>
    </row>
    <row r="224">
      <c r="C224" s="272"/>
    </row>
    <row r="225">
      <c r="C225" s="272"/>
    </row>
    <row r="226">
      <c r="C226" s="272"/>
    </row>
    <row r="227">
      <c r="C227" s="272"/>
    </row>
    <row r="228">
      <c r="C228" s="272"/>
    </row>
    <row r="229">
      <c r="C229" s="272"/>
    </row>
    <row r="230">
      <c r="C230" s="272"/>
    </row>
    <row r="231">
      <c r="C231" s="272"/>
    </row>
    <row r="232">
      <c r="C232" s="272"/>
    </row>
    <row r="233">
      <c r="C233" s="272"/>
    </row>
    <row r="234">
      <c r="C234" s="272"/>
    </row>
    <row r="235">
      <c r="C235" s="272"/>
    </row>
    <row r="236">
      <c r="C236" s="272"/>
    </row>
    <row r="237">
      <c r="C237" s="272"/>
    </row>
    <row r="238">
      <c r="C238" s="272"/>
    </row>
    <row r="239">
      <c r="C239" s="272"/>
    </row>
    <row r="240">
      <c r="C240" s="272"/>
    </row>
    <row r="241">
      <c r="C241" s="272"/>
    </row>
    <row r="242">
      <c r="C242" s="272"/>
    </row>
    <row r="243">
      <c r="C243" s="272"/>
    </row>
    <row r="244">
      <c r="C244" s="272"/>
    </row>
    <row r="245">
      <c r="C245" s="272"/>
    </row>
    <row r="246">
      <c r="C246" s="272"/>
    </row>
    <row r="247">
      <c r="C247" s="272"/>
    </row>
    <row r="248">
      <c r="C248" s="272"/>
    </row>
    <row r="249">
      <c r="C249" s="272"/>
    </row>
    <row r="250">
      <c r="C250" s="272"/>
    </row>
    <row r="251">
      <c r="C251" s="272"/>
    </row>
    <row r="252">
      <c r="C252" s="272"/>
    </row>
    <row r="253">
      <c r="C253" s="272"/>
    </row>
    <row r="254">
      <c r="C254" s="272"/>
    </row>
    <row r="255">
      <c r="C255" s="272"/>
    </row>
    <row r="256">
      <c r="C256" s="272"/>
    </row>
    <row r="257">
      <c r="C257" s="272"/>
    </row>
    <row r="258">
      <c r="C258" s="272"/>
    </row>
    <row r="259">
      <c r="C259" s="272"/>
    </row>
    <row r="260">
      <c r="C260" s="272"/>
    </row>
    <row r="261">
      <c r="C261" s="272"/>
    </row>
    <row r="262">
      <c r="C262" s="272"/>
    </row>
    <row r="263">
      <c r="C263" s="272"/>
    </row>
    <row r="264">
      <c r="C264" s="272"/>
    </row>
    <row r="265">
      <c r="C265" s="272"/>
    </row>
    <row r="266">
      <c r="C266" s="272"/>
    </row>
    <row r="267">
      <c r="C267" s="272"/>
    </row>
    <row r="268">
      <c r="C268" s="272"/>
    </row>
    <row r="269">
      <c r="C269" s="272"/>
    </row>
    <row r="270">
      <c r="C270" s="272"/>
    </row>
    <row r="271">
      <c r="C271" s="272"/>
    </row>
    <row r="272">
      <c r="C272" s="272"/>
    </row>
    <row r="273">
      <c r="C273" s="272"/>
    </row>
    <row r="274">
      <c r="C274" s="272"/>
    </row>
    <row r="275">
      <c r="C275" s="272"/>
    </row>
    <row r="276">
      <c r="C276" s="272"/>
    </row>
    <row r="277">
      <c r="C277" s="272"/>
    </row>
    <row r="278">
      <c r="C278" s="272"/>
    </row>
    <row r="279">
      <c r="C279" s="272"/>
    </row>
    <row r="280">
      <c r="C280" s="272"/>
    </row>
    <row r="281">
      <c r="C281" s="272"/>
    </row>
    <row r="282">
      <c r="C282" s="272"/>
    </row>
    <row r="283">
      <c r="C283" s="272"/>
    </row>
    <row r="284">
      <c r="C284" s="272"/>
    </row>
    <row r="285">
      <c r="C285" s="272"/>
    </row>
    <row r="286">
      <c r="C286" s="272"/>
    </row>
    <row r="287">
      <c r="C287" s="272"/>
    </row>
    <row r="288">
      <c r="C288" s="272"/>
    </row>
    <row r="289">
      <c r="C289" s="272"/>
    </row>
    <row r="290">
      <c r="C290" s="272"/>
    </row>
    <row r="291">
      <c r="C291" s="272"/>
    </row>
    <row r="292">
      <c r="C292" s="272"/>
    </row>
    <row r="293">
      <c r="C293" s="272"/>
    </row>
    <row r="294">
      <c r="C294" s="272"/>
    </row>
    <row r="295">
      <c r="C295" s="272"/>
    </row>
    <row r="296">
      <c r="C296" s="272"/>
    </row>
    <row r="297">
      <c r="C297" s="272"/>
    </row>
    <row r="298">
      <c r="C298" s="272"/>
    </row>
    <row r="299">
      <c r="C299" s="272"/>
    </row>
    <row r="300">
      <c r="C300" s="272"/>
    </row>
    <row r="301">
      <c r="C301" s="272"/>
    </row>
    <row r="302">
      <c r="C302" s="272"/>
    </row>
    <row r="303">
      <c r="C303" s="272"/>
    </row>
    <row r="304">
      <c r="C304" s="272"/>
    </row>
    <row r="305">
      <c r="C305" s="272"/>
    </row>
    <row r="306">
      <c r="C306" s="272"/>
    </row>
    <row r="307">
      <c r="C307" s="272"/>
    </row>
    <row r="308">
      <c r="C308" s="272"/>
    </row>
    <row r="309">
      <c r="C309" s="272"/>
    </row>
    <row r="310">
      <c r="C310" s="272"/>
    </row>
    <row r="311">
      <c r="C311" s="272"/>
    </row>
    <row r="312">
      <c r="C312" s="272"/>
    </row>
    <row r="313">
      <c r="C313" s="272"/>
    </row>
    <row r="314">
      <c r="C314" s="272"/>
    </row>
    <row r="315">
      <c r="C315" s="272"/>
    </row>
    <row r="316">
      <c r="C316" s="272"/>
    </row>
    <row r="317">
      <c r="C317" s="272"/>
    </row>
    <row r="318">
      <c r="C318" s="272"/>
    </row>
    <row r="319">
      <c r="C319" s="272"/>
    </row>
    <row r="320">
      <c r="C320" s="272"/>
    </row>
    <row r="321">
      <c r="C321" s="272"/>
    </row>
    <row r="322">
      <c r="C322" s="272"/>
    </row>
    <row r="323">
      <c r="C323" s="272"/>
    </row>
    <row r="324">
      <c r="C324" s="272"/>
    </row>
    <row r="325">
      <c r="C325" s="272"/>
    </row>
    <row r="326">
      <c r="C326" s="272"/>
    </row>
    <row r="327">
      <c r="C327" s="272"/>
    </row>
    <row r="328">
      <c r="C328" s="272"/>
    </row>
    <row r="329">
      <c r="C329" s="272"/>
    </row>
    <row r="330">
      <c r="C330" s="272"/>
    </row>
    <row r="331">
      <c r="C331" s="272"/>
    </row>
    <row r="332">
      <c r="C332" s="272"/>
    </row>
    <row r="333">
      <c r="C333" s="272"/>
    </row>
    <row r="334">
      <c r="C334" s="272"/>
    </row>
    <row r="335">
      <c r="C335" s="272"/>
    </row>
    <row r="336">
      <c r="C336" s="272"/>
    </row>
    <row r="337">
      <c r="C337" s="272"/>
    </row>
    <row r="338">
      <c r="C338" s="272"/>
    </row>
    <row r="339">
      <c r="C339" s="272"/>
    </row>
    <row r="340">
      <c r="C340" s="272"/>
    </row>
    <row r="341">
      <c r="C341" s="272"/>
    </row>
    <row r="342">
      <c r="C342" s="272"/>
    </row>
    <row r="343">
      <c r="C343" s="272"/>
    </row>
    <row r="344">
      <c r="C344" s="272"/>
    </row>
    <row r="345">
      <c r="C345" s="272"/>
    </row>
    <row r="346">
      <c r="C346" s="272"/>
    </row>
    <row r="347">
      <c r="C347" s="272"/>
    </row>
    <row r="348">
      <c r="C348" s="272"/>
    </row>
    <row r="349">
      <c r="C349" s="272"/>
    </row>
    <row r="350">
      <c r="C350" s="272"/>
    </row>
    <row r="351">
      <c r="C351" s="272"/>
    </row>
    <row r="352">
      <c r="C352" s="272"/>
    </row>
    <row r="353">
      <c r="C353" s="272"/>
    </row>
    <row r="354">
      <c r="C354" s="272"/>
    </row>
    <row r="355">
      <c r="C355" s="272"/>
    </row>
    <row r="356">
      <c r="C356" s="272"/>
    </row>
    <row r="357">
      <c r="C357" s="272"/>
    </row>
    <row r="358">
      <c r="C358" s="272"/>
    </row>
    <row r="359">
      <c r="C359" s="272"/>
    </row>
    <row r="360">
      <c r="C360" s="272"/>
    </row>
    <row r="361">
      <c r="C361" s="272"/>
    </row>
    <row r="362">
      <c r="C362" s="272"/>
    </row>
    <row r="363">
      <c r="C363" s="272"/>
    </row>
    <row r="364">
      <c r="C364" s="272"/>
    </row>
    <row r="365">
      <c r="C365" s="272"/>
    </row>
    <row r="366">
      <c r="C366" s="272"/>
    </row>
    <row r="367">
      <c r="C367" s="272"/>
    </row>
    <row r="368">
      <c r="C368" s="272"/>
    </row>
    <row r="369">
      <c r="C369" s="272"/>
    </row>
    <row r="370">
      <c r="C370" s="272"/>
    </row>
    <row r="371">
      <c r="C371" s="272"/>
    </row>
    <row r="372">
      <c r="C372" s="272"/>
    </row>
    <row r="373">
      <c r="C373" s="272"/>
    </row>
    <row r="374">
      <c r="C374" s="272"/>
    </row>
    <row r="375">
      <c r="C375" s="272"/>
    </row>
    <row r="376">
      <c r="C376" s="272"/>
    </row>
    <row r="377">
      <c r="C377" s="272"/>
    </row>
    <row r="378">
      <c r="C378" s="272"/>
    </row>
    <row r="379">
      <c r="C379" s="272"/>
    </row>
    <row r="380">
      <c r="C380" s="272"/>
    </row>
    <row r="381">
      <c r="C381" s="272"/>
    </row>
    <row r="382">
      <c r="C382" s="272"/>
    </row>
    <row r="383">
      <c r="C383" s="272"/>
    </row>
    <row r="384">
      <c r="C384" s="272"/>
    </row>
    <row r="385">
      <c r="C385" s="272"/>
    </row>
    <row r="386">
      <c r="C386" s="272"/>
    </row>
    <row r="387">
      <c r="C387" s="272"/>
    </row>
    <row r="388">
      <c r="C388" s="272"/>
    </row>
    <row r="389">
      <c r="C389" s="272"/>
    </row>
    <row r="390">
      <c r="C390" s="272"/>
    </row>
    <row r="391">
      <c r="C391" s="272"/>
    </row>
    <row r="392">
      <c r="C392" s="272"/>
    </row>
    <row r="393">
      <c r="C393" s="272"/>
    </row>
    <row r="394">
      <c r="C394" s="272"/>
    </row>
    <row r="395">
      <c r="C395" s="272"/>
    </row>
    <row r="396">
      <c r="C396" s="272"/>
    </row>
    <row r="397">
      <c r="C397" s="272"/>
    </row>
    <row r="398">
      <c r="C398" s="272"/>
    </row>
    <row r="399">
      <c r="C399" s="272"/>
    </row>
    <row r="400">
      <c r="C400" s="272"/>
    </row>
    <row r="401">
      <c r="C401" s="272"/>
    </row>
    <row r="402">
      <c r="C402" s="272"/>
    </row>
    <row r="403">
      <c r="C403" s="272"/>
    </row>
    <row r="404">
      <c r="C404" s="272"/>
    </row>
    <row r="405">
      <c r="C405" s="272"/>
    </row>
    <row r="406">
      <c r="C406" s="272"/>
    </row>
    <row r="407">
      <c r="C407" s="272"/>
    </row>
    <row r="408">
      <c r="C408" s="272"/>
    </row>
    <row r="409">
      <c r="C409" s="272"/>
    </row>
    <row r="410">
      <c r="C410" s="272"/>
    </row>
    <row r="411">
      <c r="C411" s="272"/>
    </row>
    <row r="412">
      <c r="C412" s="272"/>
    </row>
    <row r="413">
      <c r="C413" s="272"/>
    </row>
    <row r="414">
      <c r="C414" s="272"/>
    </row>
    <row r="415">
      <c r="C415" s="272"/>
    </row>
    <row r="416">
      <c r="C416" s="272"/>
    </row>
    <row r="417">
      <c r="C417" s="272"/>
    </row>
    <row r="418">
      <c r="C418" s="272"/>
    </row>
    <row r="419">
      <c r="C419" s="272"/>
    </row>
    <row r="420">
      <c r="C420" s="272"/>
    </row>
    <row r="421">
      <c r="C421" s="272"/>
    </row>
    <row r="422">
      <c r="C422" s="272"/>
    </row>
    <row r="423">
      <c r="C423" s="272"/>
    </row>
    <row r="424">
      <c r="C424" s="272"/>
    </row>
    <row r="425">
      <c r="C425" s="272"/>
    </row>
    <row r="426">
      <c r="C426" s="272"/>
    </row>
    <row r="427">
      <c r="C427" s="272"/>
    </row>
    <row r="428">
      <c r="C428" s="272"/>
    </row>
    <row r="429">
      <c r="C429" s="272"/>
    </row>
    <row r="430">
      <c r="C430" s="272"/>
    </row>
    <row r="431">
      <c r="C431" s="272"/>
    </row>
    <row r="432">
      <c r="C432" s="272"/>
    </row>
    <row r="433">
      <c r="C433" s="272"/>
    </row>
    <row r="434">
      <c r="C434" s="272"/>
    </row>
    <row r="435">
      <c r="C435" s="272"/>
    </row>
    <row r="436">
      <c r="C436" s="272"/>
    </row>
    <row r="437">
      <c r="C437" s="272"/>
    </row>
    <row r="438">
      <c r="C438" s="272"/>
    </row>
    <row r="439">
      <c r="C439" s="272"/>
    </row>
    <row r="440">
      <c r="C440" s="272"/>
    </row>
    <row r="441">
      <c r="C441" s="272"/>
    </row>
    <row r="442">
      <c r="C442" s="272"/>
    </row>
    <row r="443">
      <c r="C443" s="272"/>
    </row>
    <row r="444">
      <c r="C444" s="272"/>
    </row>
    <row r="445">
      <c r="C445" s="272"/>
    </row>
    <row r="446">
      <c r="C446" s="272"/>
    </row>
    <row r="447">
      <c r="C447" s="272"/>
    </row>
    <row r="448">
      <c r="C448" s="272"/>
    </row>
    <row r="449">
      <c r="C449" s="272"/>
    </row>
    <row r="450">
      <c r="C450" s="272"/>
    </row>
    <row r="451">
      <c r="C451" s="272"/>
    </row>
    <row r="452">
      <c r="C452" s="272"/>
    </row>
    <row r="453">
      <c r="C453" s="272"/>
    </row>
    <row r="454">
      <c r="C454" s="272"/>
    </row>
    <row r="455">
      <c r="C455" s="272"/>
    </row>
    <row r="456">
      <c r="C456" s="272"/>
    </row>
    <row r="457">
      <c r="C457" s="272"/>
    </row>
    <row r="458">
      <c r="C458" s="272"/>
    </row>
    <row r="459">
      <c r="C459" s="272"/>
    </row>
    <row r="460">
      <c r="C460" s="272"/>
    </row>
    <row r="461">
      <c r="C461" s="272"/>
    </row>
    <row r="462">
      <c r="C462" s="272"/>
    </row>
    <row r="463">
      <c r="C463" s="272"/>
    </row>
    <row r="464">
      <c r="C464" s="272"/>
    </row>
    <row r="465">
      <c r="C465" s="272"/>
    </row>
    <row r="466">
      <c r="C466" s="272"/>
    </row>
    <row r="467">
      <c r="C467" s="272"/>
    </row>
    <row r="468">
      <c r="C468" s="272"/>
    </row>
    <row r="469">
      <c r="C469" s="272"/>
    </row>
    <row r="470">
      <c r="C470" s="272"/>
    </row>
    <row r="471">
      <c r="C471" s="272"/>
    </row>
    <row r="472">
      <c r="C472" s="272"/>
    </row>
    <row r="473">
      <c r="C473" s="272"/>
    </row>
    <row r="474">
      <c r="C474" s="272"/>
    </row>
    <row r="475">
      <c r="C475" s="272"/>
    </row>
    <row r="476">
      <c r="C476" s="272"/>
    </row>
    <row r="477">
      <c r="C477" s="272"/>
    </row>
    <row r="478">
      <c r="C478" s="272"/>
    </row>
    <row r="479">
      <c r="C479" s="272"/>
    </row>
    <row r="480">
      <c r="C480" s="272"/>
    </row>
    <row r="481">
      <c r="C481" s="272"/>
    </row>
    <row r="482">
      <c r="C482" s="272"/>
    </row>
    <row r="483">
      <c r="C483" s="272"/>
    </row>
    <row r="484">
      <c r="C484" s="272"/>
    </row>
    <row r="485">
      <c r="C485" s="272"/>
    </row>
    <row r="486">
      <c r="C486" s="272"/>
    </row>
    <row r="487">
      <c r="C487" s="272"/>
    </row>
    <row r="488">
      <c r="C488" s="272"/>
    </row>
    <row r="489">
      <c r="C489" s="272"/>
    </row>
    <row r="490">
      <c r="C490" s="272"/>
    </row>
    <row r="491">
      <c r="C491" s="272"/>
    </row>
    <row r="492">
      <c r="C492" s="272"/>
    </row>
    <row r="493">
      <c r="C493" s="272"/>
    </row>
    <row r="494">
      <c r="C494" s="272"/>
    </row>
    <row r="495">
      <c r="C495" s="272"/>
    </row>
    <row r="496">
      <c r="C496" s="272"/>
    </row>
    <row r="497">
      <c r="C497" s="272"/>
    </row>
    <row r="498">
      <c r="C498" s="272"/>
    </row>
    <row r="499">
      <c r="C499" s="272"/>
    </row>
    <row r="500">
      <c r="C500" s="272"/>
    </row>
    <row r="501">
      <c r="C501" s="272"/>
    </row>
    <row r="502">
      <c r="C502" s="272"/>
    </row>
    <row r="503">
      <c r="C503" s="272"/>
    </row>
    <row r="504">
      <c r="C504" s="272"/>
    </row>
    <row r="505">
      <c r="C505" s="272"/>
    </row>
    <row r="506">
      <c r="C506" s="272"/>
    </row>
    <row r="507">
      <c r="C507" s="272"/>
    </row>
    <row r="508">
      <c r="C508" s="272"/>
    </row>
    <row r="509">
      <c r="C509" s="272"/>
    </row>
    <row r="510">
      <c r="C510" s="272"/>
    </row>
    <row r="511">
      <c r="C511" s="272"/>
    </row>
    <row r="512">
      <c r="C512" s="272"/>
    </row>
    <row r="513">
      <c r="C513" s="272"/>
    </row>
    <row r="514">
      <c r="C514" s="272"/>
    </row>
    <row r="515">
      <c r="C515" s="272"/>
    </row>
    <row r="516">
      <c r="C516" s="272"/>
    </row>
    <row r="517">
      <c r="C517" s="272"/>
    </row>
    <row r="518">
      <c r="C518" s="272"/>
    </row>
    <row r="519">
      <c r="C519" s="272"/>
    </row>
    <row r="520">
      <c r="C520" s="272"/>
    </row>
    <row r="521">
      <c r="C521" s="272"/>
    </row>
    <row r="522">
      <c r="C522" s="272"/>
    </row>
    <row r="523">
      <c r="C523" s="272"/>
    </row>
    <row r="524">
      <c r="C524" s="272"/>
    </row>
    <row r="525">
      <c r="C525" s="272"/>
    </row>
    <row r="526">
      <c r="C526" s="272"/>
    </row>
    <row r="527">
      <c r="C527" s="272"/>
    </row>
    <row r="528">
      <c r="C528" s="272"/>
    </row>
    <row r="529">
      <c r="C529" s="272"/>
    </row>
    <row r="530">
      <c r="C530" s="272"/>
    </row>
    <row r="531">
      <c r="C531" s="272"/>
    </row>
    <row r="532">
      <c r="C532" s="272"/>
    </row>
    <row r="533">
      <c r="C533" s="272"/>
    </row>
    <row r="534">
      <c r="C534" s="272"/>
    </row>
    <row r="535">
      <c r="C535" s="272"/>
    </row>
    <row r="536">
      <c r="C536" s="272"/>
    </row>
    <row r="537">
      <c r="C537" s="272"/>
    </row>
    <row r="538">
      <c r="C538" s="272"/>
    </row>
    <row r="539">
      <c r="C539" s="272"/>
    </row>
    <row r="540">
      <c r="C540" s="272"/>
    </row>
    <row r="541">
      <c r="C541" s="272"/>
    </row>
    <row r="542">
      <c r="C542" s="272"/>
    </row>
    <row r="543">
      <c r="C543" s="272"/>
    </row>
    <row r="544">
      <c r="C544" s="272"/>
    </row>
    <row r="545">
      <c r="C545" s="272"/>
    </row>
    <row r="546">
      <c r="C546" s="272"/>
    </row>
    <row r="547">
      <c r="C547" s="272"/>
    </row>
    <row r="548">
      <c r="C548" s="272"/>
    </row>
    <row r="549">
      <c r="C549" s="272"/>
    </row>
    <row r="550">
      <c r="C550" s="272"/>
    </row>
    <row r="551">
      <c r="C551" s="272"/>
    </row>
    <row r="552">
      <c r="C552" s="272"/>
    </row>
    <row r="553">
      <c r="C553" s="272"/>
    </row>
    <row r="554">
      <c r="C554" s="272"/>
    </row>
    <row r="555">
      <c r="C555" s="272"/>
    </row>
    <row r="556">
      <c r="C556" s="272"/>
    </row>
    <row r="557">
      <c r="C557" s="272"/>
    </row>
    <row r="558">
      <c r="C558" s="272"/>
    </row>
    <row r="559">
      <c r="C559" s="272"/>
    </row>
    <row r="560">
      <c r="C560" s="272"/>
    </row>
    <row r="561">
      <c r="C561" s="272"/>
    </row>
    <row r="562">
      <c r="C562" s="272"/>
    </row>
    <row r="563">
      <c r="C563" s="272"/>
    </row>
    <row r="564">
      <c r="C564" s="272"/>
    </row>
    <row r="565">
      <c r="C565" s="272"/>
    </row>
    <row r="566">
      <c r="C566" s="272"/>
    </row>
    <row r="567">
      <c r="C567" s="272"/>
    </row>
    <row r="568">
      <c r="C568" s="272"/>
    </row>
    <row r="569">
      <c r="C569" s="272"/>
    </row>
    <row r="570">
      <c r="C570" s="272"/>
    </row>
    <row r="571">
      <c r="C571" s="272"/>
    </row>
    <row r="572">
      <c r="C572" s="272"/>
    </row>
    <row r="573">
      <c r="C573" s="272"/>
    </row>
    <row r="574">
      <c r="C574" s="272"/>
    </row>
    <row r="575">
      <c r="C575" s="272"/>
    </row>
    <row r="576">
      <c r="C576" s="272"/>
    </row>
    <row r="577">
      <c r="C577" s="272"/>
    </row>
    <row r="578">
      <c r="C578" s="272"/>
    </row>
    <row r="579">
      <c r="C579" s="272"/>
    </row>
    <row r="580">
      <c r="C580" s="272"/>
    </row>
    <row r="581">
      <c r="C581" s="272"/>
    </row>
    <row r="582">
      <c r="C582" s="272"/>
    </row>
    <row r="583">
      <c r="C583" s="272"/>
    </row>
    <row r="584">
      <c r="C584" s="272"/>
    </row>
    <row r="585">
      <c r="C585" s="272"/>
    </row>
    <row r="586">
      <c r="C586" s="272"/>
    </row>
    <row r="587">
      <c r="C587" s="272"/>
    </row>
    <row r="588">
      <c r="C588" s="272"/>
    </row>
    <row r="589">
      <c r="C589" s="272"/>
    </row>
    <row r="590">
      <c r="C590" s="272"/>
    </row>
    <row r="591">
      <c r="C591" s="272"/>
    </row>
    <row r="592">
      <c r="C592" s="272"/>
    </row>
    <row r="593">
      <c r="C593" s="272"/>
    </row>
    <row r="594">
      <c r="C594" s="272"/>
    </row>
    <row r="595">
      <c r="C595" s="272"/>
    </row>
    <row r="596">
      <c r="C596" s="272"/>
    </row>
    <row r="597">
      <c r="C597" s="272"/>
    </row>
    <row r="598">
      <c r="C598" s="272"/>
    </row>
    <row r="599">
      <c r="C599" s="272"/>
    </row>
    <row r="600">
      <c r="C600" s="272"/>
    </row>
    <row r="601">
      <c r="C601" s="272"/>
    </row>
    <row r="602">
      <c r="C602" s="272"/>
    </row>
    <row r="603">
      <c r="C603" s="272"/>
    </row>
    <row r="604">
      <c r="C604" s="272"/>
    </row>
    <row r="605">
      <c r="C605" s="272"/>
    </row>
    <row r="606">
      <c r="C606" s="272"/>
    </row>
    <row r="607">
      <c r="C607" s="272"/>
    </row>
    <row r="608">
      <c r="C608" s="272"/>
    </row>
    <row r="609">
      <c r="C609" s="272"/>
    </row>
    <row r="610">
      <c r="C610" s="272"/>
    </row>
    <row r="611">
      <c r="C611" s="272"/>
    </row>
    <row r="612">
      <c r="C612" s="272"/>
    </row>
    <row r="613">
      <c r="C613" s="272"/>
    </row>
    <row r="614">
      <c r="C614" s="272"/>
    </row>
    <row r="615">
      <c r="C615" s="272"/>
    </row>
    <row r="616">
      <c r="C616" s="272"/>
    </row>
    <row r="617">
      <c r="C617" s="272"/>
    </row>
    <row r="618">
      <c r="C618" s="272"/>
    </row>
    <row r="619">
      <c r="C619" s="272"/>
    </row>
    <row r="620">
      <c r="C620" s="272"/>
    </row>
    <row r="621">
      <c r="C621" s="272"/>
    </row>
    <row r="622">
      <c r="C622" s="272"/>
    </row>
    <row r="623">
      <c r="C623" s="272"/>
    </row>
    <row r="624">
      <c r="C624" s="272"/>
    </row>
    <row r="625">
      <c r="C625" s="272"/>
    </row>
    <row r="626">
      <c r="C626" s="272"/>
    </row>
    <row r="627">
      <c r="C627" s="272"/>
    </row>
    <row r="628">
      <c r="C628" s="272"/>
    </row>
    <row r="629">
      <c r="C629" s="272"/>
    </row>
    <row r="630">
      <c r="C630" s="272"/>
    </row>
    <row r="631">
      <c r="C631" s="272"/>
    </row>
    <row r="632">
      <c r="C632" s="272"/>
    </row>
    <row r="633">
      <c r="C633" s="272"/>
    </row>
    <row r="634">
      <c r="C634" s="272"/>
    </row>
    <row r="635">
      <c r="C635" s="272"/>
    </row>
    <row r="636">
      <c r="C636" s="272"/>
    </row>
    <row r="637">
      <c r="C637" s="272"/>
    </row>
    <row r="638">
      <c r="C638" s="272"/>
    </row>
    <row r="639">
      <c r="C639" s="272"/>
    </row>
    <row r="640">
      <c r="C640" s="272"/>
    </row>
    <row r="641">
      <c r="C641" s="272"/>
    </row>
    <row r="642">
      <c r="C642" s="272"/>
    </row>
    <row r="643">
      <c r="C643" s="272"/>
    </row>
    <row r="644">
      <c r="C644" s="272"/>
    </row>
    <row r="645">
      <c r="C645" s="272"/>
    </row>
    <row r="646">
      <c r="C646" s="272"/>
    </row>
    <row r="647">
      <c r="C647" s="272"/>
    </row>
    <row r="648">
      <c r="C648" s="272"/>
    </row>
    <row r="649">
      <c r="C649" s="272"/>
    </row>
    <row r="650">
      <c r="C650" s="272"/>
    </row>
    <row r="651">
      <c r="C651" s="272"/>
    </row>
    <row r="652">
      <c r="C652" s="272"/>
    </row>
    <row r="653">
      <c r="C653" s="272"/>
    </row>
    <row r="654">
      <c r="C654" s="272"/>
    </row>
    <row r="655">
      <c r="C655" s="272"/>
    </row>
    <row r="656">
      <c r="C656" s="272"/>
    </row>
    <row r="657">
      <c r="C657" s="272"/>
    </row>
    <row r="658">
      <c r="C658" s="272"/>
    </row>
    <row r="659">
      <c r="C659" s="272"/>
    </row>
    <row r="660">
      <c r="C660" s="272"/>
    </row>
    <row r="661">
      <c r="C661" s="272"/>
    </row>
    <row r="662">
      <c r="C662" s="272"/>
    </row>
    <row r="663">
      <c r="C663" s="272"/>
    </row>
    <row r="664">
      <c r="C664" s="272"/>
    </row>
    <row r="665">
      <c r="C665" s="272"/>
    </row>
    <row r="666">
      <c r="C666" s="272"/>
    </row>
    <row r="667">
      <c r="C667" s="272"/>
    </row>
    <row r="668">
      <c r="C668" s="272"/>
    </row>
    <row r="669">
      <c r="C669" s="272"/>
    </row>
    <row r="670">
      <c r="C670" s="272"/>
    </row>
    <row r="671">
      <c r="C671" s="272"/>
    </row>
    <row r="672">
      <c r="C672" s="272"/>
    </row>
    <row r="673">
      <c r="C673" s="272"/>
    </row>
    <row r="674">
      <c r="C674" s="272"/>
    </row>
    <row r="675">
      <c r="C675" s="272"/>
    </row>
    <row r="676">
      <c r="C676" s="272"/>
    </row>
    <row r="677">
      <c r="C677" s="272"/>
    </row>
    <row r="678">
      <c r="C678" s="272"/>
    </row>
    <row r="679">
      <c r="C679" s="272"/>
    </row>
    <row r="680">
      <c r="C680" s="272"/>
    </row>
    <row r="681">
      <c r="C681" s="272"/>
    </row>
    <row r="682">
      <c r="C682" s="272"/>
    </row>
    <row r="683">
      <c r="C683" s="272"/>
    </row>
    <row r="684">
      <c r="C684" s="272"/>
    </row>
    <row r="685">
      <c r="C685" s="272"/>
    </row>
    <row r="686">
      <c r="C686" s="272"/>
    </row>
    <row r="687">
      <c r="C687" s="272"/>
    </row>
    <row r="688">
      <c r="C688" s="272"/>
    </row>
    <row r="689">
      <c r="C689" s="272"/>
    </row>
    <row r="690">
      <c r="C690" s="272"/>
    </row>
    <row r="691">
      <c r="C691" s="272"/>
    </row>
    <row r="692">
      <c r="C692" s="272"/>
    </row>
    <row r="693">
      <c r="C693" s="272"/>
    </row>
    <row r="694">
      <c r="C694" s="272"/>
    </row>
    <row r="695">
      <c r="C695" s="272"/>
    </row>
    <row r="696">
      <c r="C696" s="272"/>
    </row>
    <row r="697">
      <c r="C697" s="272"/>
    </row>
    <row r="698">
      <c r="C698" s="272"/>
    </row>
    <row r="699">
      <c r="C699" s="272"/>
    </row>
    <row r="700">
      <c r="C700" s="272"/>
    </row>
    <row r="701">
      <c r="C701" s="272"/>
    </row>
    <row r="702">
      <c r="C702" s="272"/>
    </row>
    <row r="703">
      <c r="C703" s="272"/>
    </row>
    <row r="704">
      <c r="C704" s="272"/>
    </row>
    <row r="705">
      <c r="C705" s="272"/>
    </row>
    <row r="706">
      <c r="C706" s="272"/>
    </row>
    <row r="707">
      <c r="C707" s="272"/>
    </row>
    <row r="708">
      <c r="C708" s="272"/>
    </row>
    <row r="709">
      <c r="C709" s="272"/>
    </row>
    <row r="710">
      <c r="C710" s="272"/>
    </row>
    <row r="711">
      <c r="C711" s="272"/>
    </row>
    <row r="712">
      <c r="C712" s="272"/>
    </row>
    <row r="713">
      <c r="C713" s="272"/>
    </row>
    <row r="714">
      <c r="C714" s="272"/>
    </row>
    <row r="715">
      <c r="C715" s="272"/>
    </row>
    <row r="716">
      <c r="C716" s="272"/>
    </row>
    <row r="717">
      <c r="C717" s="272"/>
    </row>
    <row r="718">
      <c r="C718" s="272"/>
    </row>
    <row r="719">
      <c r="C719" s="272"/>
    </row>
    <row r="720">
      <c r="C720" s="272"/>
    </row>
    <row r="721">
      <c r="C721" s="272"/>
    </row>
    <row r="722">
      <c r="C722" s="272"/>
    </row>
    <row r="723">
      <c r="C723" s="272"/>
    </row>
    <row r="724">
      <c r="C724" s="272"/>
    </row>
    <row r="725">
      <c r="C725" s="272"/>
    </row>
    <row r="726">
      <c r="C726" s="272"/>
    </row>
    <row r="727">
      <c r="C727" s="272"/>
    </row>
    <row r="728">
      <c r="C728" s="272"/>
    </row>
    <row r="729">
      <c r="C729" s="272"/>
    </row>
    <row r="730">
      <c r="C730" s="272"/>
    </row>
    <row r="731">
      <c r="C731" s="272"/>
    </row>
    <row r="732">
      <c r="C732" s="272"/>
    </row>
    <row r="733">
      <c r="C733" s="272"/>
    </row>
    <row r="734">
      <c r="C734" s="272"/>
    </row>
    <row r="735">
      <c r="C735" s="272"/>
    </row>
    <row r="736">
      <c r="C736" s="272"/>
    </row>
    <row r="737">
      <c r="C737" s="272"/>
    </row>
    <row r="738">
      <c r="C738" s="272"/>
    </row>
    <row r="739">
      <c r="C739" s="272"/>
    </row>
    <row r="740">
      <c r="C740" s="272"/>
    </row>
    <row r="741">
      <c r="C741" s="272"/>
    </row>
    <row r="742">
      <c r="C742" s="272"/>
    </row>
    <row r="743">
      <c r="C743" s="272"/>
    </row>
    <row r="744">
      <c r="C744" s="272"/>
    </row>
    <row r="745">
      <c r="C745" s="272"/>
    </row>
    <row r="746">
      <c r="C746" s="272"/>
    </row>
    <row r="747">
      <c r="C747" s="272"/>
    </row>
    <row r="748">
      <c r="C748" s="272"/>
    </row>
    <row r="749">
      <c r="C749" s="272"/>
    </row>
    <row r="750">
      <c r="C750" s="272"/>
    </row>
    <row r="751">
      <c r="C751" s="272"/>
    </row>
    <row r="752">
      <c r="C752" s="272"/>
    </row>
    <row r="753">
      <c r="C753" s="272"/>
    </row>
    <row r="754">
      <c r="C754" s="272"/>
    </row>
    <row r="755">
      <c r="C755" s="272"/>
    </row>
    <row r="756">
      <c r="C756" s="272"/>
    </row>
    <row r="757">
      <c r="C757" s="272"/>
    </row>
    <row r="758">
      <c r="C758" s="272"/>
    </row>
    <row r="759">
      <c r="C759" s="272"/>
    </row>
    <row r="760">
      <c r="C760" s="272"/>
    </row>
    <row r="761">
      <c r="C761" s="272"/>
    </row>
    <row r="762">
      <c r="C762" s="272"/>
    </row>
    <row r="763">
      <c r="C763" s="272"/>
    </row>
    <row r="764">
      <c r="C764" s="272"/>
    </row>
    <row r="765">
      <c r="C765" s="272"/>
    </row>
    <row r="766">
      <c r="C766" s="272"/>
    </row>
    <row r="767">
      <c r="C767" s="272"/>
    </row>
    <row r="768">
      <c r="C768" s="272"/>
    </row>
    <row r="769">
      <c r="C769" s="272"/>
    </row>
    <row r="770">
      <c r="C770" s="272"/>
    </row>
    <row r="771">
      <c r="C771" s="272"/>
    </row>
    <row r="772">
      <c r="C772" s="272"/>
    </row>
    <row r="773">
      <c r="C773" s="272"/>
    </row>
    <row r="774">
      <c r="C774" s="272"/>
    </row>
    <row r="775">
      <c r="C775" s="272"/>
    </row>
    <row r="776">
      <c r="C776" s="272"/>
    </row>
    <row r="777">
      <c r="C777" s="272"/>
    </row>
    <row r="778">
      <c r="C778" s="272"/>
    </row>
    <row r="779">
      <c r="C779" s="272"/>
    </row>
    <row r="780">
      <c r="C780" s="272"/>
    </row>
    <row r="781">
      <c r="C781" s="272"/>
    </row>
    <row r="782">
      <c r="C782" s="272"/>
    </row>
    <row r="783">
      <c r="C783" s="272"/>
    </row>
    <row r="784">
      <c r="C784" s="272"/>
    </row>
    <row r="785">
      <c r="C785" s="272"/>
    </row>
    <row r="786">
      <c r="C786" s="272"/>
    </row>
    <row r="787">
      <c r="C787" s="272"/>
    </row>
    <row r="788">
      <c r="C788" s="272"/>
    </row>
    <row r="789">
      <c r="C789" s="272"/>
    </row>
    <row r="790">
      <c r="C790" s="272"/>
    </row>
    <row r="791">
      <c r="C791" s="272"/>
    </row>
    <row r="792">
      <c r="C792" s="272"/>
    </row>
    <row r="793">
      <c r="C793" s="272"/>
    </row>
    <row r="794">
      <c r="C794" s="272"/>
    </row>
    <row r="795">
      <c r="C795" s="272"/>
    </row>
    <row r="796">
      <c r="C796" s="272"/>
    </row>
    <row r="797">
      <c r="C797" s="272"/>
    </row>
    <row r="798">
      <c r="C798" s="272"/>
    </row>
    <row r="799">
      <c r="C799" s="272"/>
    </row>
    <row r="800">
      <c r="C800" s="272"/>
    </row>
    <row r="801">
      <c r="C801" s="272"/>
    </row>
    <row r="802">
      <c r="C802" s="272"/>
    </row>
    <row r="803">
      <c r="C803" s="272"/>
    </row>
    <row r="804">
      <c r="C804" s="272"/>
    </row>
    <row r="805">
      <c r="C805" s="272"/>
    </row>
    <row r="806">
      <c r="C806" s="272"/>
    </row>
    <row r="807">
      <c r="C807" s="272"/>
    </row>
    <row r="808">
      <c r="C808" s="272"/>
    </row>
    <row r="809">
      <c r="C809" s="272"/>
    </row>
    <row r="810">
      <c r="C810" s="272"/>
    </row>
    <row r="811">
      <c r="C811" s="272"/>
    </row>
    <row r="812">
      <c r="C812" s="272"/>
    </row>
    <row r="813">
      <c r="C813" s="272"/>
    </row>
    <row r="814">
      <c r="C814" s="272"/>
    </row>
    <row r="815">
      <c r="C815" s="272"/>
    </row>
    <row r="816">
      <c r="C816" s="272"/>
    </row>
    <row r="817">
      <c r="C817" s="272"/>
    </row>
    <row r="818">
      <c r="C818" s="272"/>
    </row>
    <row r="819">
      <c r="C819" s="272"/>
    </row>
    <row r="820">
      <c r="C820" s="272"/>
    </row>
    <row r="821">
      <c r="C821" s="272"/>
    </row>
    <row r="822">
      <c r="C822" s="272"/>
    </row>
    <row r="823">
      <c r="C823" s="272"/>
    </row>
    <row r="824">
      <c r="C824" s="272"/>
    </row>
    <row r="825">
      <c r="C825" s="272"/>
    </row>
    <row r="826">
      <c r="C826" s="272"/>
    </row>
    <row r="827">
      <c r="C827" s="272"/>
    </row>
    <row r="828">
      <c r="C828" s="272"/>
    </row>
    <row r="829">
      <c r="C829" s="272"/>
    </row>
    <row r="830">
      <c r="C830" s="272"/>
    </row>
    <row r="831">
      <c r="C831" s="272"/>
    </row>
    <row r="832">
      <c r="C832" s="272"/>
    </row>
    <row r="833">
      <c r="C833" s="272"/>
    </row>
    <row r="834">
      <c r="C834" s="272"/>
    </row>
    <row r="835">
      <c r="C835" s="272"/>
    </row>
    <row r="836">
      <c r="C836" s="272"/>
    </row>
    <row r="837">
      <c r="C837" s="272"/>
    </row>
    <row r="838">
      <c r="C838" s="272"/>
    </row>
    <row r="839">
      <c r="C839" s="272"/>
    </row>
    <row r="840">
      <c r="C840" s="272"/>
    </row>
    <row r="841">
      <c r="C841" s="272"/>
    </row>
    <row r="842">
      <c r="C842" s="272"/>
    </row>
    <row r="843">
      <c r="C843" s="272"/>
    </row>
    <row r="844">
      <c r="C844" s="272"/>
    </row>
    <row r="845">
      <c r="C845" s="272"/>
    </row>
    <row r="846">
      <c r="C846" s="272"/>
    </row>
    <row r="847">
      <c r="C847" s="272"/>
    </row>
    <row r="848">
      <c r="C848" s="272"/>
    </row>
    <row r="849">
      <c r="C849" s="272"/>
    </row>
    <row r="850">
      <c r="C850" s="272"/>
    </row>
    <row r="851">
      <c r="C851" s="272"/>
    </row>
    <row r="852">
      <c r="C852" s="272"/>
    </row>
    <row r="853">
      <c r="C853" s="272"/>
    </row>
    <row r="854">
      <c r="C854" s="272"/>
    </row>
    <row r="855">
      <c r="C855" s="272"/>
    </row>
    <row r="856">
      <c r="C856" s="272"/>
    </row>
    <row r="857">
      <c r="C857" s="272"/>
    </row>
    <row r="858">
      <c r="C858" s="272"/>
    </row>
    <row r="859">
      <c r="C859" s="272"/>
    </row>
    <row r="860">
      <c r="C860" s="272"/>
    </row>
    <row r="861">
      <c r="C861" s="272"/>
    </row>
    <row r="862">
      <c r="C862" s="272"/>
    </row>
    <row r="863">
      <c r="C863" s="272"/>
    </row>
    <row r="864">
      <c r="C864" s="272"/>
    </row>
    <row r="865">
      <c r="C865" s="272"/>
    </row>
    <row r="866">
      <c r="C866" s="272"/>
    </row>
    <row r="867">
      <c r="C867" s="272"/>
    </row>
    <row r="868">
      <c r="C868" s="272"/>
    </row>
    <row r="869">
      <c r="C869" s="272"/>
    </row>
    <row r="870">
      <c r="C870" s="272"/>
    </row>
    <row r="871">
      <c r="C871" s="272"/>
    </row>
    <row r="872">
      <c r="C872" s="272"/>
    </row>
    <row r="873">
      <c r="C873" s="272"/>
    </row>
    <row r="874">
      <c r="C874" s="272"/>
    </row>
    <row r="875">
      <c r="C875" s="272"/>
    </row>
    <row r="876">
      <c r="C876" s="272"/>
    </row>
    <row r="877">
      <c r="C877" s="272"/>
    </row>
    <row r="878">
      <c r="C878" s="272"/>
    </row>
    <row r="879">
      <c r="C879" s="272"/>
    </row>
    <row r="880">
      <c r="C880" s="272"/>
    </row>
    <row r="881">
      <c r="C881" s="272"/>
    </row>
    <row r="882">
      <c r="C882" s="272"/>
    </row>
    <row r="883">
      <c r="C883" s="272"/>
    </row>
    <row r="884">
      <c r="C884" s="272"/>
    </row>
    <row r="885">
      <c r="C885" s="272"/>
    </row>
    <row r="886">
      <c r="C886" s="272"/>
    </row>
    <row r="887">
      <c r="C887" s="272"/>
    </row>
    <row r="888">
      <c r="C888" s="272"/>
    </row>
    <row r="889">
      <c r="C889" s="272"/>
    </row>
    <row r="890">
      <c r="C890" s="272"/>
    </row>
    <row r="891">
      <c r="C891" s="272"/>
    </row>
    <row r="892">
      <c r="C892" s="272"/>
    </row>
    <row r="893">
      <c r="C893" s="272"/>
    </row>
    <row r="894">
      <c r="C894" s="272"/>
    </row>
    <row r="895">
      <c r="C895" s="272"/>
    </row>
    <row r="896">
      <c r="C896" s="272"/>
    </row>
    <row r="897">
      <c r="C897" s="272"/>
    </row>
    <row r="898">
      <c r="C898" s="272"/>
    </row>
    <row r="899">
      <c r="C899" s="272"/>
    </row>
    <row r="900">
      <c r="C900" s="272"/>
    </row>
    <row r="901">
      <c r="C901" s="272"/>
    </row>
    <row r="902">
      <c r="C902" s="272"/>
    </row>
    <row r="903">
      <c r="C903" s="272"/>
    </row>
    <row r="904">
      <c r="C904" s="272"/>
    </row>
    <row r="905">
      <c r="C905" s="272"/>
    </row>
    <row r="906">
      <c r="C906" s="272"/>
    </row>
    <row r="907">
      <c r="C907" s="272"/>
    </row>
    <row r="908">
      <c r="C908" s="272"/>
    </row>
    <row r="909">
      <c r="C909" s="272"/>
    </row>
    <row r="910">
      <c r="C910" s="272"/>
    </row>
    <row r="911">
      <c r="C911" s="272"/>
    </row>
    <row r="912">
      <c r="C912" s="272"/>
    </row>
    <row r="913">
      <c r="C913" s="272"/>
    </row>
    <row r="914">
      <c r="C914" s="272"/>
    </row>
    <row r="915">
      <c r="C915" s="272"/>
    </row>
    <row r="916">
      <c r="C916" s="272"/>
    </row>
    <row r="917">
      <c r="C917" s="272"/>
    </row>
    <row r="918">
      <c r="C918" s="272"/>
    </row>
    <row r="919">
      <c r="C919" s="272"/>
    </row>
    <row r="920">
      <c r="C920" s="272"/>
    </row>
    <row r="921">
      <c r="C921" s="272"/>
    </row>
    <row r="922">
      <c r="C922" s="272"/>
    </row>
    <row r="923">
      <c r="C923" s="272"/>
    </row>
    <row r="924">
      <c r="C924" s="272"/>
    </row>
    <row r="925">
      <c r="C925" s="272"/>
    </row>
    <row r="926">
      <c r="C926" s="272"/>
    </row>
    <row r="927">
      <c r="C927" s="272"/>
    </row>
    <row r="928">
      <c r="C928" s="272"/>
    </row>
    <row r="929">
      <c r="C929" s="272"/>
    </row>
    <row r="930">
      <c r="C930" s="272"/>
    </row>
    <row r="931">
      <c r="C931" s="272"/>
    </row>
    <row r="932">
      <c r="C932" s="272"/>
    </row>
    <row r="933">
      <c r="C933" s="272"/>
    </row>
    <row r="934">
      <c r="C934" s="272"/>
    </row>
    <row r="935">
      <c r="C935" s="272"/>
    </row>
    <row r="936">
      <c r="C936" s="272"/>
    </row>
    <row r="937">
      <c r="C937" s="272"/>
    </row>
    <row r="938">
      <c r="C938" s="272"/>
    </row>
    <row r="939">
      <c r="C939" s="272"/>
    </row>
    <row r="940">
      <c r="C940" s="272"/>
    </row>
    <row r="941">
      <c r="C941" s="272"/>
    </row>
    <row r="942">
      <c r="C942" s="272"/>
    </row>
    <row r="943">
      <c r="C943" s="272"/>
    </row>
    <row r="944">
      <c r="C944" s="272"/>
    </row>
    <row r="945">
      <c r="C945" s="272"/>
    </row>
    <row r="946">
      <c r="C946" s="272"/>
    </row>
    <row r="947">
      <c r="C947" s="272"/>
    </row>
    <row r="948">
      <c r="C948" s="272"/>
    </row>
    <row r="949">
      <c r="C949" s="272"/>
    </row>
    <row r="950">
      <c r="C950" s="272"/>
    </row>
    <row r="951">
      <c r="C951" s="272"/>
    </row>
    <row r="952">
      <c r="C952" s="272"/>
    </row>
    <row r="953">
      <c r="C953" s="272"/>
    </row>
    <row r="954">
      <c r="C954" s="272"/>
    </row>
    <row r="955">
      <c r="C955" s="272"/>
    </row>
    <row r="956">
      <c r="C956" s="272"/>
    </row>
    <row r="957">
      <c r="C957" s="272"/>
    </row>
    <row r="958">
      <c r="C958" s="272"/>
    </row>
    <row r="959">
      <c r="C959" s="272"/>
    </row>
    <row r="960">
      <c r="C960" s="272"/>
    </row>
    <row r="961">
      <c r="C961" s="272"/>
    </row>
    <row r="962">
      <c r="C962" s="272"/>
    </row>
    <row r="963">
      <c r="C963" s="272"/>
    </row>
    <row r="964">
      <c r="C964" s="272"/>
    </row>
    <row r="965">
      <c r="C965" s="272"/>
    </row>
    <row r="966">
      <c r="C966" s="272"/>
    </row>
    <row r="967">
      <c r="C967" s="272"/>
    </row>
    <row r="968">
      <c r="C968" s="272"/>
    </row>
    <row r="969">
      <c r="C969" s="272"/>
    </row>
    <row r="970">
      <c r="C970" s="272"/>
    </row>
    <row r="971">
      <c r="C971" s="272"/>
    </row>
    <row r="972">
      <c r="C972" s="272"/>
    </row>
    <row r="973">
      <c r="C973" s="272"/>
    </row>
    <row r="974">
      <c r="C974" s="272"/>
    </row>
    <row r="975">
      <c r="C975" s="272"/>
    </row>
    <row r="976">
      <c r="C976" s="272"/>
    </row>
    <row r="977">
      <c r="C977" s="272"/>
    </row>
    <row r="978">
      <c r="C978" s="272"/>
    </row>
    <row r="979">
      <c r="C979" s="272"/>
    </row>
    <row r="980">
      <c r="C980" s="272"/>
    </row>
    <row r="981">
      <c r="C981" s="272"/>
    </row>
    <row r="982">
      <c r="C982" s="272"/>
    </row>
    <row r="983">
      <c r="C983" s="272"/>
    </row>
    <row r="984">
      <c r="C984" s="272"/>
    </row>
    <row r="985">
      <c r="C985" s="272"/>
    </row>
    <row r="986">
      <c r="C986" s="272"/>
    </row>
    <row r="987">
      <c r="C987" s="272"/>
    </row>
    <row r="988">
      <c r="C988" s="272"/>
    </row>
    <row r="989">
      <c r="C989" s="272"/>
    </row>
    <row r="990">
      <c r="C990" s="272"/>
    </row>
    <row r="991">
      <c r="C991" s="272"/>
    </row>
    <row r="992">
      <c r="C992" s="272"/>
    </row>
    <row r="993">
      <c r="C993" s="272"/>
    </row>
    <row r="994">
      <c r="C994" s="272"/>
    </row>
    <row r="995">
      <c r="C995" s="272"/>
    </row>
    <row r="996">
      <c r="C996" s="272"/>
    </row>
    <row r="997">
      <c r="C997" s="272"/>
    </row>
    <row r="998">
      <c r="C998" s="272"/>
    </row>
    <row r="999">
      <c r="C999" s="272"/>
    </row>
    <row r="1000">
      <c r="C1000" s="272"/>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 r:id="rId71" ref="A72"/>
    <hyperlink r:id="rId72" ref="A73"/>
    <hyperlink r:id="rId73" ref="A74"/>
    <hyperlink r:id="rId74" ref="A75"/>
    <hyperlink r:id="rId75" ref="A76"/>
    <hyperlink r:id="rId76" ref="A77"/>
    <hyperlink r:id="rId77" ref="A78"/>
    <hyperlink r:id="rId78" ref="A79"/>
    <hyperlink r:id="rId79" ref="A80"/>
    <hyperlink r:id="rId80" ref="A81"/>
    <hyperlink r:id="rId81" ref="A82"/>
    <hyperlink r:id="rId82" ref="A83"/>
    <hyperlink r:id="rId83" ref="A84"/>
  </hyperlinks>
  <drawing r:id="rId84"/>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80000"/>
    <outlinePr summaryBelow="0" summaryRight="0"/>
  </sheetPr>
  <sheetViews>
    <sheetView workbookViewId="0"/>
  </sheetViews>
  <sheetFormatPr customHeight="1" defaultColWidth="14.43" defaultRowHeight="15.0"/>
  <cols>
    <col customWidth="1" min="1" max="1" width="22.57"/>
    <col customWidth="1" min="2" max="2" width="9.29"/>
    <col customWidth="1" min="3" max="3" width="14.14"/>
    <col customWidth="1" min="4" max="4" width="19.71"/>
    <col customWidth="1" min="8" max="8" width="58.14"/>
  </cols>
  <sheetData>
    <row r="1" ht="18.75" customHeight="1">
      <c r="A1" s="273" t="s">
        <v>2930</v>
      </c>
      <c r="B1" s="273" t="s">
        <v>2931</v>
      </c>
      <c r="C1" s="273" t="s">
        <v>2932</v>
      </c>
      <c r="D1" s="274" t="s">
        <v>2933</v>
      </c>
      <c r="E1" s="273" t="s">
        <v>2934</v>
      </c>
      <c r="F1" s="274" t="s">
        <v>2935</v>
      </c>
      <c r="G1" s="274" t="s">
        <v>2936</v>
      </c>
      <c r="H1" s="273" t="s">
        <v>2937</v>
      </c>
      <c r="I1" s="275"/>
      <c r="J1" s="275"/>
      <c r="K1" s="275"/>
      <c r="L1" s="275"/>
      <c r="M1" s="275"/>
      <c r="N1" s="275"/>
      <c r="O1" s="275"/>
      <c r="P1" s="275"/>
      <c r="Q1" s="275"/>
      <c r="R1" s="275"/>
      <c r="S1" s="275"/>
      <c r="T1" s="275"/>
      <c r="U1" s="275"/>
      <c r="V1" s="275"/>
      <c r="W1" s="275"/>
      <c r="X1" s="275"/>
      <c r="Y1" s="275"/>
      <c r="Z1" s="275"/>
      <c r="AA1" s="275"/>
      <c r="AB1" s="275"/>
      <c r="AC1" s="275"/>
    </row>
    <row r="2">
      <c r="A2" s="276" t="s">
        <v>2938</v>
      </c>
      <c r="B2" s="277" t="s">
        <v>2463</v>
      </c>
      <c r="C2" s="277" t="s">
        <v>1758</v>
      </c>
      <c r="D2" s="277" t="s">
        <v>2939</v>
      </c>
      <c r="E2" s="277" t="s">
        <v>2940</v>
      </c>
      <c r="F2" s="277" t="s">
        <v>2941</v>
      </c>
      <c r="G2" s="277" t="s">
        <v>2942</v>
      </c>
      <c r="H2" s="277" t="s">
        <v>100</v>
      </c>
    </row>
    <row r="3">
      <c r="A3" s="276" t="s">
        <v>2943</v>
      </c>
      <c r="B3" s="277" t="s">
        <v>2295</v>
      </c>
      <c r="C3" s="277" t="s">
        <v>1758</v>
      </c>
      <c r="D3" s="277" t="s">
        <v>2944</v>
      </c>
      <c r="E3" s="277" t="s">
        <v>2945</v>
      </c>
      <c r="F3" s="277" t="s">
        <v>2941</v>
      </c>
      <c r="G3" s="277" t="s">
        <v>2942</v>
      </c>
      <c r="H3" s="277" t="s">
        <v>2946</v>
      </c>
    </row>
    <row r="4">
      <c r="A4" s="276" t="s">
        <v>2947</v>
      </c>
      <c r="B4" s="277" t="s">
        <v>2948</v>
      </c>
      <c r="C4" s="277" t="s">
        <v>1777</v>
      </c>
      <c r="D4" s="277" t="s">
        <v>2939</v>
      </c>
      <c r="E4" s="277" t="s">
        <v>2949</v>
      </c>
      <c r="F4" s="277" t="s">
        <v>2941</v>
      </c>
      <c r="G4" s="277" t="s">
        <v>2942</v>
      </c>
      <c r="H4" s="277" t="s">
        <v>2950</v>
      </c>
    </row>
    <row r="5">
      <c r="A5" s="276" t="s">
        <v>2951</v>
      </c>
      <c r="B5" s="277" t="s">
        <v>2250</v>
      </c>
      <c r="C5" s="277" t="s">
        <v>1765</v>
      </c>
      <c r="D5" s="277" t="s">
        <v>2952</v>
      </c>
      <c r="E5" s="277" t="s">
        <v>2940</v>
      </c>
      <c r="F5" s="277" t="s">
        <v>2941</v>
      </c>
      <c r="G5" s="277" t="s">
        <v>2942</v>
      </c>
      <c r="H5" s="277" t="s">
        <v>2953</v>
      </c>
    </row>
    <row r="6">
      <c r="A6" s="276" t="s">
        <v>2954</v>
      </c>
      <c r="B6" s="277" t="s">
        <v>2955</v>
      </c>
      <c r="C6" s="277" t="s">
        <v>1765</v>
      </c>
      <c r="D6" s="277" t="s">
        <v>2944</v>
      </c>
      <c r="E6" s="277" t="s">
        <v>2940</v>
      </c>
      <c r="F6" s="277" t="s">
        <v>2941</v>
      </c>
      <c r="G6" s="277" t="s">
        <v>2942</v>
      </c>
      <c r="H6" s="277" t="s">
        <v>2956</v>
      </c>
    </row>
    <row r="7">
      <c r="A7" s="276" t="s">
        <v>2957</v>
      </c>
      <c r="B7" s="277" t="s">
        <v>2295</v>
      </c>
      <c r="C7" s="277" t="s">
        <v>1758</v>
      </c>
      <c r="D7" s="277" t="s">
        <v>2939</v>
      </c>
      <c r="E7" s="277" t="s">
        <v>2940</v>
      </c>
      <c r="F7" s="277" t="s">
        <v>2941</v>
      </c>
      <c r="G7" s="277" t="s">
        <v>2942</v>
      </c>
      <c r="H7" s="277" t="s">
        <v>2953</v>
      </c>
    </row>
    <row r="8">
      <c r="A8" s="276" t="s">
        <v>2958</v>
      </c>
      <c r="B8" s="277" t="s">
        <v>2250</v>
      </c>
      <c r="C8" s="277" t="s">
        <v>1765</v>
      </c>
      <c r="D8" s="277" t="s">
        <v>2939</v>
      </c>
      <c r="E8" s="277" t="s">
        <v>2959</v>
      </c>
      <c r="F8" s="277" t="s">
        <v>2941</v>
      </c>
      <c r="G8" s="277" t="s">
        <v>2942</v>
      </c>
      <c r="H8" s="277" t="s">
        <v>2960</v>
      </c>
    </row>
    <row r="9">
      <c r="A9" s="276" t="s">
        <v>2961</v>
      </c>
      <c r="B9" s="277" t="s">
        <v>2948</v>
      </c>
      <c r="C9" s="277" t="s">
        <v>1765</v>
      </c>
      <c r="D9" s="277" t="s">
        <v>2939</v>
      </c>
      <c r="E9" s="277" t="s">
        <v>2959</v>
      </c>
      <c r="F9" s="277" t="s">
        <v>2941</v>
      </c>
      <c r="G9" s="277" t="s">
        <v>2942</v>
      </c>
      <c r="H9" s="277" t="s">
        <v>2962</v>
      </c>
    </row>
    <row r="10">
      <c r="A10" s="276" t="s">
        <v>2963</v>
      </c>
      <c r="B10" s="277" t="s">
        <v>2964</v>
      </c>
      <c r="C10" s="277" t="s">
        <v>1758</v>
      </c>
      <c r="D10" s="277" t="s">
        <v>2952</v>
      </c>
      <c r="E10" s="277" t="s">
        <v>2940</v>
      </c>
      <c r="F10" s="277" t="s">
        <v>2941</v>
      </c>
      <c r="G10" s="277" t="s">
        <v>2942</v>
      </c>
      <c r="H10" s="277" t="s">
        <v>100</v>
      </c>
    </row>
    <row r="11">
      <c r="A11" s="276" t="s">
        <v>2965</v>
      </c>
      <c r="B11" s="277" t="s">
        <v>2964</v>
      </c>
      <c r="C11" s="277" t="s">
        <v>1765</v>
      </c>
      <c r="D11" s="277" t="s">
        <v>2944</v>
      </c>
      <c r="E11" s="277" t="s">
        <v>2966</v>
      </c>
      <c r="F11" s="277" t="s">
        <v>2941</v>
      </c>
      <c r="G11" s="277" t="s">
        <v>2942</v>
      </c>
      <c r="H11" s="277" t="s">
        <v>2967</v>
      </c>
    </row>
    <row r="12">
      <c r="A12" s="276" t="s">
        <v>2968</v>
      </c>
      <c r="B12" s="277" t="s">
        <v>2347</v>
      </c>
      <c r="C12" s="277" t="s">
        <v>1777</v>
      </c>
      <c r="D12" s="277" t="s">
        <v>2944</v>
      </c>
      <c r="E12" s="277" t="s">
        <v>2969</v>
      </c>
      <c r="F12" s="277" t="s">
        <v>2941</v>
      </c>
      <c r="G12" s="277" t="s">
        <v>2970</v>
      </c>
      <c r="H12" s="277" t="s">
        <v>2971</v>
      </c>
    </row>
    <row r="13">
      <c r="A13" s="276" t="s">
        <v>2972</v>
      </c>
      <c r="B13" s="277" t="s">
        <v>2973</v>
      </c>
      <c r="C13" s="277" t="s">
        <v>1758</v>
      </c>
      <c r="D13" s="277" t="s">
        <v>2944</v>
      </c>
      <c r="E13" s="277" t="s">
        <v>2974</v>
      </c>
      <c r="F13" s="277" t="s">
        <v>2941</v>
      </c>
      <c r="G13" s="277" t="s">
        <v>2970</v>
      </c>
      <c r="H13" s="277" t="s">
        <v>2975</v>
      </c>
    </row>
    <row r="14">
      <c r="A14" s="276" t="s">
        <v>2976</v>
      </c>
      <c r="B14" s="277" t="s">
        <v>2347</v>
      </c>
      <c r="C14" s="277" t="s">
        <v>1765</v>
      </c>
      <c r="D14" s="277" t="s">
        <v>2944</v>
      </c>
      <c r="E14" s="277" t="s">
        <v>2940</v>
      </c>
      <c r="F14" s="277" t="s">
        <v>2941</v>
      </c>
      <c r="G14" s="277" t="s">
        <v>2970</v>
      </c>
      <c r="H14" s="277" t="s">
        <v>2977</v>
      </c>
    </row>
    <row r="15">
      <c r="A15" s="276" t="s">
        <v>2978</v>
      </c>
      <c r="B15" s="277" t="s">
        <v>2463</v>
      </c>
      <c r="C15" s="277" t="s">
        <v>1758</v>
      </c>
      <c r="D15" s="277" t="s">
        <v>2939</v>
      </c>
      <c r="E15" s="277" t="s">
        <v>2960</v>
      </c>
      <c r="F15" s="277" t="s">
        <v>2941</v>
      </c>
      <c r="G15" s="277" t="s">
        <v>2970</v>
      </c>
      <c r="H15" s="277" t="s">
        <v>2979</v>
      </c>
    </row>
    <row r="16">
      <c r="A16" s="276" t="s">
        <v>2980</v>
      </c>
      <c r="B16" s="277" t="s">
        <v>2227</v>
      </c>
      <c r="C16" s="277" t="s">
        <v>2981</v>
      </c>
      <c r="D16" s="277" t="s">
        <v>2952</v>
      </c>
      <c r="E16" s="277" t="s">
        <v>2959</v>
      </c>
      <c r="F16" s="277" t="s">
        <v>2982</v>
      </c>
      <c r="G16" s="277" t="s">
        <v>2942</v>
      </c>
      <c r="H16" s="277" t="s">
        <v>2983</v>
      </c>
    </row>
    <row r="17">
      <c r="A17" s="276" t="s">
        <v>2984</v>
      </c>
      <c r="B17" s="277" t="s">
        <v>2227</v>
      </c>
      <c r="C17" s="277" t="s">
        <v>1777</v>
      </c>
      <c r="D17" s="277" t="s">
        <v>2939</v>
      </c>
      <c r="E17" s="277" t="s">
        <v>2940</v>
      </c>
      <c r="F17" s="277" t="s">
        <v>2982</v>
      </c>
      <c r="G17" s="277" t="s">
        <v>2942</v>
      </c>
      <c r="H17" s="277" t="s">
        <v>2960</v>
      </c>
    </row>
    <row r="18">
      <c r="A18" s="276" t="s">
        <v>2985</v>
      </c>
      <c r="B18" s="277" t="s">
        <v>2235</v>
      </c>
      <c r="C18" s="277" t="s">
        <v>1784</v>
      </c>
      <c r="D18" s="277" t="s">
        <v>2952</v>
      </c>
      <c r="E18" s="277" t="s">
        <v>2986</v>
      </c>
      <c r="F18" s="277" t="s">
        <v>2982</v>
      </c>
      <c r="G18" s="277" t="s">
        <v>2942</v>
      </c>
      <c r="H18" s="277" t="s">
        <v>2987</v>
      </c>
    </row>
    <row r="19">
      <c r="A19" s="276" t="s">
        <v>2988</v>
      </c>
      <c r="B19" s="277" t="s">
        <v>2222</v>
      </c>
      <c r="C19" s="277" t="s">
        <v>2989</v>
      </c>
      <c r="D19" s="277" t="s">
        <v>2952</v>
      </c>
      <c r="E19" s="277" t="s">
        <v>2990</v>
      </c>
      <c r="F19" s="277" t="s">
        <v>2982</v>
      </c>
      <c r="G19" s="277" t="s">
        <v>2942</v>
      </c>
      <c r="H19" s="277" t="s">
        <v>2991</v>
      </c>
    </row>
    <row r="20">
      <c r="A20" s="276" t="s">
        <v>2992</v>
      </c>
      <c r="B20" s="277" t="s">
        <v>2993</v>
      </c>
      <c r="C20" s="277" t="s">
        <v>1793</v>
      </c>
      <c r="D20" s="277" t="s">
        <v>2952</v>
      </c>
      <c r="E20" s="277" t="s">
        <v>2986</v>
      </c>
      <c r="F20" s="277" t="s">
        <v>2982</v>
      </c>
      <c r="G20" s="277" t="s">
        <v>2942</v>
      </c>
      <c r="H20" s="277" t="s">
        <v>2991</v>
      </c>
    </row>
    <row r="21">
      <c r="A21" s="276" t="s">
        <v>2994</v>
      </c>
      <c r="B21" s="277" t="s">
        <v>2235</v>
      </c>
      <c r="C21" s="277" t="s">
        <v>1784</v>
      </c>
      <c r="D21" s="277" t="s">
        <v>2952</v>
      </c>
      <c r="E21" s="277" t="s">
        <v>2986</v>
      </c>
      <c r="F21" s="277" t="s">
        <v>2982</v>
      </c>
      <c r="G21" s="277" t="s">
        <v>2942</v>
      </c>
      <c r="H21" s="277" t="s">
        <v>2987</v>
      </c>
    </row>
    <row r="22">
      <c r="A22" s="276" t="s">
        <v>2995</v>
      </c>
      <c r="B22" s="277" t="s">
        <v>2227</v>
      </c>
      <c r="C22" s="277" t="s">
        <v>2996</v>
      </c>
      <c r="D22" s="277" t="s">
        <v>2944</v>
      </c>
      <c r="E22" s="277" t="s">
        <v>2986</v>
      </c>
      <c r="F22" s="277" t="s">
        <v>2982</v>
      </c>
      <c r="G22" s="277" t="s">
        <v>2942</v>
      </c>
      <c r="H22" s="277" t="s">
        <v>2997</v>
      </c>
    </row>
    <row r="23">
      <c r="A23" s="276" t="s">
        <v>2998</v>
      </c>
      <c r="B23" s="277" t="s">
        <v>2231</v>
      </c>
      <c r="C23" s="277" t="s">
        <v>1777</v>
      </c>
      <c r="D23" s="277" t="s">
        <v>2952</v>
      </c>
      <c r="E23" s="277" t="s">
        <v>2966</v>
      </c>
      <c r="F23" s="277" t="s">
        <v>2982</v>
      </c>
      <c r="G23" s="277" t="s">
        <v>2942</v>
      </c>
      <c r="H23" s="277" t="s">
        <v>2983</v>
      </c>
    </row>
    <row r="24">
      <c r="A24" s="276" t="s">
        <v>2999</v>
      </c>
      <c r="B24" s="277" t="s">
        <v>2227</v>
      </c>
      <c r="C24" s="277" t="s">
        <v>1793</v>
      </c>
      <c r="D24" s="277" t="s">
        <v>2939</v>
      </c>
      <c r="E24" s="277" t="s">
        <v>2949</v>
      </c>
      <c r="F24" s="277" t="s">
        <v>2982</v>
      </c>
      <c r="G24" s="277" t="s">
        <v>2942</v>
      </c>
      <c r="H24" s="277" t="s">
        <v>2991</v>
      </c>
    </row>
    <row r="25">
      <c r="A25" s="276" t="s">
        <v>3000</v>
      </c>
      <c r="B25" s="277" t="s">
        <v>2231</v>
      </c>
      <c r="C25" s="277" t="s">
        <v>1777</v>
      </c>
      <c r="D25" s="277" t="s">
        <v>2944</v>
      </c>
      <c r="E25" s="277" t="s">
        <v>2959</v>
      </c>
      <c r="F25" s="277" t="s">
        <v>2982</v>
      </c>
      <c r="G25" s="277" t="s">
        <v>2942</v>
      </c>
      <c r="H25" s="277" t="s">
        <v>2960</v>
      </c>
    </row>
    <row r="26">
      <c r="A26" s="276" t="s">
        <v>3001</v>
      </c>
      <c r="B26" s="277" t="s">
        <v>2250</v>
      </c>
      <c r="C26" s="277" t="s">
        <v>1784</v>
      </c>
      <c r="D26" s="277" t="s">
        <v>2944</v>
      </c>
      <c r="E26" s="277" t="s">
        <v>3002</v>
      </c>
      <c r="F26" s="277" t="s">
        <v>2982</v>
      </c>
      <c r="G26" s="277" t="s">
        <v>2942</v>
      </c>
      <c r="H26" s="277" t="s">
        <v>2987</v>
      </c>
    </row>
    <row r="27">
      <c r="A27" s="276" t="s">
        <v>3003</v>
      </c>
      <c r="B27" s="277" t="s">
        <v>2347</v>
      </c>
      <c r="C27" s="277" t="s">
        <v>1777</v>
      </c>
      <c r="D27" s="277" t="s">
        <v>2944</v>
      </c>
      <c r="E27" s="277" t="s">
        <v>2940</v>
      </c>
      <c r="F27" s="277" t="s">
        <v>2982</v>
      </c>
      <c r="G27" s="277" t="s">
        <v>2942</v>
      </c>
      <c r="H27" s="277" t="s">
        <v>3004</v>
      </c>
    </row>
    <row r="28">
      <c r="A28" s="276" t="s">
        <v>3005</v>
      </c>
      <c r="B28" s="277" t="s">
        <v>2347</v>
      </c>
      <c r="C28" s="277" t="s">
        <v>1765</v>
      </c>
      <c r="D28" s="277" t="s">
        <v>2952</v>
      </c>
      <c r="E28" s="277" t="s">
        <v>2966</v>
      </c>
      <c r="F28" s="277" t="s">
        <v>2982</v>
      </c>
      <c r="G28" s="277" t="s">
        <v>2942</v>
      </c>
      <c r="H28" s="277" t="s">
        <v>3006</v>
      </c>
    </row>
    <row r="29">
      <c r="A29" s="276" t="s">
        <v>3007</v>
      </c>
      <c r="B29" s="277" t="s">
        <v>2227</v>
      </c>
      <c r="C29" s="277" t="s">
        <v>1765</v>
      </c>
      <c r="D29" s="277" t="s">
        <v>2944</v>
      </c>
      <c r="E29" s="277" t="s">
        <v>2940</v>
      </c>
      <c r="F29" s="277" t="s">
        <v>2982</v>
      </c>
      <c r="G29" s="277" t="s">
        <v>2942</v>
      </c>
      <c r="H29" s="277" t="s">
        <v>3006</v>
      </c>
    </row>
    <row r="30">
      <c r="A30" s="276" t="s">
        <v>3008</v>
      </c>
      <c r="B30" s="277" t="s">
        <v>2250</v>
      </c>
      <c r="C30" s="277" t="s">
        <v>1765</v>
      </c>
      <c r="D30" s="277" t="s">
        <v>2944</v>
      </c>
      <c r="E30" s="277" t="s">
        <v>2959</v>
      </c>
      <c r="F30" s="277" t="s">
        <v>2982</v>
      </c>
      <c r="G30" s="277" t="s">
        <v>2942</v>
      </c>
      <c r="H30" s="277" t="s">
        <v>2967</v>
      </c>
    </row>
    <row r="31">
      <c r="A31" s="276" t="s">
        <v>3009</v>
      </c>
      <c r="B31" s="277" t="s">
        <v>2250</v>
      </c>
      <c r="C31" s="277" t="s">
        <v>2981</v>
      </c>
      <c r="D31" s="277" t="s">
        <v>2944</v>
      </c>
      <c r="E31" s="277" t="s">
        <v>2940</v>
      </c>
      <c r="F31" s="277" t="s">
        <v>2982</v>
      </c>
      <c r="G31" s="277" t="s">
        <v>2942</v>
      </c>
      <c r="H31" s="277" t="s">
        <v>2960</v>
      </c>
    </row>
    <row r="32">
      <c r="A32" s="276" t="s">
        <v>3010</v>
      </c>
      <c r="B32" s="277" t="s">
        <v>2231</v>
      </c>
      <c r="C32" s="277" t="s">
        <v>2981</v>
      </c>
      <c r="D32" s="277" t="s">
        <v>2939</v>
      </c>
      <c r="E32" s="277" t="s">
        <v>2940</v>
      </c>
      <c r="F32" s="277" t="s">
        <v>2982</v>
      </c>
      <c r="G32" s="277" t="s">
        <v>2942</v>
      </c>
      <c r="H32" s="277" t="s">
        <v>2983</v>
      </c>
    </row>
    <row r="33">
      <c r="A33" s="276" t="s">
        <v>3011</v>
      </c>
      <c r="B33" s="277" t="s">
        <v>2295</v>
      </c>
      <c r="C33" s="277" t="s">
        <v>1758</v>
      </c>
      <c r="D33" s="277" t="s">
        <v>2952</v>
      </c>
      <c r="E33" s="277" t="s">
        <v>2966</v>
      </c>
      <c r="F33" s="277" t="s">
        <v>2982</v>
      </c>
      <c r="G33" s="277" t="s">
        <v>2942</v>
      </c>
      <c r="H33" s="277" t="s">
        <v>3012</v>
      </c>
    </row>
    <row r="34">
      <c r="A34" s="276" t="s">
        <v>3013</v>
      </c>
      <c r="B34" s="277" t="s">
        <v>2227</v>
      </c>
      <c r="C34" s="277">
        <v>1.0</v>
      </c>
      <c r="D34" s="277" t="s">
        <v>2944</v>
      </c>
      <c r="E34" s="277" t="s">
        <v>2945</v>
      </c>
      <c r="F34" s="277" t="s">
        <v>2982</v>
      </c>
      <c r="G34" s="277" t="s">
        <v>2970</v>
      </c>
      <c r="H34" s="277" t="s">
        <v>3014</v>
      </c>
    </row>
    <row r="35">
      <c r="A35" s="276" t="s">
        <v>3015</v>
      </c>
      <c r="B35" s="277" t="s">
        <v>3016</v>
      </c>
      <c r="C35" s="277" t="s">
        <v>1765</v>
      </c>
      <c r="D35" s="277" t="s">
        <v>2944</v>
      </c>
      <c r="E35" s="277" t="s">
        <v>2966</v>
      </c>
      <c r="F35" s="277" t="s">
        <v>2982</v>
      </c>
      <c r="G35" s="277" t="s">
        <v>2970</v>
      </c>
      <c r="H35" s="277" t="s">
        <v>3017</v>
      </c>
    </row>
    <row r="36">
      <c r="A36" s="276" t="s">
        <v>3018</v>
      </c>
      <c r="B36" s="277" t="s">
        <v>2993</v>
      </c>
      <c r="C36" s="277" t="s">
        <v>1784</v>
      </c>
      <c r="D36" s="277" t="s">
        <v>2944</v>
      </c>
      <c r="E36" s="277" t="s">
        <v>3002</v>
      </c>
      <c r="F36" s="277" t="s">
        <v>2982</v>
      </c>
      <c r="G36" s="277" t="s">
        <v>2970</v>
      </c>
      <c r="H36" s="277" t="s">
        <v>3019</v>
      </c>
    </row>
    <row r="37">
      <c r="A37" s="276" t="s">
        <v>3020</v>
      </c>
      <c r="B37" s="277" t="s">
        <v>2993</v>
      </c>
      <c r="C37" s="277" t="s">
        <v>1777</v>
      </c>
      <c r="D37" s="277" t="s">
        <v>2944</v>
      </c>
      <c r="E37" s="277" t="s">
        <v>2940</v>
      </c>
      <c r="F37" s="277" t="s">
        <v>2982</v>
      </c>
      <c r="G37" s="277" t="s">
        <v>2970</v>
      </c>
      <c r="H37" s="277" t="s">
        <v>3021</v>
      </c>
    </row>
    <row r="38">
      <c r="A38" s="276" t="s">
        <v>3022</v>
      </c>
      <c r="B38" s="277" t="s">
        <v>2964</v>
      </c>
      <c r="C38" s="277" t="s">
        <v>2960</v>
      </c>
      <c r="D38" s="277"/>
      <c r="E38" s="277" t="s">
        <v>2966</v>
      </c>
      <c r="F38" s="277" t="s">
        <v>2982</v>
      </c>
      <c r="G38" s="277" t="s">
        <v>2970</v>
      </c>
      <c r="H38" s="277" t="s">
        <v>3023</v>
      </c>
    </row>
  </sheetData>
  <hyperlinks>
    <hyperlink r:id="rId1" location="content" ref="A2"/>
    <hyperlink r:id="rId2" location="content" ref="A3"/>
    <hyperlink r:id="rId3" location="content" ref="A4"/>
    <hyperlink r:id="rId4" location="content" ref="A5"/>
    <hyperlink r:id="rId5" location="content" ref="A6"/>
    <hyperlink r:id="rId6" location="content" ref="A7"/>
    <hyperlink r:id="rId7" location="content" ref="A8"/>
    <hyperlink r:id="rId8" location="content" ref="A9"/>
    <hyperlink r:id="rId9" location="content" ref="A10"/>
    <hyperlink r:id="rId10" location="content" ref="A11"/>
    <hyperlink r:id="rId11" location="content" ref="A12"/>
    <hyperlink r:id="rId12" location="content" ref="A13"/>
    <hyperlink r:id="rId13" location="content" ref="A14"/>
    <hyperlink r:id="rId14" location="content" ref="A15"/>
    <hyperlink r:id="rId15" location="content" ref="A16"/>
    <hyperlink r:id="rId16" location="content" ref="A17"/>
    <hyperlink r:id="rId17" location="content" ref="A18"/>
    <hyperlink r:id="rId18" location="content" ref="A19"/>
    <hyperlink r:id="rId19" location="content" ref="A20"/>
    <hyperlink r:id="rId20" location="content" ref="A21"/>
    <hyperlink r:id="rId21" location="content" ref="A22"/>
    <hyperlink r:id="rId22" location="content" ref="A23"/>
    <hyperlink r:id="rId23" location="content" ref="A24"/>
    <hyperlink r:id="rId24" location="content" ref="A25"/>
    <hyperlink r:id="rId25" location="content" ref="A26"/>
    <hyperlink r:id="rId26" location="content" ref="A27"/>
    <hyperlink r:id="rId27" location="content" ref="A28"/>
    <hyperlink r:id="rId28" location="content" ref="A29"/>
    <hyperlink r:id="rId29" location="content" ref="A30"/>
    <hyperlink r:id="rId30" location="content" ref="A31"/>
    <hyperlink r:id="rId31" location="content" ref="A32"/>
    <hyperlink r:id="rId32" location="content" ref="A33"/>
    <hyperlink r:id="rId33" location="content" ref="A34"/>
    <hyperlink r:id="rId34" location="content" ref="A35"/>
    <hyperlink r:id="rId35" location="content" ref="A36"/>
    <hyperlink r:id="rId36" location="content" ref="A37"/>
    <hyperlink r:id="rId37" location="content" ref="A38"/>
  </hyperlinks>
  <drawing r:id="rId38"/>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4.43" defaultRowHeight="15.0"/>
  <cols>
    <col customWidth="1" min="3" max="3" width="30.0"/>
    <col customWidth="1" min="4" max="4" width="18.57"/>
    <col customWidth="1" min="5" max="5" width="22.14"/>
    <col customWidth="1" min="6" max="6" width="12.57"/>
  </cols>
  <sheetData>
    <row r="1">
      <c r="A1" s="278" t="s">
        <v>2194</v>
      </c>
      <c r="B1" s="273" t="s">
        <v>2931</v>
      </c>
      <c r="C1" s="273" t="s">
        <v>3024</v>
      </c>
      <c r="D1" s="279" t="s">
        <v>115</v>
      </c>
      <c r="E1" s="273" t="s">
        <v>3025</v>
      </c>
      <c r="F1" s="273" t="s">
        <v>3026</v>
      </c>
      <c r="G1" s="273" t="s">
        <v>2934</v>
      </c>
    </row>
    <row r="2">
      <c r="A2" s="276" t="s">
        <v>3027</v>
      </c>
      <c r="B2" s="280" t="s">
        <v>2250</v>
      </c>
      <c r="C2" s="281" t="s">
        <v>3028</v>
      </c>
      <c r="D2" s="280" t="s">
        <v>2960</v>
      </c>
      <c r="E2" s="281" t="s">
        <v>3029</v>
      </c>
      <c r="F2" s="282" t="s">
        <v>100</v>
      </c>
      <c r="G2" s="280" t="s">
        <v>3030</v>
      </c>
    </row>
    <row r="3">
      <c r="A3" s="276" t="s">
        <v>3031</v>
      </c>
      <c r="B3" s="280" t="s">
        <v>2227</v>
      </c>
      <c r="C3" s="280" t="s">
        <v>3032</v>
      </c>
      <c r="D3" s="280" t="s">
        <v>2960</v>
      </c>
      <c r="E3" s="280" t="s">
        <v>2960</v>
      </c>
      <c r="F3" s="282" t="s">
        <v>100</v>
      </c>
      <c r="G3" s="280" t="s">
        <v>2949</v>
      </c>
    </row>
    <row r="4">
      <c r="A4" s="276" t="s">
        <v>3033</v>
      </c>
      <c r="B4" s="280" t="s">
        <v>3034</v>
      </c>
      <c r="C4" s="280" t="s">
        <v>3035</v>
      </c>
      <c r="D4" s="280" t="s">
        <v>2960</v>
      </c>
      <c r="E4" s="280" t="s">
        <v>2960</v>
      </c>
      <c r="F4" s="282" t="s">
        <v>100</v>
      </c>
      <c r="G4" s="280" t="s">
        <v>3036</v>
      </c>
    </row>
    <row r="5">
      <c r="A5" s="276" t="s">
        <v>3037</v>
      </c>
      <c r="B5" s="280" t="s">
        <v>2227</v>
      </c>
      <c r="C5" s="280" t="s">
        <v>3038</v>
      </c>
      <c r="D5" s="280" t="s">
        <v>2960</v>
      </c>
      <c r="E5" s="280" t="s">
        <v>2960</v>
      </c>
      <c r="F5" s="280" t="s">
        <v>3039</v>
      </c>
      <c r="G5" s="280" t="s">
        <v>3040</v>
      </c>
    </row>
    <row r="6">
      <c r="A6" s="276" t="s">
        <v>3041</v>
      </c>
      <c r="B6" s="280" t="s">
        <v>2993</v>
      </c>
      <c r="C6" s="280" t="s">
        <v>3042</v>
      </c>
      <c r="D6" s="280" t="s">
        <v>2960</v>
      </c>
      <c r="E6" s="280" t="s">
        <v>2960</v>
      </c>
      <c r="F6" s="280" t="s">
        <v>3039</v>
      </c>
      <c r="G6" s="280" t="s">
        <v>3043</v>
      </c>
    </row>
    <row r="7">
      <c r="A7" s="276" t="s">
        <v>3044</v>
      </c>
      <c r="B7" s="280" t="s">
        <v>2993</v>
      </c>
      <c r="C7" s="280" t="s">
        <v>3045</v>
      </c>
      <c r="D7" s="280" t="s">
        <v>2960</v>
      </c>
      <c r="E7" s="280" t="s">
        <v>3046</v>
      </c>
      <c r="F7" s="280" t="s">
        <v>3039</v>
      </c>
      <c r="G7" s="280" t="s">
        <v>3047</v>
      </c>
    </row>
    <row r="8">
      <c r="A8" s="276" t="s">
        <v>3048</v>
      </c>
      <c r="B8" s="280" t="s">
        <v>3049</v>
      </c>
      <c r="C8" s="280" t="s">
        <v>3045</v>
      </c>
      <c r="D8" s="280" t="s">
        <v>2960</v>
      </c>
      <c r="E8" s="280" t="s">
        <v>2960</v>
      </c>
      <c r="F8" s="280" t="s">
        <v>3039</v>
      </c>
      <c r="G8" s="280" t="s">
        <v>3043</v>
      </c>
    </row>
    <row r="9">
      <c r="A9" s="276" t="s">
        <v>3050</v>
      </c>
      <c r="B9" s="280" t="s">
        <v>3051</v>
      </c>
      <c r="C9" s="280" t="s">
        <v>3052</v>
      </c>
      <c r="D9" s="280" t="s">
        <v>2960</v>
      </c>
      <c r="E9" s="280" t="s">
        <v>3046</v>
      </c>
      <c r="F9" s="280" t="s">
        <v>3039</v>
      </c>
      <c r="G9" s="280" t="s">
        <v>3053</v>
      </c>
    </row>
    <row r="10">
      <c r="A10" s="276" t="s">
        <v>3054</v>
      </c>
      <c r="B10" s="280" t="s">
        <v>2222</v>
      </c>
      <c r="C10" s="280">
        <v>14.0</v>
      </c>
      <c r="D10" s="280" t="s">
        <v>2960</v>
      </c>
      <c r="E10" s="280" t="s">
        <v>3046</v>
      </c>
      <c r="F10" s="280" t="s">
        <v>3055</v>
      </c>
      <c r="G10" s="280" t="s">
        <v>3053</v>
      </c>
    </row>
    <row r="11">
      <c r="A11" s="276" t="s">
        <v>3056</v>
      </c>
      <c r="B11" s="280" t="s">
        <v>3016</v>
      </c>
      <c r="C11" s="280">
        <v>16.0</v>
      </c>
      <c r="D11" s="281" t="s">
        <v>3057</v>
      </c>
      <c r="E11" s="280" t="s">
        <v>3046</v>
      </c>
      <c r="F11" s="280" t="s">
        <v>3055</v>
      </c>
      <c r="G11" s="280" t="s">
        <v>3058</v>
      </c>
    </row>
    <row r="12">
      <c r="A12" s="276" t="s">
        <v>3059</v>
      </c>
      <c r="B12" s="280" t="s">
        <v>3060</v>
      </c>
      <c r="C12" s="280">
        <v>17.0</v>
      </c>
      <c r="D12" s="280" t="s">
        <v>3061</v>
      </c>
      <c r="E12" s="280" t="s">
        <v>3046</v>
      </c>
      <c r="F12" s="280" t="s">
        <v>3055</v>
      </c>
      <c r="G12" s="280" t="s">
        <v>3062</v>
      </c>
    </row>
    <row r="13">
      <c r="A13" s="276" t="s">
        <v>3063</v>
      </c>
      <c r="B13" s="280" t="s">
        <v>3064</v>
      </c>
      <c r="C13" s="280">
        <v>18.0</v>
      </c>
      <c r="D13" s="280" t="s">
        <v>3061</v>
      </c>
      <c r="E13" s="280" t="s">
        <v>3046</v>
      </c>
      <c r="F13" s="280" t="s">
        <v>3055</v>
      </c>
      <c r="G13" s="280" t="s">
        <v>3065</v>
      </c>
    </row>
    <row r="14">
      <c r="A14" s="276" t="s">
        <v>3066</v>
      </c>
      <c r="B14" s="280" t="s">
        <v>2227</v>
      </c>
      <c r="C14" s="283">
        <v>2</v>
      </c>
      <c r="D14" s="280" t="s">
        <v>2960</v>
      </c>
      <c r="E14" s="280" t="s">
        <v>2960</v>
      </c>
      <c r="F14" s="280" t="s">
        <v>2960</v>
      </c>
      <c r="G14" s="280" t="s">
        <v>2986</v>
      </c>
    </row>
    <row r="15">
      <c r="A15" s="284"/>
    </row>
  </sheetData>
  <hyperlinks>
    <hyperlink r:id="rId1" location="h-Padded%20Armor" ref="A2"/>
    <hyperlink r:id="rId2" location="toc_20" ref="C2"/>
    <hyperlink r:id="rId3" location="toc_2" ref="E2"/>
    <hyperlink r:id="rId4" location="h-Leather%20Armor" ref="A3"/>
    <hyperlink r:id="rId5" location="h-Studded%20Leather%20Armor" ref="A4"/>
    <hyperlink r:id="rId6" location="h-Hide%20Armor" ref="A5"/>
    <hyperlink r:id="rId7" location="h-Chain%20Shirt" ref="A6"/>
    <hyperlink r:id="rId8" location="h-Scale%20Mail" ref="A7"/>
    <hyperlink r:id="rId9" location="h-Breastplate" ref="A8"/>
    <hyperlink r:id="rId10" location="h-Half%20Plate" ref="A9"/>
    <hyperlink r:id="rId11" location="h-Ring%20Mail" ref="A10"/>
    <hyperlink r:id="rId12" location="h-Chain%20Mail" ref="A11"/>
    <hyperlink r:id="rId13" location="toc_12" ref="D11"/>
    <hyperlink r:id="rId14" location="h-Splint%20Armor" ref="A12"/>
    <hyperlink r:id="rId15" location="h-Plate%20Armor" ref="A13"/>
    <hyperlink r:id="rId16" location="h-Shield" ref="A14"/>
  </hyperlinks>
  <drawing r:id="rId17"/>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sheetViews>
  <sheetFormatPr customHeight="1" defaultColWidth="14.43" defaultRowHeight="15.0"/>
  <cols>
    <col customWidth="1" min="1" max="1" width="16.0"/>
  </cols>
  <sheetData>
    <row r="1">
      <c r="A1" s="285" t="s">
        <v>3067</v>
      </c>
      <c r="B1" s="286" t="s">
        <v>1743</v>
      </c>
      <c r="C1" s="286" t="s">
        <v>3068</v>
      </c>
      <c r="D1" s="286" t="s">
        <v>3069</v>
      </c>
      <c r="E1" s="286" t="s">
        <v>3070</v>
      </c>
      <c r="F1" s="286" t="s">
        <v>325</v>
      </c>
    </row>
    <row r="2" ht="15.75" customHeight="1">
      <c r="A2" s="10" t="s">
        <v>3071</v>
      </c>
      <c r="B2" s="10" t="s">
        <v>3072</v>
      </c>
      <c r="C2" s="10" t="s">
        <v>3073</v>
      </c>
      <c r="D2" s="10" t="s">
        <v>3074</v>
      </c>
      <c r="E2" s="10" t="s">
        <v>3075</v>
      </c>
      <c r="F2" s="73" t="s">
        <v>3076</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sheetViews>
  <sheetFormatPr customHeight="1" defaultColWidth="14.43" defaultRowHeight="15.0"/>
  <cols>
    <col customWidth="1" min="1" max="1" width="24.86"/>
    <col customWidth="1" min="2" max="2" width="22.0"/>
  </cols>
  <sheetData>
    <row r="1">
      <c r="A1" s="285" t="s">
        <v>3077</v>
      </c>
      <c r="B1" s="286" t="s">
        <v>3078</v>
      </c>
      <c r="C1" s="286" t="s">
        <v>3068</v>
      </c>
      <c r="D1" s="286" t="s">
        <v>3069</v>
      </c>
    </row>
    <row r="2">
      <c r="A2" s="287" t="s">
        <v>3079</v>
      </c>
      <c r="B2" s="288" t="s">
        <v>3080</v>
      </c>
      <c r="C2" s="289" t="s">
        <v>2295</v>
      </c>
      <c r="D2" s="289" t="s">
        <v>2940</v>
      </c>
    </row>
    <row r="3">
      <c r="A3" s="287" t="s">
        <v>3081</v>
      </c>
      <c r="B3" s="289"/>
      <c r="C3" s="289" t="s">
        <v>2964</v>
      </c>
      <c r="D3" s="289" t="s">
        <v>2990</v>
      </c>
    </row>
    <row r="4">
      <c r="A4" s="287" t="s">
        <v>3082</v>
      </c>
      <c r="B4" s="289"/>
      <c r="C4" s="289" t="s">
        <v>2964</v>
      </c>
      <c r="D4" s="289" t="s">
        <v>1628</v>
      </c>
    </row>
    <row r="5">
      <c r="A5" s="287" t="s">
        <v>3083</v>
      </c>
      <c r="B5" s="289"/>
      <c r="C5" s="289" t="s">
        <v>2955</v>
      </c>
      <c r="D5" s="289" t="s">
        <v>2966</v>
      </c>
    </row>
    <row r="6">
      <c r="A6" s="287" t="s">
        <v>3084</v>
      </c>
      <c r="B6" s="289" t="s">
        <v>3085</v>
      </c>
      <c r="C6" s="289" t="s">
        <v>2964</v>
      </c>
      <c r="D6" s="289" t="s">
        <v>2969</v>
      </c>
    </row>
    <row r="7">
      <c r="A7" s="287" t="s">
        <v>3086</v>
      </c>
      <c r="B7" s="289" t="s">
        <v>3087</v>
      </c>
      <c r="C7" s="289" t="s">
        <v>2347</v>
      </c>
      <c r="D7" s="289" t="s">
        <v>2969</v>
      </c>
    </row>
    <row r="8">
      <c r="A8" s="287" t="s">
        <v>3088</v>
      </c>
      <c r="B8" s="289" t="s">
        <v>3089</v>
      </c>
      <c r="C8" s="289" t="s">
        <v>3090</v>
      </c>
      <c r="D8" s="289" t="s">
        <v>1628</v>
      </c>
    </row>
    <row r="9" ht="17.25" customHeight="1">
      <c r="A9" s="287" t="s">
        <v>3091</v>
      </c>
      <c r="B9" s="289" t="s">
        <v>3092</v>
      </c>
      <c r="C9" s="289" t="s">
        <v>2250</v>
      </c>
      <c r="D9" s="289" t="s">
        <v>2949</v>
      </c>
    </row>
    <row r="10">
      <c r="A10" s="287" t="s">
        <v>3093</v>
      </c>
      <c r="B10" s="289"/>
      <c r="C10" s="289" t="s">
        <v>3090</v>
      </c>
      <c r="D10" s="289" t="s">
        <v>1628</v>
      </c>
    </row>
    <row r="11" ht="17.25" customHeight="1">
      <c r="A11" s="287" t="s">
        <v>3094</v>
      </c>
      <c r="B11" s="289" t="s">
        <v>3095</v>
      </c>
      <c r="C11" s="289" t="s">
        <v>2347</v>
      </c>
      <c r="D11" s="289" t="s">
        <v>2940</v>
      </c>
    </row>
    <row r="12" ht="16.5" customHeight="1">
      <c r="A12" s="287" t="s">
        <v>3096</v>
      </c>
      <c r="B12" s="289" t="s">
        <v>3097</v>
      </c>
      <c r="C12" s="289" t="s">
        <v>2964</v>
      </c>
      <c r="D12" s="289" t="s">
        <v>2959</v>
      </c>
    </row>
    <row r="13">
      <c r="A13" s="287" t="s">
        <v>3098</v>
      </c>
      <c r="B13" s="289"/>
      <c r="C13" s="289" t="s">
        <v>2295</v>
      </c>
      <c r="D13" s="289" t="s">
        <v>2959</v>
      </c>
    </row>
    <row r="14">
      <c r="A14" s="287" t="s">
        <v>3099</v>
      </c>
      <c r="B14" s="289"/>
      <c r="C14" s="289" t="s">
        <v>2964</v>
      </c>
      <c r="D14" s="289" t="s">
        <v>2966</v>
      </c>
    </row>
    <row r="15">
      <c r="A15" s="287" t="s">
        <v>3100</v>
      </c>
      <c r="B15" s="289"/>
      <c r="C15" s="289" t="s">
        <v>2347</v>
      </c>
      <c r="D15" s="289" t="s">
        <v>2945</v>
      </c>
    </row>
    <row r="16">
      <c r="A16" s="287" t="s">
        <v>3101</v>
      </c>
      <c r="B16" s="289"/>
      <c r="C16" s="289" t="s">
        <v>2227</v>
      </c>
      <c r="D16" s="289" t="s">
        <v>1628</v>
      </c>
    </row>
    <row r="17">
      <c r="A17" s="287" t="s">
        <v>3102</v>
      </c>
      <c r="B17" s="289"/>
      <c r="C17" s="289" t="s">
        <v>3103</v>
      </c>
      <c r="D17" s="289" t="s">
        <v>1628</v>
      </c>
    </row>
    <row r="18">
      <c r="A18" s="287" t="s">
        <v>3104</v>
      </c>
      <c r="B18" s="289"/>
      <c r="C18" s="289" t="s">
        <v>2463</v>
      </c>
      <c r="D18" s="289" t="s">
        <v>3105</v>
      </c>
    </row>
    <row r="19">
      <c r="A19" s="287" t="s">
        <v>3106</v>
      </c>
      <c r="B19" s="289" t="s">
        <v>3107</v>
      </c>
      <c r="C19" s="289" t="s">
        <v>2227</v>
      </c>
      <c r="D19" s="289" t="s">
        <v>2945</v>
      </c>
    </row>
    <row r="20">
      <c r="A20" s="287" t="s">
        <v>3108</v>
      </c>
      <c r="B20" s="289" t="s">
        <v>3109</v>
      </c>
      <c r="C20" s="289" t="s">
        <v>3110</v>
      </c>
      <c r="D20" s="289" t="s">
        <v>1628</v>
      </c>
    </row>
    <row r="21">
      <c r="A21" s="287" t="s">
        <v>3111</v>
      </c>
      <c r="B21" s="289" t="s">
        <v>3112</v>
      </c>
      <c r="C21" s="289" t="s">
        <v>2295</v>
      </c>
      <c r="D21" s="289" t="s">
        <v>2986</v>
      </c>
    </row>
    <row r="22">
      <c r="A22" s="287" t="s">
        <v>3113</v>
      </c>
      <c r="B22" s="289" t="s">
        <v>3114</v>
      </c>
      <c r="C22" s="289" t="s">
        <v>2948</v>
      </c>
      <c r="D22" s="289" t="s">
        <v>2945</v>
      </c>
    </row>
    <row r="23">
      <c r="A23" s="287" t="s">
        <v>3115</v>
      </c>
      <c r="C23" s="289" t="s">
        <v>2295</v>
      </c>
      <c r="D23" s="289" t="s">
        <v>2949</v>
      </c>
    </row>
    <row r="24">
      <c r="A24" s="287" t="s">
        <v>3116</v>
      </c>
      <c r="C24" s="289" t="s">
        <v>2948</v>
      </c>
      <c r="D24" s="289" t="s">
        <v>1628</v>
      </c>
    </row>
    <row r="25">
      <c r="A25" s="287" t="s">
        <v>3117</v>
      </c>
      <c r="C25" s="289" t="s">
        <v>2463</v>
      </c>
      <c r="D25" s="289" t="s">
        <v>1628</v>
      </c>
    </row>
    <row r="26">
      <c r="A26" s="287" t="s">
        <v>3118</v>
      </c>
      <c r="C26" s="289" t="s">
        <v>2250</v>
      </c>
      <c r="D26" s="289" t="s">
        <v>1628</v>
      </c>
    </row>
    <row r="27">
      <c r="A27" s="287" t="s">
        <v>3119</v>
      </c>
      <c r="C27" s="289" t="s">
        <v>2973</v>
      </c>
      <c r="D27" s="289" t="s">
        <v>3120</v>
      </c>
    </row>
    <row r="28">
      <c r="A28" s="287" t="s">
        <v>3121</v>
      </c>
      <c r="C28" s="289" t="s">
        <v>2973</v>
      </c>
      <c r="D28" s="289" t="s">
        <v>2990</v>
      </c>
    </row>
    <row r="29">
      <c r="A29" s="287" t="s">
        <v>3122</v>
      </c>
      <c r="B29" s="10" t="s">
        <v>3123</v>
      </c>
      <c r="C29" s="289" t="s">
        <v>3124</v>
      </c>
      <c r="D29" s="289" t="s">
        <v>3125</v>
      </c>
    </row>
    <row r="30">
      <c r="A30" s="287" t="s">
        <v>3126</v>
      </c>
      <c r="B30" s="10" t="s">
        <v>3127</v>
      </c>
      <c r="C30" s="289" t="s">
        <v>2955</v>
      </c>
      <c r="D30" s="289" t="s">
        <v>2940</v>
      </c>
    </row>
    <row r="31" ht="18.75" customHeight="1">
      <c r="A31" s="287" t="s">
        <v>3128</v>
      </c>
      <c r="B31" s="11" t="s">
        <v>3129</v>
      </c>
      <c r="C31" s="289" t="s">
        <v>3130</v>
      </c>
      <c r="D31" s="289" t="s">
        <v>3131</v>
      </c>
    </row>
    <row r="32">
      <c r="A32" s="287" t="s">
        <v>3132</v>
      </c>
      <c r="C32" s="289" t="s">
        <v>2955</v>
      </c>
      <c r="D32" s="289" t="s">
        <v>1628</v>
      </c>
    </row>
    <row r="33">
      <c r="A33" s="287" t="s">
        <v>3133</v>
      </c>
      <c r="C33" s="289" t="s">
        <v>2295</v>
      </c>
      <c r="D33" s="289" t="s">
        <v>2969</v>
      </c>
    </row>
    <row r="34">
      <c r="A34" s="287" t="s">
        <v>3134</v>
      </c>
      <c r="C34" s="289" t="s">
        <v>2973</v>
      </c>
      <c r="D34" s="289" t="s">
        <v>1628</v>
      </c>
    </row>
    <row r="35">
      <c r="A35" s="287" t="s">
        <v>3135</v>
      </c>
      <c r="C35" s="289" t="s">
        <v>2250</v>
      </c>
      <c r="D35" s="289" t="s">
        <v>1628</v>
      </c>
    </row>
    <row r="36">
      <c r="A36" s="287" t="s">
        <v>3136</v>
      </c>
      <c r="C36" s="289" t="s">
        <v>2295</v>
      </c>
      <c r="D36" s="289" t="s">
        <v>2949</v>
      </c>
    </row>
    <row r="37">
      <c r="A37" s="287" t="s">
        <v>3137</v>
      </c>
      <c r="B37" s="10" t="s">
        <v>3138</v>
      </c>
      <c r="C37" s="289" t="s">
        <v>2993</v>
      </c>
      <c r="D37" s="289" t="s">
        <v>2966</v>
      </c>
    </row>
    <row r="38">
      <c r="A38" s="287" t="s">
        <v>3139</v>
      </c>
      <c r="C38" s="289" t="s">
        <v>2964</v>
      </c>
      <c r="D38" s="289" t="s">
        <v>2969</v>
      </c>
    </row>
    <row r="39">
      <c r="A39" s="287" t="s">
        <v>3140</v>
      </c>
      <c r="B39" s="10" t="s">
        <v>3141</v>
      </c>
      <c r="C39" s="289" t="s">
        <v>3142</v>
      </c>
      <c r="D39" s="289" t="s">
        <v>2945</v>
      </c>
    </row>
    <row r="40">
      <c r="A40" s="287" t="s">
        <v>3143</v>
      </c>
      <c r="C40" s="289" t="s">
        <v>2295</v>
      </c>
      <c r="D40" s="289" t="s">
        <v>3144</v>
      </c>
    </row>
    <row r="41">
      <c r="A41" s="287" t="s">
        <v>3145</v>
      </c>
      <c r="C41" s="289" t="s">
        <v>3090</v>
      </c>
      <c r="D41" s="289" t="s">
        <v>2945</v>
      </c>
    </row>
    <row r="42">
      <c r="A42" s="287" t="s">
        <v>3146</v>
      </c>
      <c r="B42" s="10" t="s">
        <v>3147</v>
      </c>
      <c r="C42" s="289" t="s">
        <v>2347</v>
      </c>
      <c r="D42" s="289" t="s">
        <v>2945</v>
      </c>
    </row>
    <row r="43">
      <c r="A43" s="287" t="s">
        <v>3148</v>
      </c>
      <c r="B43" s="10" t="s">
        <v>3149</v>
      </c>
      <c r="C43" s="289" t="s">
        <v>2993</v>
      </c>
      <c r="D43" s="289" t="s">
        <v>2945</v>
      </c>
    </row>
    <row r="44">
      <c r="A44" s="287" t="s">
        <v>3150</v>
      </c>
      <c r="B44" s="10" t="s">
        <v>3151</v>
      </c>
      <c r="C44" s="289" t="s">
        <v>2993</v>
      </c>
      <c r="D44" s="289" t="s">
        <v>1628</v>
      </c>
    </row>
    <row r="45">
      <c r="A45" s="287" t="s">
        <v>3152</v>
      </c>
      <c r="B45" s="10" t="s">
        <v>3153</v>
      </c>
      <c r="C45" s="289" t="s">
        <v>2964</v>
      </c>
      <c r="D45" s="289" t="s">
        <v>2940</v>
      </c>
    </row>
    <row r="46">
      <c r="A46" s="287" t="s">
        <v>3154</v>
      </c>
      <c r="B46" s="10" t="s">
        <v>3155</v>
      </c>
      <c r="C46" s="289" t="s">
        <v>2964</v>
      </c>
      <c r="D46" s="289" t="s">
        <v>2940</v>
      </c>
    </row>
    <row r="47">
      <c r="A47" s="287" t="s">
        <v>3156</v>
      </c>
      <c r="B47" s="10" t="s">
        <v>3157</v>
      </c>
      <c r="C47" s="289" t="s">
        <v>2347</v>
      </c>
      <c r="D47" s="289" t="s">
        <v>3040</v>
      </c>
    </row>
    <row r="48">
      <c r="A48" s="287" t="s">
        <v>3158</v>
      </c>
      <c r="B48" s="10" t="s">
        <v>3159</v>
      </c>
      <c r="C48" s="289" t="s">
        <v>2295</v>
      </c>
      <c r="D48" s="289" t="s">
        <v>2969</v>
      </c>
    </row>
    <row r="49">
      <c r="A49" s="287" t="s">
        <v>3160</v>
      </c>
      <c r="B49" s="10" t="s">
        <v>3161</v>
      </c>
      <c r="C49" s="289" t="s">
        <v>2250</v>
      </c>
      <c r="D49" s="289" t="s">
        <v>2966</v>
      </c>
    </row>
    <row r="50">
      <c r="A50" s="287" t="s">
        <v>3162</v>
      </c>
      <c r="B50" s="10" t="s">
        <v>3163</v>
      </c>
      <c r="C50" s="289" t="s">
        <v>2347</v>
      </c>
      <c r="D50" s="289" t="s">
        <v>2945</v>
      </c>
    </row>
    <row r="51">
      <c r="A51" s="287" t="s">
        <v>3164</v>
      </c>
      <c r="B51" s="10" t="s">
        <v>3165</v>
      </c>
      <c r="C51" s="289" t="s">
        <v>2250</v>
      </c>
      <c r="D51" s="289" t="s">
        <v>3105</v>
      </c>
    </row>
    <row r="52">
      <c r="A52" s="287" t="s">
        <v>3166</v>
      </c>
      <c r="B52" s="10" t="s">
        <v>3167</v>
      </c>
      <c r="C52" s="289" t="s">
        <v>2955</v>
      </c>
      <c r="D52" s="289" t="s">
        <v>2945</v>
      </c>
    </row>
    <row r="53">
      <c r="A53" s="287" t="s">
        <v>3168</v>
      </c>
      <c r="B53" s="10" t="s">
        <v>3169</v>
      </c>
      <c r="C53" s="289" t="s">
        <v>2227</v>
      </c>
      <c r="D53" s="289" t="s">
        <v>2940</v>
      </c>
    </row>
    <row r="54">
      <c r="A54" s="287" t="s">
        <v>3170</v>
      </c>
      <c r="B54" s="10" t="s">
        <v>3171</v>
      </c>
      <c r="C54" s="289" t="s">
        <v>2250</v>
      </c>
      <c r="D54" s="289" t="s">
        <v>2940</v>
      </c>
    </row>
    <row r="55">
      <c r="A55" s="287" t="s">
        <v>3172</v>
      </c>
      <c r="B55" s="10" t="s">
        <v>3173</v>
      </c>
      <c r="C55" s="289" t="s">
        <v>2463</v>
      </c>
      <c r="D55" s="289" t="s">
        <v>2945</v>
      </c>
    </row>
    <row r="56">
      <c r="A56" s="287" t="s">
        <v>3174</v>
      </c>
      <c r="B56" s="10" t="s">
        <v>3175</v>
      </c>
      <c r="C56" s="289" t="s">
        <v>3110</v>
      </c>
      <c r="D56" s="289" t="s">
        <v>1628</v>
      </c>
    </row>
    <row r="57">
      <c r="A57" s="287" t="s">
        <v>3176</v>
      </c>
      <c r="B57" s="10" t="s">
        <v>3177</v>
      </c>
      <c r="C57" s="289" t="s">
        <v>2955</v>
      </c>
      <c r="D57" s="289" t="s">
        <v>2945</v>
      </c>
    </row>
    <row r="58">
      <c r="A58" s="287" t="s">
        <v>3178</v>
      </c>
      <c r="B58" s="10" t="s">
        <v>3179</v>
      </c>
      <c r="C58" s="289" t="s">
        <v>3090</v>
      </c>
      <c r="D58" s="289" t="s">
        <v>2945</v>
      </c>
    </row>
    <row r="59">
      <c r="A59" s="289" t="s">
        <v>3180</v>
      </c>
      <c r="B59" s="289" t="s">
        <v>3181</v>
      </c>
      <c r="C59" s="289" t="s">
        <v>2295</v>
      </c>
      <c r="D59" s="289" t="s">
        <v>2969</v>
      </c>
    </row>
    <row r="60">
      <c r="A60" s="289" t="s">
        <v>3182</v>
      </c>
      <c r="B60" s="289" t="s">
        <v>3183</v>
      </c>
      <c r="C60" s="289" t="s">
        <v>2295</v>
      </c>
      <c r="D60" s="289" t="s">
        <v>3184</v>
      </c>
    </row>
    <row r="61">
      <c r="A61" s="289" t="s">
        <v>3185</v>
      </c>
      <c r="B61" s="289" t="s">
        <v>3186</v>
      </c>
      <c r="C61" s="289" t="s">
        <v>3187</v>
      </c>
      <c r="D61" s="289" t="s">
        <v>2940</v>
      </c>
    </row>
    <row r="62">
      <c r="A62" s="289" t="s">
        <v>3188</v>
      </c>
      <c r="B62" s="289" t="s">
        <v>3189</v>
      </c>
      <c r="C62" s="289" t="s">
        <v>2973</v>
      </c>
      <c r="D62" s="289" t="s">
        <v>2940</v>
      </c>
    </row>
    <row r="63">
      <c r="A63" s="289" t="s">
        <v>3190</v>
      </c>
      <c r="B63" s="289" t="s">
        <v>3191</v>
      </c>
      <c r="C63" s="289" t="s">
        <v>2964</v>
      </c>
      <c r="D63" s="289" t="s">
        <v>2945</v>
      </c>
    </row>
    <row r="64">
      <c r="A64" s="289" t="s">
        <v>3192</v>
      </c>
      <c r="B64" s="289" t="s">
        <v>3193</v>
      </c>
      <c r="C64" s="289" t="s">
        <v>2964</v>
      </c>
      <c r="D64" s="289" t="s">
        <v>2945</v>
      </c>
    </row>
    <row r="65">
      <c r="A65" s="289" t="s">
        <v>3194</v>
      </c>
      <c r="B65" s="289" t="s">
        <v>3195</v>
      </c>
      <c r="C65" s="289" t="s">
        <v>2250</v>
      </c>
      <c r="D65" s="289" t="s">
        <v>3105</v>
      </c>
    </row>
    <row r="66">
      <c r="A66" s="289" t="s">
        <v>3196</v>
      </c>
      <c r="B66" s="289" t="s">
        <v>3197</v>
      </c>
      <c r="C66" s="289" t="s">
        <v>3103</v>
      </c>
      <c r="D66" s="289" t="s">
        <v>2945</v>
      </c>
    </row>
    <row r="67">
      <c r="A67" s="289" t="s">
        <v>3198</v>
      </c>
      <c r="B67" s="289" t="s">
        <v>3199</v>
      </c>
      <c r="C67" s="289" t="s">
        <v>2295</v>
      </c>
      <c r="D67" s="289" t="s">
        <v>2940</v>
      </c>
    </row>
    <row r="68">
      <c r="A68" s="289" t="s">
        <v>3200</v>
      </c>
      <c r="B68" s="289" t="s">
        <v>3201</v>
      </c>
      <c r="C68" s="289" t="s">
        <v>3103</v>
      </c>
      <c r="D68" s="289" t="s">
        <v>2959</v>
      </c>
    </row>
    <row r="69">
      <c r="A69" s="289" t="s">
        <v>3202</v>
      </c>
      <c r="B69" s="289" t="s">
        <v>3201</v>
      </c>
      <c r="C69" s="289" t="s">
        <v>2295</v>
      </c>
      <c r="D69" s="289" t="s">
        <v>3203</v>
      </c>
    </row>
    <row r="70" ht="15.75" customHeight="1">
      <c r="A70" s="289" t="s">
        <v>3204</v>
      </c>
      <c r="B70" s="289" t="s">
        <v>3205</v>
      </c>
      <c r="C70" s="289" t="s">
        <v>2955</v>
      </c>
      <c r="D70" s="289" t="s">
        <v>2945</v>
      </c>
    </row>
    <row r="71">
      <c r="A71" s="289" t="s">
        <v>3206</v>
      </c>
      <c r="B71" s="289" t="s">
        <v>3207</v>
      </c>
      <c r="C71" s="289" t="s">
        <v>2964</v>
      </c>
      <c r="D71" s="289" t="s">
        <v>2945</v>
      </c>
    </row>
    <row r="72">
      <c r="A72" s="289" t="s">
        <v>3208</v>
      </c>
      <c r="B72" s="289" t="s">
        <v>3209</v>
      </c>
      <c r="C72" s="289" t="s">
        <v>3090</v>
      </c>
      <c r="D72" s="289" t="s">
        <v>3210</v>
      </c>
    </row>
    <row r="73">
      <c r="A73" s="289" t="s">
        <v>3211</v>
      </c>
      <c r="B73" s="289" t="s">
        <v>3212</v>
      </c>
      <c r="C73" s="289" t="s">
        <v>2964</v>
      </c>
      <c r="D73" s="289" t="s">
        <v>1628</v>
      </c>
    </row>
    <row r="74">
      <c r="A74" s="289" t="s">
        <v>3213</v>
      </c>
      <c r="B74" s="289" t="s">
        <v>3214</v>
      </c>
      <c r="C74" s="289" t="s">
        <v>2948</v>
      </c>
      <c r="D74" s="289" t="s">
        <v>3215</v>
      </c>
    </row>
    <row r="75">
      <c r="A75" s="289" t="s">
        <v>3216</v>
      </c>
      <c r="B75" s="10" t="s">
        <v>3217</v>
      </c>
      <c r="C75" s="289" t="s">
        <v>2955</v>
      </c>
      <c r="D75" s="289" t="s">
        <v>2966</v>
      </c>
    </row>
    <row r="76">
      <c r="A76" s="289" t="s">
        <v>3218</v>
      </c>
      <c r="B76" s="10" t="s">
        <v>3217</v>
      </c>
      <c r="C76" s="289" t="s">
        <v>2250</v>
      </c>
      <c r="D76" s="289" t="s">
        <v>2959</v>
      </c>
    </row>
    <row r="77">
      <c r="A77" s="289" t="s">
        <v>3219</v>
      </c>
      <c r="B77" s="10" t="s">
        <v>3217</v>
      </c>
      <c r="C77" s="289" t="s">
        <v>2231</v>
      </c>
      <c r="D77" s="289" t="s">
        <v>2986</v>
      </c>
    </row>
    <row r="78">
      <c r="A78" s="289" t="s">
        <v>3220</v>
      </c>
      <c r="B78" s="10" t="s">
        <v>3217</v>
      </c>
      <c r="C78" s="289" t="s">
        <v>2964</v>
      </c>
      <c r="D78" s="289" t="s">
        <v>2959</v>
      </c>
    </row>
    <row r="79">
      <c r="A79" s="289" t="s">
        <v>3221</v>
      </c>
      <c r="B79" s="10" t="s">
        <v>3217</v>
      </c>
      <c r="C79" s="289" t="s">
        <v>2295</v>
      </c>
      <c r="D79" s="289" t="s">
        <v>2959</v>
      </c>
    </row>
    <row r="80">
      <c r="A80" s="289" t="s">
        <v>3222</v>
      </c>
      <c r="B80" s="10" t="s">
        <v>3223</v>
      </c>
      <c r="C80" s="289" t="s">
        <v>2227</v>
      </c>
      <c r="D80" s="289" t="s">
        <v>2945</v>
      </c>
    </row>
    <row r="81">
      <c r="A81" s="289" t="s">
        <v>3224</v>
      </c>
      <c r="B81" s="10" t="s">
        <v>3223</v>
      </c>
      <c r="C81" s="289" t="s">
        <v>2235</v>
      </c>
      <c r="D81" s="289" t="s">
        <v>2966</v>
      </c>
    </row>
    <row r="82">
      <c r="A82" s="289" t="s">
        <v>3225</v>
      </c>
      <c r="B82" s="10" t="s">
        <v>3223</v>
      </c>
      <c r="C82" s="289" t="s">
        <v>2227</v>
      </c>
      <c r="D82" s="289" t="s">
        <v>2940</v>
      </c>
    </row>
    <row r="83">
      <c r="A83" s="289" t="s">
        <v>3226</v>
      </c>
      <c r="B83" s="10" t="s">
        <v>3223</v>
      </c>
      <c r="C83" s="289" t="s">
        <v>2250</v>
      </c>
      <c r="D83" s="289" t="s">
        <v>2959</v>
      </c>
    </row>
    <row r="84">
      <c r="A84" s="289" t="s">
        <v>3227</v>
      </c>
      <c r="B84" s="10" t="s">
        <v>3223</v>
      </c>
      <c r="C84" s="289" t="s">
        <v>2227</v>
      </c>
      <c r="D84" s="289" t="s">
        <v>2945</v>
      </c>
    </row>
    <row r="85">
      <c r="A85" s="289" t="s">
        <v>3228</v>
      </c>
      <c r="B85" s="10" t="s">
        <v>3223</v>
      </c>
      <c r="C85" s="289" t="s">
        <v>2964</v>
      </c>
      <c r="D85" s="289" t="s">
        <v>1628</v>
      </c>
    </row>
    <row r="86">
      <c r="A86" s="289" t="s">
        <v>3229</v>
      </c>
      <c r="B86" s="10" t="s">
        <v>3223</v>
      </c>
      <c r="C86" s="289" t="s">
        <v>2964</v>
      </c>
      <c r="D86" s="289" t="s">
        <v>1628</v>
      </c>
    </row>
    <row r="87">
      <c r="A87" s="289" t="s">
        <v>3230</v>
      </c>
      <c r="B87" s="10" t="s">
        <v>3223</v>
      </c>
      <c r="C87" s="289" t="s">
        <v>2250</v>
      </c>
      <c r="D87" s="289" t="s">
        <v>2959</v>
      </c>
    </row>
    <row r="88">
      <c r="A88" s="289" t="s">
        <v>3231</v>
      </c>
      <c r="B88" s="10" t="s">
        <v>3223</v>
      </c>
      <c r="C88" s="289" t="s">
        <v>2227</v>
      </c>
      <c r="D88" s="289" t="s">
        <v>2945</v>
      </c>
    </row>
    <row r="89">
      <c r="A89" s="13"/>
    </row>
    <row r="90">
      <c r="A90" s="13"/>
    </row>
    <row r="91">
      <c r="A91" s="13"/>
    </row>
    <row r="92">
      <c r="A92" s="13"/>
    </row>
    <row r="93">
      <c r="A93" s="13"/>
    </row>
    <row r="94">
      <c r="A94" s="13"/>
    </row>
    <row r="95">
      <c r="A95" s="13"/>
    </row>
    <row r="96">
      <c r="A96" s="13"/>
    </row>
    <row r="97">
      <c r="A97" s="13"/>
    </row>
    <row r="98">
      <c r="A98" s="13"/>
    </row>
    <row r="99">
      <c r="A99" s="13"/>
    </row>
    <row r="100">
      <c r="A100" s="13"/>
    </row>
    <row r="101">
      <c r="A101" s="13"/>
    </row>
    <row r="102">
      <c r="A102" s="13"/>
    </row>
    <row r="103">
      <c r="A103" s="13"/>
    </row>
    <row r="104">
      <c r="A104" s="13"/>
    </row>
    <row r="105">
      <c r="A105" s="13"/>
    </row>
    <row r="106">
      <c r="A106" s="13"/>
    </row>
    <row r="107">
      <c r="A107" s="13"/>
    </row>
    <row r="108">
      <c r="A108" s="13"/>
    </row>
    <row r="109">
      <c r="A109" s="13"/>
    </row>
    <row r="110">
      <c r="A110" s="13"/>
    </row>
    <row r="111">
      <c r="A111" s="13"/>
    </row>
    <row r="112">
      <c r="A112" s="13"/>
    </row>
    <row r="113">
      <c r="A113" s="13"/>
    </row>
    <row r="114">
      <c r="A114" s="13"/>
    </row>
    <row r="115">
      <c r="A115" s="13"/>
    </row>
    <row r="116">
      <c r="A116" s="13"/>
    </row>
    <row r="117">
      <c r="A117" s="13"/>
    </row>
    <row r="118">
      <c r="A118" s="13"/>
    </row>
    <row r="119">
      <c r="A119" s="13"/>
    </row>
    <row r="120">
      <c r="A120" s="13"/>
    </row>
    <row r="121">
      <c r="A121" s="13"/>
    </row>
    <row r="122">
      <c r="A122" s="13"/>
    </row>
    <row r="123">
      <c r="A123" s="13"/>
    </row>
    <row r="124">
      <c r="A124" s="13"/>
    </row>
    <row r="125">
      <c r="A125" s="13"/>
    </row>
    <row r="126">
      <c r="A126" s="13"/>
    </row>
    <row r="127">
      <c r="A127" s="13"/>
    </row>
    <row r="128">
      <c r="A128" s="13"/>
    </row>
    <row r="129">
      <c r="A129" s="13"/>
    </row>
    <row r="130">
      <c r="A130" s="13"/>
    </row>
    <row r="131">
      <c r="A131" s="13"/>
    </row>
    <row r="132">
      <c r="A132" s="13"/>
    </row>
    <row r="133">
      <c r="A133" s="13"/>
    </row>
    <row r="134">
      <c r="A134" s="13"/>
    </row>
    <row r="135">
      <c r="A135" s="13"/>
    </row>
    <row r="136">
      <c r="A136" s="13"/>
    </row>
    <row r="137">
      <c r="A137" s="13"/>
    </row>
    <row r="138">
      <c r="A138" s="13"/>
    </row>
    <row r="139">
      <c r="A139" s="13"/>
    </row>
    <row r="140">
      <c r="A140" s="13"/>
    </row>
    <row r="141">
      <c r="A141" s="13"/>
    </row>
    <row r="142">
      <c r="A142" s="13"/>
    </row>
    <row r="143">
      <c r="A143" s="13"/>
    </row>
    <row r="144">
      <c r="A144" s="13"/>
    </row>
    <row r="145">
      <c r="A145" s="13"/>
    </row>
    <row r="146">
      <c r="A146" s="13"/>
    </row>
    <row r="147">
      <c r="A147" s="13"/>
    </row>
    <row r="148">
      <c r="A148" s="13"/>
    </row>
    <row r="149">
      <c r="A149" s="13"/>
    </row>
    <row r="150">
      <c r="A150" s="13"/>
    </row>
    <row r="151">
      <c r="A151" s="13"/>
    </row>
    <row r="152">
      <c r="A152" s="13"/>
    </row>
    <row r="153">
      <c r="A153" s="13"/>
    </row>
    <row r="154">
      <c r="A154" s="13"/>
    </row>
    <row r="155">
      <c r="A155" s="13"/>
    </row>
    <row r="156">
      <c r="A156" s="13"/>
    </row>
    <row r="157">
      <c r="A157" s="13"/>
    </row>
    <row r="158">
      <c r="A158" s="13"/>
    </row>
    <row r="159">
      <c r="A159" s="13"/>
    </row>
    <row r="160">
      <c r="A160" s="13"/>
    </row>
    <row r="161">
      <c r="A161" s="13"/>
    </row>
    <row r="162">
      <c r="A162" s="13"/>
    </row>
    <row r="163">
      <c r="A163" s="13"/>
    </row>
    <row r="164">
      <c r="A164" s="13"/>
    </row>
    <row r="165">
      <c r="A165" s="13"/>
    </row>
    <row r="166">
      <c r="A166" s="13"/>
    </row>
    <row r="167">
      <c r="A167" s="13"/>
    </row>
    <row r="168">
      <c r="A168" s="13"/>
    </row>
    <row r="169">
      <c r="A169" s="13"/>
    </row>
    <row r="170">
      <c r="A170" s="13"/>
    </row>
    <row r="171">
      <c r="A171" s="13"/>
    </row>
    <row r="172">
      <c r="A172" s="13"/>
    </row>
    <row r="173">
      <c r="A173" s="13"/>
    </row>
    <row r="174">
      <c r="A174" s="13"/>
    </row>
    <row r="175">
      <c r="A175" s="13"/>
    </row>
    <row r="176">
      <c r="A176" s="13"/>
    </row>
    <row r="177">
      <c r="A177" s="13"/>
    </row>
    <row r="178">
      <c r="A178" s="13"/>
    </row>
    <row r="179">
      <c r="A179" s="13"/>
    </row>
    <row r="180">
      <c r="A180" s="13"/>
    </row>
    <row r="181">
      <c r="A181" s="13"/>
    </row>
    <row r="182">
      <c r="A182" s="13"/>
    </row>
    <row r="183">
      <c r="A183" s="13"/>
    </row>
    <row r="184">
      <c r="A184" s="13"/>
    </row>
    <row r="185">
      <c r="A185" s="13"/>
    </row>
    <row r="186">
      <c r="A186" s="13"/>
    </row>
    <row r="187">
      <c r="A187" s="13"/>
    </row>
    <row r="188">
      <c r="A188" s="13"/>
    </row>
    <row r="189">
      <c r="A189" s="13"/>
    </row>
    <row r="190">
      <c r="A190" s="13"/>
    </row>
    <row r="191">
      <c r="A191" s="13"/>
    </row>
    <row r="192">
      <c r="A192" s="13"/>
    </row>
    <row r="193">
      <c r="A193" s="13"/>
    </row>
    <row r="194">
      <c r="A194" s="13"/>
    </row>
    <row r="195">
      <c r="A195" s="13"/>
    </row>
    <row r="196">
      <c r="A196" s="13"/>
    </row>
    <row r="197">
      <c r="A197" s="13"/>
    </row>
    <row r="198">
      <c r="A198" s="13"/>
    </row>
    <row r="199">
      <c r="A199" s="13"/>
    </row>
    <row r="200">
      <c r="A200" s="13"/>
    </row>
    <row r="201">
      <c r="A201" s="13"/>
    </row>
    <row r="202">
      <c r="A202" s="13"/>
    </row>
    <row r="203">
      <c r="A203" s="13"/>
    </row>
    <row r="204">
      <c r="A204" s="13"/>
    </row>
    <row r="205">
      <c r="A205" s="13"/>
    </row>
    <row r="206">
      <c r="A206" s="13"/>
    </row>
    <row r="207">
      <c r="A207" s="13"/>
    </row>
    <row r="208">
      <c r="A208" s="13"/>
    </row>
    <row r="209">
      <c r="A209" s="13"/>
    </row>
    <row r="210">
      <c r="A210" s="13"/>
    </row>
    <row r="211">
      <c r="A211" s="13"/>
    </row>
    <row r="212">
      <c r="A212" s="13"/>
    </row>
    <row r="213">
      <c r="A213" s="13"/>
    </row>
    <row r="214">
      <c r="A214" s="13"/>
    </row>
    <row r="215">
      <c r="A215" s="13"/>
    </row>
    <row r="216">
      <c r="A216" s="13"/>
    </row>
    <row r="217">
      <c r="A217" s="13"/>
    </row>
    <row r="218">
      <c r="A218" s="13"/>
    </row>
    <row r="219">
      <c r="A219" s="13"/>
    </row>
    <row r="220">
      <c r="A220" s="13"/>
    </row>
    <row r="221">
      <c r="A221" s="13"/>
    </row>
    <row r="222">
      <c r="A222" s="13"/>
    </row>
    <row r="223">
      <c r="A223" s="13"/>
    </row>
    <row r="224">
      <c r="A224" s="13"/>
    </row>
    <row r="225">
      <c r="A225" s="13"/>
    </row>
    <row r="226">
      <c r="A226" s="13"/>
    </row>
    <row r="227">
      <c r="A227" s="13"/>
    </row>
    <row r="228">
      <c r="A228" s="13"/>
    </row>
    <row r="229">
      <c r="A229" s="13"/>
    </row>
    <row r="230">
      <c r="A230" s="13"/>
    </row>
    <row r="231">
      <c r="A231" s="13"/>
    </row>
    <row r="232">
      <c r="A232" s="13"/>
    </row>
    <row r="233">
      <c r="A233" s="13"/>
    </row>
    <row r="234">
      <c r="A234" s="13"/>
    </row>
    <row r="235">
      <c r="A235" s="13"/>
    </row>
    <row r="236">
      <c r="A236" s="13"/>
    </row>
    <row r="237">
      <c r="A237" s="13"/>
    </row>
    <row r="238">
      <c r="A238" s="13"/>
    </row>
    <row r="239">
      <c r="A239" s="13"/>
    </row>
    <row r="240">
      <c r="A240" s="13"/>
    </row>
    <row r="241">
      <c r="A241" s="13"/>
    </row>
    <row r="242">
      <c r="A242" s="13"/>
    </row>
    <row r="243">
      <c r="A243" s="13"/>
    </row>
    <row r="244">
      <c r="A244" s="13"/>
    </row>
    <row r="245">
      <c r="A245" s="13"/>
    </row>
    <row r="246">
      <c r="A246" s="13"/>
    </row>
    <row r="247">
      <c r="A247" s="13"/>
    </row>
    <row r="248">
      <c r="A248" s="13"/>
    </row>
    <row r="249">
      <c r="A249" s="13"/>
    </row>
    <row r="250">
      <c r="A250" s="13"/>
    </row>
    <row r="251">
      <c r="A251" s="13"/>
    </row>
    <row r="252">
      <c r="A252" s="13"/>
    </row>
    <row r="253">
      <c r="A253" s="13"/>
    </row>
    <row r="254">
      <c r="A254" s="13"/>
    </row>
    <row r="255">
      <c r="A255" s="13"/>
    </row>
    <row r="256">
      <c r="A256" s="13"/>
    </row>
    <row r="257">
      <c r="A257" s="13"/>
    </row>
    <row r="258">
      <c r="A258" s="13"/>
    </row>
    <row r="259">
      <c r="A259" s="13"/>
    </row>
    <row r="260">
      <c r="A260" s="13"/>
    </row>
    <row r="261">
      <c r="A261" s="13"/>
    </row>
    <row r="262">
      <c r="A262" s="13"/>
    </row>
    <row r="263">
      <c r="A263" s="13"/>
    </row>
    <row r="264">
      <c r="A264" s="13"/>
    </row>
    <row r="265">
      <c r="A265" s="13"/>
    </row>
    <row r="266">
      <c r="A266" s="13"/>
    </row>
    <row r="267">
      <c r="A267" s="13"/>
    </row>
    <row r="268">
      <c r="A268" s="13"/>
    </row>
    <row r="269">
      <c r="A269" s="13"/>
    </row>
    <row r="270">
      <c r="A270" s="13"/>
    </row>
    <row r="271">
      <c r="A271" s="13"/>
    </row>
    <row r="272">
      <c r="A272" s="13"/>
    </row>
    <row r="273">
      <c r="A273" s="13"/>
    </row>
    <row r="274">
      <c r="A274" s="13"/>
    </row>
    <row r="275">
      <c r="A275" s="13"/>
    </row>
    <row r="276">
      <c r="A276" s="13"/>
    </row>
    <row r="277">
      <c r="A277" s="13"/>
    </row>
    <row r="278">
      <c r="A278" s="13"/>
    </row>
    <row r="279">
      <c r="A279" s="13"/>
    </row>
    <row r="280">
      <c r="A280" s="13"/>
    </row>
    <row r="281">
      <c r="A281" s="13"/>
    </row>
    <row r="282">
      <c r="A282" s="13"/>
    </row>
    <row r="283">
      <c r="A283" s="13"/>
    </row>
    <row r="284">
      <c r="A284" s="13"/>
    </row>
    <row r="285">
      <c r="A285" s="13"/>
    </row>
    <row r="286">
      <c r="A286" s="13"/>
    </row>
    <row r="287">
      <c r="A287" s="13"/>
    </row>
    <row r="288">
      <c r="A288" s="13"/>
    </row>
    <row r="289">
      <c r="A289" s="13"/>
    </row>
    <row r="290">
      <c r="A290" s="13"/>
    </row>
    <row r="291">
      <c r="A291" s="13"/>
    </row>
    <row r="292">
      <c r="A292" s="13"/>
    </row>
    <row r="293">
      <c r="A293" s="13"/>
    </row>
    <row r="294">
      <c r="A294" s="13"/>
    </row>
    <row r="295">
      <c r="A295" s="13"/>
    </row>
    <row r="296">
      <c r="A296" s="13"/>
    </row>
    <row r="297">
      <c r="A297" s="13"/>
    </row>
    <row r="298">
      <c r="A298" s="13"/>
    </row>
    <row r="299">
      <c r="A299" s="13"/>
    </row>
    <row r="300">
      <c r="A300" s="13"/>
    </row>
    <row r="301">
      <c r="A301" s="13"/>
    </row>
    <row r="302">
      <c r="A302" s="13"/>
    </row>
    <row r="303">
      <c r="A303" s="13"/>
    </row>
    <row r="304">
      <c r="A304" s="13"/>
    </row>
    <row r="305">
      <c r="A305" s="13"/>
    </row>
    <row r="306">
      <c r="A306" s="13"/>
    </row>
    <row r="307">
      <c r="A307" s="13"/>
    </row>
    <row r="308">
      <c r="A308" s="13"/>
    </row>
    <row r="309">
      <c r="A309" s="13"/>
    </row>
    <row r="310">
      <c r="A310" s="13"/>
    </row>
    <row r="311">
      <c r="A311" s="13"/>
    </row>
    <row r="312">
      <c r="A312" s="13"/>
    </row>
    <row r="313">
      <c r="A313" s="13"/>
    </row>
    <row r="314">
      <c r="A314" s="13"/>
    </row>
    <row r="315">
      <c r="A315" s="13"/>
    </row>
    <row r="316">
      <c r="A316" s="13"/>
    </row>
    <row r="317">
      <c r="A317" s="13"/>
    </row>
    <row r="318">
      <c r="A318" s="13"/>
    </row>
    <row r="319">
      <c r="A319" s="13"/>
    </row>
    <row r="320">
      <c r="A320" s="13"/>
    </row>
    <row r="321">
      <c r="A321" s="13"/>
    </row>
    <row r="322">
      <c r="A322" s="13"/>
    </row>
    <row r="323">
      <c r="A323" s="13"/>
    </row>
    <row r="324">
      <c r="A324" s="13"/>
    </row>
    <row r="325">
      <c r="A325" s="13"/>
    </row>
    <row r="326">
      <c r="A326" s="13"/>
    </row>
    <row r="327">
      <c r="A327" s="13"/>
    </row>
    <row r="328">
      <c r="A328" s="13"/>
    </row>
    <row r="329">
      <c r="A329" s="13"/>
    </row>
    <row r="330">
      <c r="A330" s="13"/>
    </row>
    <row r="331">
      <c r="A331" s="13"/>
    </row>
    <row r="332">
      <c r="A332" s="13"/>
    </row>
    <row r="333">
      <c r="A333" s="13"/>
    </row>
    <row r="334">
      <c r="A334" s="13"/>
    </row>
    <row r="335">
      <c r="A335" s="13"/>
    </row>
    <row r="336">
      <c r="A336" s="13"/>
    </row>
    <row r="337">
      <c r="A337" s="13"/>
    </row>
    <row r="338">
      <c r="A338" s="13"/>
    </row>
    <row r="339">
      <c r="A339" s="13"/>
    </row>
    <row r="340">
      <c r="A340" s="13"/>
    </row>
    <row r="341">
      <c r="A341" s="13"/>
    </row>
    <row r="342">
      <c r="A342" s="13"/>
    </row>
    <row r="343">
      <c r="A343" s="13"/>
    </row>
    <row r="344">
      <c r="A344" s="13"/>
    </row>
    <row r="345">
      <c r="A345" s="13"/>
    </row>
    <row r="346">
      <c r="A346" s="13"/>
    </row>
    <row r="347">
      <c r="A347" s="13"/>
    </row>
    <row r="348">
      <c r="A348" s="13"/>
    </row>
    <row r="349">
      <c r="A349" s="13"/>
    </row>
    <row r="350">
      <c r="A350" s="13"/>
    </row>
    <row r="351">
      <c r="A351" s="13"/>
    </row>
    <row r="352">
      <c r="A352" s="13"/>
    </row>
    <row r="353">
      <c r="A353" s="13"/>
    </row>
    <row r="354">
      <c r="A354" s="13"/>
    </row>
    <row r="355">
      <c r="A355" s="13"/>
    </row>
    <row r="356">
      <c r="A356" s="13"/>
    </row>
    <row r="357">
      <c r="A357" s="13"/>
    </row>
    <row r="358">
      <c r="A358" s="13"/>
    </row>
    <row r="359">
      <c r="A359" s="13"/>
    </row>
    <row r="360">
      <c r="A360" s="13"/>
    </row>
    <row r="361">
      <c r="A361" s="13"/>
    </row>
    <row r="362">
      <c r="A362" s="13"/>
    </row>
    <row r="363">
      <c r="A363" s="13"/>
    </row>
    <row r="364">
      <c r="A364" s="13"/>
    </row>
    <row r="365">
      <c r="A365" s="13"/>
    </row>
    <row r="366">
      <c r="A366" s="13"/>
    </row>
    <row r="367">
      <c r="A367" s="13"/>
    </row>
    <row r="368">
      <c r="A368" s="13"/>
    </row>
    <row r="369">
      <c r="A369" s="13"/>
    </row>
    <row r="370">
      <c r="A370" s="13"/>
    </row>
    <row r="371">
      <c r="A371" s="13"/>
    </row>
    <row r="372">
      <c r="A372" s="13"/>
    </row>
    <row r="373">
      <c r="A373" s="13"/>
    </row>
    <row r="374">
      <c r="A374" s="13"/>
    </row>
    <row r="375">
      <c r="A375" s="13"/>
    </row>
    <row r="376">
      <c r="A376" s="13"/>
    </row>
    <row r="377">
      <c r="A377" s="13"/>
    </row>
    <row r="378">
      <c r="A378" s="13"/>
    </row>
    <row r="379">
      <c r="A379" s="13"/>
    </row>
    <row r="380">
      <c r="A380" s="13"/>
    </row>
    <row r="381">
      <c r="A381" s="13"/>
    </row>
    <row r="382">
      <c r="A382" s="13"/>
    </row>
    <row r="383">
      <c r="A383" s="13"/>
    </row>
    <row r="384">
      <c r="A384" s="13"/>
    </row>
    <row r="385">
      <c r="A385" s="13"/>
    </row>
    <row r="386">
      <c r="A386" s="13"/>
    </row>
    <row r="387">
      <c r="A387" s="13"/>
    </row>
    <row r="388">
      <c r="A388" s="13"/>
    </row>
    <row r="389">
      <c r="A389" s="13"/>
    </row>
    <row r="390">
      <c r="A390" s="13"/>
    </row>
    <row r="391">
      <c r="A391" s="13"/>
    </row>
    <row r="392">
      <c r="A392" s="13"/>
    </row>
    <row r="393">
      <c r="A393" s="13"/>
    </row>
    <row r="394">
      <c r="A394" s="13"/>
    </row>
    <row r="395">
      <c r="A395" s="13"/>
    </row>
    <row r="396">
      <c r="A396" s="13"/>
    </row>
    <row r="397">
      <c r="A397" s="13"/>
    </row>
    <row r="398">
      <c r="A398" s="13"/>
    </row>
    <row r="399">
      <c r="A399" s="13"/>
    </row>
    <row r="400">
      <c r="A400" s="13"/>
    </row>
    <row r="401">
      <c r="A401" s="13"/>
    </row>
    <row r="402">
      <c r="A402" s="13"/>
    </row>
    <row r="403">
      <c r="A403" s="13"/>
    </row>
    <row r="404">
      <c r="A404" s="13"/>
    </row>
    <row r="405">
      <c r="A405" s="13"/>
    </row>
    <row r="406">
      <c r="A406" s="13"/>
    </row>
    <row r="407">
      <c r="A407" s="13"/>
    </row>
    <row r="408">
      <c r="A408" s="13"/>
    </row>
    <row r="409">
      <c r="A409" s="13"/>
    </row>
    <row r="410">
      <c r="A410" s="13"/>
    </row>
    <row r="411">
      <c r="A411" s="13"/>
    </row>
    <row r="412">
      <c r="A412" s="13"/>
    </row>
    <row r="413">
      <c r="A413" s="13"/>
    </row>
    <row r="414">
      <c r="A414" s="13"/>
    </row>
    <row r="415">
      <c r="A415" s="13"/>
    </row>
    <row r="416">
      <c r="A416" s="13"/>
    </row>
    <row r="417">
      <c r="A417" s="13"/>
    </row>
    <row r="418">
      <c r="A418" s="13"/>
    </row>
    <row r="419">
      <c r="A419" s="13"/>
    </row>
    <row r="420">
      <c r="A420" s="13"/>
    </row>
    <row r="421">
      <c r="A421" s="13"/>
    </row>
    <row r="422">
      <c r="A422" s="13"/>
    </row>
    <row r="423">
      <c r="A423" s="13"/>
    </row>
    <row r="424">
      <c r="A424" s="13"/>
    </row>
    <row r="425">
      <c r="A425" s="13"/>
    </row>
    <row r="426">
      <c r="A426" s="13"/>
    </row>
    <row r="427">
      <c r="A427" s="13"/>
    </row>
    <row r="428">
      <c r="A428" s="13"/>
    </row>
    <row r="429">
      <c r="A429" s="13"/>
    </row>
    <row r="430">
      <c r="A430" s="13"/>
    </row>
    <row r="431">
      <c r="A431" s="13"/>
    </row>
    <row r="432">
      <c r="A432" s="13"/>
    </row>
    <row r="433">
      <c r="A433" s="13"/>
    </row>
    <row r="434">
      <c r="A434" s="13"/>
    </row>
    <row r="435">
      <c r="A435" s="13"/>
    </row>
    <row r="436">
      <c r="A436" s="13"/>
    </row>
    <row r="437">
      <c r="A437" s="13"/>
    </row>
    <row r="438">
      <c r="A438" s="13"/>
    </row>
    <row r="439">
      <c r="A439" s="13"/>
    </row>
    <row r="440">
      <c r="A440" s="13"/>
    </row>
    <row r="441">
      <c r="A441" s="13"/>
    </row>
    <row r="442">
      <c r="A442" s="13"/>
    </row>
    <row r="443">
      <c r="A443" s="13"/>
    </row>
    <row r="444">
      <c r="A444" s="13"/>
    </row>
    <row r="445">
      <c r="A445" s="13"/>
    </row>
    <row r="446">
      <c r="A446" s="13"/>
    </row>
    <row r="447">
      <c r="A447" s="13"/>
    </row>
    <row r="448">
      <c r="A448" s="13"/>
    </row>
    <row r="449">
      <c r="A449" s="13"/>
    </row>
    <row r="450">
      <c r="A450" s="13"/>
    </row>
    <row r="451">
      <c r="A451" s="13"/>
    </row>
    <row r="452">
      <c r="A452" s="13"/>
    </row>
    <row r="453">
      <c r="A453" s="13"/>
    </row>
    <row r="454">
      <c r="A454" s="13"/>
    </row>
    <row r="455">
      <c r="A455" s="13"/>
    </row>
    <row r="456">
      <c r="A456" s="13"/>
    </row>
    <row r="457">
      <c r="A457" s="13"/>
    </row>
    <row r="458">
      <c r="A458" s="13"/>
    </row>
    <row r="459">
      <c r="A459" s="13"/>
    </row>
    <row r="460">
      <c r="A460" s="13"/>
    </row>
    <row r="461">
      <c r="A461" s="13"/>
    </row>
    <row r="462">
      <c r="A462" s="13"/>
    </row>
    <row r="463">
      <c r="A463" s="13"/>
    </row>
    <row r="464">
      <c r="A464" s="13"/>
    </row>
    <row r="465">
      <c r="A465" s="13"/>
    </row>
    <row r="466">
      <c r="A466" s="13"/>
    </row>
    <row r="467">
      <c r="A467" s="13"/>
    </row>
    <row r="468">
      <c r="A468" s="13"/>
    </row>
    <row r="469">
      <c r="A469" s="13"/>
    </row>
    <row r="470">
      <c r="A470" s="13"/>
    </row>
    <row r="471">
      <c r="A471" s="13"/>
    </row>
    <row r="472">
      <c r="A472" s="13"/>
    </row>
    <row r="473">
      <c r="A473" s="13"/>
    </row>
    <row r="474">
      <c r="A474" s="13"/>
    </row>
    <row r="475">
      <c r="A475" s="13"/>
    </row>
    <row r="476">
      <c r="A476" s="13"/>
    </row>
    <row r="477">
      <c r="A477" s="13"/>
    </row>
    <row r="478">
      <c r="A478" s="13"/>
    </row>
    <row r="479">
      <c r="A479" s="13"/>
    </row>
    <row r="480">
      <c r="A480" s="13"/>
    </row>
    <row r="481">
      <c r="A481" s="13"/>
    </row>
    <row r="482">
      <c r="A482" s="13"/>
    </row>
    <row r="483">
      <c r="A483" s="13"/>
    </row>
    <row r="484">
      <c r="A484" s="13"/>
    </row>
    <row r="485">
      <c r="A485" s="13"/>
    </row>
    <row r="486">
      <c r="A486" s="13"/>
    </row>
    <row r="487">
      <c r="A487" s="13"/>
    </row>
    <row r="488">
      <c r="A488" s="13"/>
    </row>
    <row r="489">
      <c r="A489" s="13"/>
    </row>
    <row r="490">
      <c r="A490" s="13"/>
    </row>
    <row r="491">
      <c r="A491" s="13"/>
    </row>
    <row r="492">
      <c r="A492" s="13"/>
    </row>
    <row r="493">
      <c r="A493" s="13"/>
    </row>
    <row r="494">
      <c r="A494" s="13"/>
    </row>
    <row r="495">
      <c r="A495" s="13"/>
    </row>
    <row r="496">
      <c r="A496" s="13"/>
    </row>
    <row r="497">
      <c r="A497" s="13"/>
    </row>
    <row r="498">
      <c r="A498" s="13"/>
    </row>
    <row r="499">
      <c r="A499" s="13"/>
    </row>
    <row r="500">
      <c r="A500" s="13"/>
    </row>
    <row r="501">
      <c r="A501" s="13"/>
    </row>
    <row r="502">
      <c r="A502" s="13"/>
    </row>
    <row r="503">
      <c r="A503" s="13"/>
    </row>
    <row r="504">
      <c r="A504" s="13"/>
    </row>
    <row r="505">
      <c r="A505" s="13"/>
    </row>
    <row r="506">
      <c r="A506" s="13"/>
    </row>
    <row r="507">
      <c r="A507" s="13"/>
    </row>
    <row r="508">
      <c r="A508" s="13"/>
    </row>
    <row r="509">
      <c r="A509" s="13"/>
    </row>
    <row r="510">
      <c r="A510" s="13"/>
    </row>
    <row r="511">
      <c r="A511" s="13"/>
    </row>
    <row r="512">
      <c r="A512" s="13"/>
    </row>
    <row r="513">
      <c r="A513" s="13"/>
    </row>
    <row r="514">
      <c r="A514" s="13"/>
    </row>
    <row r="515">
      <c r="A515" s="13"/>
    </row>
    <row r="516">
      <c r="A516" s="13"/>
    </row>
    <row r="517">
      <c r="A517" s="13"/>
    </row>
    <row r="518">
      <c r="A518" s="13"/>
    </row>
    <row r="519">
      <c r="A519" s="13"/>
    </row>
    <row r="520">
      <c r="A520" s="13"/>
    </row>
    <row r="521">
      <c r="A521" s="13"/>
    </row>
    <row r="522">
      <c r="A522" s="13"/>
    </row>
    <row r="523">
      <c r="A523" s="13"/>
    </row>
    <row r="524">
      <c r="A524" s="13"/>
    </row>
    <row r="525">
      <c r="A525" s="13"/>
    </row>
    <row r="526">
      <c r="A526" s="13"/>
    </row>
    <row r="527">
      <c r="A527" s="13"/>
    </row>
    <row r="528">
      <c r="A528" s="13"/>
    </row>
    <row r="529">
      <c r="A529" s="13"/>
    </row>
    <row r="530">
      <c r="A530" s="13"/>
    </row>
    <row r="531">
      <c r="A531" s="13"/>
    </row>
    <row r="532">
      <c r="A532" s="13"/>
    </row>
    <row r="533">
      <c r="A533" s="13"/>
    </row>
    <row r="534">
      <c r="A534" s="13"/>
    </row>
    <row r="535">
      <c r="A535" s="13"/>
    </row>
    <row r="536">
      <c r="A536" s="13"/>
    </row>
    <row r="537">
      <c r="A537" s="13"/>
    </row>
    <row r="538">
      <c r="A538" s="13"/>
    </row>
    <row r="539">
      <c r="A539" s="13"/>
    </row>
    <row r="540">
      <c r="A540" s="13"/>
    </row>
    <row r="541">
      <c r="A541" s="13"/>
    </row>
    <row r="542">
      <c r="A542" s="13"/>
    </row>
    <row r="543">
      <c r="A543" s="13"/>
    </row>
    <row r="544">
      <c r="A544" s="13"/>
    </row>
    <row r="545">
      <c r="A545" s="13"/>
    </row>
    <row r="546">
      <c r="A546" s="13"/>
    </row>
    <row r="547">
      <c r="A547" s="13"/>
    </row>
    <row r="548">
      <c r="A548" s="13"/>
    </row>
    <row r="549">
      <c r="A549" s="13"/>
    </row>
    <row r="550">
      <c r="A550" s="13"/>
    </row>
    <row r="551">
      <c r="A551" s="13"/>
    </row>
    <row r="552">
      <c r="A552" s="13"/>
    </row>
    <row r="553">
      <c r="A553" s="13"/>
    </row>
    <row r="554">
      <c r="A554" s="13"/>
    </row>
    <row r="555">
      <c r="A555" s="13"/>
    </row>
    <row r="556">
      <c r="A556" s="13"/>
    </row>
    <row r="557">
      <c r="A557" s="13"/>
    </row>
    <row r="558">
      <c r="A558" s="13"/>
    </row>
    <row r="559">
      <c r="A559" s="13"/>
    </row>
    <row r="560">
      <c r="A560" s="13"/>
    </row>
    <row r="561">
      <c r="A561" s="13"/>
    </row>
    <row r="562">
      <c r="A562" s="13"/>
    </row>
    <row r="563">
      <c r="A563" s="13"/>
    </row>
    <row r="564">
      <c r="A564" s="13"/>
    </row>
    <row r="565">
      <c r="A565" s="13"/>
    </row>
    <row r="566">
      <c r="A566" s="13"/>
    </row>
    <row r="567">
      <c r="A567" s="13"/>
    </row>
    <row r="568">
      <c r="A568" s="13"/>
    </row>
    <row r="569">
      <c r="A569" s="13"/>
    </row>
    <row r="570">
      <c r="A570" s="13"/>
    </row>
    <row r="571">
      <c r="A571" s="13"/>
    </row>
    <row r="572">
      <c r="A572" s="13"/>
    </row>
    <row r="573">
      <c r="A573" s="13"/>
    </row>
    <row r="574">
      <c r="A574" s="13"/>
    </row>
    <row r="575">
      <c r="A575" s="13"/>
    </row>
    <row r="576">
      <c r="A576" s="13"/>
    </row>
    <row r="577">
      <c r="A577" s="13"/>
    </row>
    <row r="578">
      <c r="A578" s="13"/>
    </row>
    <row r="579">
      <c r="A579" s="13"/>
    </row>
    <row r="580">
      <c r="A580" s="13"/>
    </row>
    <row r="581">
      <c r="A581" s="13"/>
    </row>
    <row r="582">
      <c r="A582" s="13"/>
    </row>
    <row r="583">
      <c r="A583" s="13"/>
    </row>
    <row r="584">
      <c r="A584" s="13"/>
    </row>
    <row r="585">
      <c r="A585" s="13"/>
    </row>
    <row r="586">
      <c r="A586" s="13"/>
    </row>
    <row r="587">
      <c r="A587" s="13"/>
    </row>
    <row r="588">
      <c r="A588" s="13"/>
    </row>
    <row r="589">
      <c r="A589" s="13"/>
    </row>
    <row r="590">
      <c r="A590" s="13"/>
    </row>
    <row r="591">
      <c r="A591" s="13"/>
    </row>
    <row r="592">
      <c r="A592" s="13"/>
    </row>
    <row r="593">
      <c r="A593" s="13"/>
    </row>
    <row r="594">
      <c r="A594" s="13"/>
    </row>
    <row r="595">
      <c r="A595" s="13"/>
    </row>
    <row r="596">
      <c r="A596" s="13"/>
    </row>
    <row r="597">
      <c r="A597" s="13"/>
    </row>
    <row r="598">
      <c r="A598" s="13"/>
    </row>
    <row r="599">
      <c r="A599" s="13"/>
    </row>
    <row r="600">
      <c r="A600" s="13"/>
    </row>
    <row r="601">
      <c r="A601" s="13"/>
    </row>
    <row r="602">
      <c r="A602" s="13"/>
    </row>
    <row r="603">
      <c r="A603" s="13"/>
    </row>
    <row r="604">
      <c r="A604" s="13"/>
    </row>
    <row r="605">
      <c r="A605" s="13"/>
    </row>
    <row r="606">
      <c r="A606" s="13"/>
    </row>
    <row r="607">
      <c r="A607" s="13"/>
    </row>
    <row r="608">
      <c r="A608" s="13"/>
    </row>
    <row r="609">
      <c r="A609" s="13"/>
    </row>
    <row r="610">
      <c r="A610" s="13"/>
    </row>
    <row r="611">
      <c r="A611" s="13"/>
    </row>
    <row r="612">
      <c r="A612" s="13"/>
    </row>
    <row r="613">
      <c r="A613" s="13"/>
    </row>
    <row r="614">
      <c r="A614" s="13"/>
    </row>
    <row r="615">
      <c r="A615" s="13"/>
    </row>
    <row r="616">
      <c r="A616" s="13"/>
    </row>
    <row r="617">
      <c r="A617" s="13"/>
    </row>
    <row r="618">
      <c r="A618" s="13"/>
    </row>
    <row r="619">
      <c r="A619" s="13"/>
    </row>
    <row r="620">
      <c r="A620" s="13"/>
    </row>
    <row r="621">
      <c r="A621" s="13"/>
    </row>
    <row r="622">
      <c r="A622" s="13"/>
    </row>
    <row r="623">
      <c r="A623" s="13"/>
    </row>
    <row r="624">
      <c r="A624" s="13"/>
    </row>
    <row r="625">
      <c r="A625" s="13"/>
    </row>
    <row r="626">
      <c r="A626" s="13"/>
    </row>
    <row r="627">
      <c r="A627" s="13"/>
    </row>
    <row r="628">
      <c r="A628" s="13"/>
    </row>
    <row r="629">
      <c r="A629" s="13"/>
    </row>
    <row r="630">
      <c r="A630" s="13"/>
    </row>
    <row r="631">
      <c r="A631" s="13"/>
    </row>
    <row r="632">
      <c r="A632" s="13"/>
    </row>
    <row r="633">
      <c r="A633" s="13"/>
    </row>
    <row r="634">
      <c r="A634" s="13"/>
    </row>
    <row r="635">
      <c r="A635" s="13"/>
    </row>
    <row r="636">
      <c r="A636" s="13"/>
    </row>
    <row r="637">
      <c r="A637" s="13"/>
    </row>
    <row r="638">
      <c r="A638" s="13"/>
    </row>
    <row r="639">
      <c r="A639" s="13"/>
    </row>
    <row r="640">
      <c r="A640" s="13"/>
    </row>
    <row r="641">
      <c r="A641" s="13"/>
    </row>
    <row r="642">
      <c r="A642" s="13"/>
    </row>
    <row r="643">
      <c r="A643" s="13"/>
    </row>
    <row r="644">
      <c r="A644" s="13"/>
    </row>
    <row r="645">
      <c r="A645" s="13"/>
    </row>
    <row r="646">
      <c r="A646" s="13"/>
    </row>
    <row r="647">
      <c r="A647" s="13"/>
    </row>
    <row r="648">
      <c r="A648" s="13"/>
    </row>
    <row r="649">
      <c r="A649" s="13"/>
    </row>
    <row r="650">
      <c r="A650" s="13"/>
    </row>
    <row r="651">
      <c r="A651" s="13"/>
    </row>
    <row r="652">
      <c r="A652" s="13"/>
    </row>
    <row r="653">
      <c r="A653" s="13"/>
    </row>
    <row r="654">
      <c r="A654" s="13"/>
    </row>
    <row r="655">
      <c r="A655" s="13"/>
    </row>
    <row r="656">
      <c r="A656" s="13"/>
    </row>
    <row r="657">
      <c r="A657" s="13"/>
    </row>
    <row r="658">
      <c r="A658" s="13"/>
    </row>
    <row r="659">
      <c r="A659" s="13"/>
    </row>
    <row r="660">
      <c r="A660" s="13"/>
    </row>
    <row r="661">
      <c r="A661" s="13"/>
    </row>
    <row r="662">
      <c r="A662" s="13"/>
    </row>
    <row r="663">
      <c r="A663" s="13"/>
    </row>
    <row r="664">
      <c r="A664" s="13"/>
    </row>
    <row r="665">
      <c r="A665" s="13"/>
    </row>
    <row r="666">
      <c r="A666" s="13"/>
    </row>
    <row r="667">
      <c r="A667" s="13"/>
    </row>
    <row r="668">
      <c r="A668" s="13"/>
    </row>
    <row r="669">
      <c r="A669" s="13"/>
    </row>
    <row r="670">
      <c r="A670" s="13"/>
    </row>
    <row r="671">
      <c r="A671" s="13"/>
    </row>
    <row r="672">
      <c r="A672" s="13"/>
    </row>
    <row r="673">
      <c r="A673" s="13"/>
    </row>
    <row r="674">
      <c r="A674" s="13"/>
    </row>
    <row r="675">
      <c r="A675" s="13"/>
    </row>
    <row r="676">
      <c r="A676" s="13"/>
    </row>
    <row r="677">
      <c r="A677" s="13"/>
    </row>
    <row r="678">
      <c r="A678" s="13"/>
    </row>
    <row r="679">
      <c r="A679" s="13"/>
    </row>
    <row r="680">
      <c r="A680" s="13"/>
    </row>
    <row r="681">
      <c r="A681" s="13"/>
    </row>
    <row r="682">
      <c r="A682" s="13"/>
    </row>
    <row r="683">
      <c r="A683" s="13"/>
    </row>
    <row r="684">
      <c r="A684" s="13"/>
    </row>
    <row r="685">
      <c r="A685" s="13"/>
    </row>
    <row r="686">
      <c r="A686" s="13"/>
    </row>
    <row r="687">
      <c r="A687" s="13"/>
    </row>
    <row r="688">
      <c r="A688" s="13"/>
    </row>
    <row r="689">
      <c r="A689" s="13"/>
    </row>
    <row r="690">
      <c r="A690" s="13"/>
    </row>
    <row r="691">
      <c r="A691" s="13"/>
    </row>
    <row r="692">
      <c r="A692" s="13"/>
    </row>
    <row r="693">
      <c r="A693" s="13"/>
    </row>
    <row r="694">
      <c r="A694" s="13"/>
    </row>
    <row r="695">
      <c r="A695" s="13"/>
    </row>
    <row r="696">
      <c r="A696" s="13"/>
    </row>
    <row r="697">
      <c r="A697" s="13"/>
    </row>
    <row r="698">
      <c r="A698" s="13"/>
    </row>
    <row r="699">
      <c r="A699" s="13"/>
    </row>
    <row r="700">
      <c r="A700" s="13"/>
    </row>
    <row r="701">
      <c r="A701" s="13"/>
    </row>
    <row r="702">
      <c r="A702" s="13"/>
    </row>
    <row r="703">
      <c r="A703" s="13"/>
    </row>
    <row r="704">
      <c r="A704" s="13"/>
    </row>
    <row r="705">
      <c r="A705" s="13"/>
    </row>
    <row r="706">
      <c r="A706" s="13"/>
    </row>
    <row r="707">
      <c r="A707" s="13"/>
    </row>
    <row r="708">
      <c r="A708" s="13"/>
    </row>
    <row r="709">
      <c r="A709" s="13"/>
    </row>
    <row r="710">
      <c r="A710" s="13"/>
    </row>
    <row r="711">
      <c r="A711" s="13"/>
    </row>
    <row r="712">
      <c r="A712" s="13"/>
    </row>
    <row r="713">
      <c r="A713" s="13"/>
    </row>
    <row r="714">
      <c r="A714" s="13"/>
    </row>
    <row r="715">
      <c r="A715" s="13"/>
    </row>
    <row r="716">
      <c r="A716" s="13"/>
    </row>
    <row r="717">
      <c r="A717" s="13"/>
    </row>
    <row r="718">
      <c r="A718" s="13"/>
    </row>
    <row r="719">
      <c r="A719" s="13"/>
    </row>
    <row r="720">
      <c r="A720" s="13"/>
    </row>
    <row r="721">
      <c r="A721" s="13"/>
    </row>
    <row r="722">
      <c r="A722" s="13"/>
    </row>
    <row r="723">
      <c r="A723" s="13"/>
    </row>
    <row r="724">
      <c r="A724" s="13"/>
    </row>
    <row r="725">
      <c r="A725" s="13"/>
    </row>
    <row r="726">
      <c r="A726" s="13"/>
    </row>
    <row r="727">
      <c r="A727" s="13"/>
    </row>
    <row r="728">
      <c r="A728" s="13"/>
    </row>
    <row r="729">
      <c r="A729" s="13"/>
    </row>
    <row r="730">
      <c r="A730" s="13"/>
    </row>
    <row r="731">
      <c r="A731" s="13"/>
    </row>
    <row r="732">
      <c r="A732" s="13"/>
    </row>
    <row r="733">
      <c r="A733" s="13"/>
    </row>
    <row r="734">
      <c r="A734" s="13"/>
    </row>
    <row r="735">
      <c r="A735" s="13"/>
    </row>
    <row r="736">
      <c r="A736" s="13"/>
    </row>
    <row r="737">
      <c r="A737" s="13"/>
    </row>
    <row r="738">
      <c r="A738" s="13"/>
    </row>
    <row r="739">
      <c r="A739" s="13"/>
    </row>
    <row r="740">
      <c r="A740" s="13"/>
    </row>
    <row r="741">
      <c r="A741" s="13"/>
    </row>
    <row r="742">
      <c r="A742" s="13"/>
    </row>
    <row r="743">
      <c r="A743" s="13"/>
    </row>
    <row r="744">
      <c r="A744" s="13"/>
    </row>
    <row r="745">
      <c r="A745" s="13"/>
    </row>
    <row r="746">
      <c r="A746" s="13"/>
    </row>
    <row r="747">
      <c r="A747" s="13"/>
    </row>
    <row r="748">
      <c r="A748" s="13"/>
    </row>
    <row r="749">
      <c r="A749" s="13"/>
    </row>
    <row r="750">
      <c r="A750" s="13"/>
    </row>
    <row r="751">
      <c r="A751" s="13"/>
    </row>
    <row r="752">
      <c r="A752" s="13"/>
    </row>
    <row r="753">
      <c r="A753" s="13"/>
    </row>
    <row r="754">
      <c r="A754" s="13"/>
    </row>
    <row r="755">
      <c r="A755" s="13"/>
    </row>
    <row r="756">
      <c r="A756" s="13"/>
    </row>
    <row r="757">
      <c r="A757" s="13"/>
    </row>
    <row r="758">
      <c r="A758" s="13"/>
    </row>
    <row r="759">
      <c r="A759" s="13"/>
    </row>
    <row r="760">
      <c r="A760" s="13"/>
    </row>
    <row r="761">
      <c r="A761" s="13"/>
    </row>
    <row r="762">
      <c r="A762" s="13"/>
    </row>
    <row r="763">
      <c r="A763" s="13"/>
    </row>
    <row r="764">
      <c r="A764" s="13"/>
    </row>
    <row r="765">
      <c r="A765" s="13"/>
    </row>
    <row r="766">
      <c r="A766" s="13"/>
    </row>
    <row r="767">
      <c r="A767" s="13"/>
    </row>
    <row r="768">
      <c r="A768" s="13"/>
    </row>
    <row r="769">
      <c r="A769" s="13"/>
    </row>
    <row r="770">
      <c r="A770" s="13"/>
    </row>
    <row r="771">
      <c r="A771" s="13"/>
    </row>
    <row r="772">
      <c r="A772" s="13"/>
    </row>
    <row r="773">
      <c r="A773" s="13"/>
    </row>
    <row r="774">
      <c r="A774" s="13"/>
    </row>
    <row r="775">
      <c r="A775" s="13"/>
    </row>
    <row r="776">
      <c r="A776" s="13"/>
    </row>
    <row r="777">
      <c r="A777" s="13"/>
    </row>
    <row r="778">
      <c r="A778" s="13"/>
    </row>
    <row r="779">
      <c r="A779" s="13"/>
    </row>
    <row r="780">
      <c r="A780" s="13"/>
    </row>
    <row r="781">
      <c r="A781" s="13"/>
    </row>
    <row r="782">
      <c r="A782" s="13"/>
    </row>
    <row r="783">
      <c r="A783" s="13"/>
    </row>
    <row r="784">
      <c r="A784" s="13"/>
    </row>
    <row r="785">
      <c r="A785" s="13"/>
    </row>
    <row r="786">
      <c r="A786" s="13"/>
    </row>
    <row r="787">
      <c r="A787" s="13"/>
    </row>
    <row r="788">
      <c r="A788" s="13"/>
    </row>
    <row r="789">
      <c r="A789" s="13"/>
    </row>
    <row r="790">
      <c r="A790" s="13"/>
    </row>
    <row r="791">
      <c r="A791" s="13"/>
    </row>
    <row r="792">
      <c r="A792" s="13"/>
    </row>
    <row r="793">
      <c r="A793" s="13"/>
    </row>
    <row r="794">
      <c r="A794" s="13"/>
    </row>
    <row r="795">
      <c r="A795" s="13"/>
    </row>
    <row r="796">
      <c r="A796" s="13"/>
    </row>
    <row r="797">
      <c r="A797" s="13"/>
    </row>
    <row r="798">
      <c r="A798" s="13"/>
    </row>
    <row r="799">
      <c r="A799" s="13"/>
    </row>
    <row r="800">
      <c r="A800" s="13"/>
    </row>
    <row r="801">
      <c r="A801" s="13"/>
    </row>
    <row r="802">
      <c r="A802" s="13"/>
    </row>
    <row r="803">
      <c r="A803" s="13"/>
    </row>
    <row r="804">
      <c r="A804" s="13"/>
    </row>
    <row r="805">
      <c r="A805" s="13"/>
    </row>
    <row r="806">
      <c r="A806" s="13"/>
    </row>
    <row r="807">
      <c r="A807" s="13"/>
    </row>
    <row r="808">
      <c r="A808" s="13"/>
    </row>
    <row r="809">
      <c r="A809" s="13"/>
    </row>
    <row r="810">
      <c r="A810" s="13"/>
    </row>
    <row r="811">
      <c r="A811" s="13"/>
    </row>
    <row r="812">
      <c r="A812" s="13"/>
    </row>
    <row r="813">
      <c r="A813" s="13"/>
    </row>
    <row r="814">
      <c r="A814" s="13"/>
    </row>
    <row r="815">
      <c r="A815" s="13"/>
    </row>
    <row r="816">
      <c r="A816" s="13"/>
    </row>
    <row r="817">
      <c r="A817" s="13"/>
    </row>
    <row r="818">
      <c r="A818" s="13"/>
    </row>
    <row r="819">
      <c r="A819" s="13"/>
    </row>
    <row r="820">
      <c r="A820" s="13"/>
    </row>
    <row r="821">
      <c r="A821" s="13"/>
    </row>
    <row r="822">
      <c r="A822" s="13"/>
    </row>
    <row r="823">
      <c r="A823" s="13"/>
    </row>
    <row r="824">
      <c r="A824" s="13"/>
    </row>
    <row r="825">
      <c r="A825" s="13"/>
    </row>
    <row r="826">
      <c r="A826" s="13"/>
    </row>
    <row r="827">
      <c r="A827" s="13"/>
    </row>
    <row r="828">
      <c r="A828" s="13"/>
    </row>
    <row r="829">
      <c r="A829" s="13"/>
    </row>
    <row r="830">
      <c r="A830" s="13"/>
    </row>
    <row r="831">
      <c r="A831" s="13"/>
    </row>
    <row r="832">
      <c r="A832" s="13"/>
    </row>
    <row r="833">
      <c r="A833" s="13"/>
    </row>
    <row r="834">
      <c r="A834" s="13"/>
    </row>
    <row r="835">
      <c r="A835" s="13"/>
    </row>
    <row r="836">
      <c r="A836" s="13"/>
    </row>
    <row r="837">
      <c r="A837" s="13"/>
    </row>
    <row r="838">
      <c r="A838" s="13"/>
    </row>
    <row r="839">
      <c r="A839" s="13"/>
    </row>
    <row r="840">
      <c r="A840" s="13"/>
    </row>
    <row r="841">
      <c r="A841" s="13"/>
    </row>
    <row r="842">
      <c r="A842" s="13"/>
    </row>
    <row r="843">
      <c r="A843" s="13"/>
    </row>
    <row r="844">
      <c r="A844" s="13"/>
    </row>
    <row r="845">
      <c r="A845" s="13"/>
    </row>
    <row r="846">
      <c r="A846" s="13"/>
    </row>
    <row r="847">
      <c r="A847" s="13"/>
    </row>
    <row r="848">
      <c r="A848" s="13"/>
    </row>
    <row r="849">
      <c r="A849" s="13"/>
    </row>
    <row r="850">
      <c r="A850" s="13"/>
    </row>
    <row r="851">
      <c r="A851" s="13"/>
    </row>
    <row r="852">
      <c r="A852" s="13"/>
    </row>
    <row r="853">
      <c r="A853" s="13"/>
    </row>
    <row r="854">
      <c r="A854" s="13"/>
    </row>
    <row r="855">
      <c r="A855" s="13"/>
    </row>
    <row r="856">
      <c r="A856" s="13"/>
    </row>
    <row r="857">
      <c r="A857" s="13"/>
    </row>
    <row r="858">
      <c r="A858" s="13"/>
    </row>
    <row r="859">
      <c r="A859" s="13"/>
    </row>
    <row r="860">
      <c r="A860" s="13"/>
    </row>
    <row r="861">
      <c r="A861" s="13"/>
    </row>
    <row r="862">
      <c r="A862" s="13"/>
    </row>
    <row r="863">
      <c r="A863" s="13"/>
    </row>
    <row r="864">
      <c r="A864" s="13"/>
    </row>
    <row r="865">
      <c r="A865" s="13"/>
    </row>
    <row r="866">
      <c r="A866" s="13"/>
    </row>
    <row r="867">
      <c r="A867" s="13"/>
    </row>
    <row r="868">
      <c r="A868" s="13"/>
    </row>
    <row r="869">
      <c r="A869" s="13"/>
    </row>
    <row r="870">
      <c r="A870" s="13"/>
    </row>
    <row r="871">
      <c r="A871" s="13"/>
    </row>
    <row r="872">
      <c r="A872" s="13"/>
    </row>
    <row r="873">
      <c r="A873" s="13"/>
    </row>
    <row r="874">
      <c r="A874" s="13"/>
    </row>
    <row r="875">
      <c r="A875" s="13"/>
    </row>
    <row r="876">
      <c r="A876" s="13"/>
    </row>
    <row r="877">
      <c r="A877" s="13"/>
    </row>
    <row r="878">
      <c r="A878" s="13"/>
    </row>
    <row r="879">
      <c r="A879" s="13"/>
    </row>
    <row r="880">
      <c r="A880" s="13"/>
    </row>
    <row r="881">
      <c r="A881" s="13"/>
    </row>
    <row r="882">
      <c r="A882" s="13"/>
    </row>
    <row r="883">
      <c r="A883" s="13"/>
    </row>
    <row r="884">
      <c r="A884" s="13"/>
    </row>
    <row r="885">
      <c r="A885" s="13"/>
    </row>
    <row r="886">
      <c r="A886" s="13"/>
    </row>
    <row r="887">
      <c r="A887" s="13"/>
    </row>
    <row r="888">
      <c r="A888" s="13"/>
    </row>
    <row r="889">
      <c r="A889" s="13"/>
    </row>
    <row r="890">
      <c r="A890" s="13"/>
    </row>
    <row r="891">
      <c r="A891" s="13"/>
    </row>
    <row r="892">
      <c r="A892" s="13"/>
    </row>
    <row r="893">
      <c r="A893" s="13"/>
    </row>
    <row r="894">
      <c r="A894" s="13"/>
    </row>
    <row r="895">
      <c r="A895" s="13"/>
    </row>
    <row r="896">
      <c r="A896" s="13"/>
    </row>
    <row r="897">
      <c r="A897" s="13"/>
    </row>
    <row r="898">
      <c r="A898" s="13"/>
    </row>
    <row r="899">
      <c r="A899" s="13"/>
    </row>
    <row r="900">
      <c r="A900" s="13"/>
    </row>
    <row r="901">
      <c r="A901" s="13"/>
    </row>
    <row r="902">
      <c r="A902" s="13"/>
    </row>
    <row r="903">
      <c r="A903" s="13"/>
    </row>
    <row r="904">
      <c r="A904" s="13"/>
    </row>
    <row r="905">
      <c r="A905" s="13"/>
    </row>
    <row r="906">
      <c r="A906" s="13"/>
    </row>
    <row r="907">
      <c r="A907" s="13"/>
    </row>
    <row r="908">
      <c r="A908" s="13"/>
    </row>
    <row r="909">
      <c r="A909" s="13"/>
    </row>
    <row r="910">
      <c r="A910" s="13"/>
    </row>
    <row r="911">
      <c r="A911" s="13"/>
    </row>
    <row r="912">
      <c r="A912" s="13"/>
    </row>
    <row r="913">
      <c r="A913" s="13"/>
    </row>
    <row r="914">
      <c r="A914" s="13"/>
    </row>
    <row r="915">
      <c r="A915" s="13"/>
    </row>
    <row r="916">
      <c r="A916" s="13"/>
    </row>
    <row r="917">
      <c r="A917" s="13"/>
    </row>
    <row r="918">
      <c r="A918" s="13"/>
    </row>
    <row r="919">
      <c r="A919" s="13"/>
    </row>
    <row r="920">
      <c r="A920" s="13"/>
    </row>
    <row r="921">
      <c r="A921" s="13"/>
    </row>
    <row r="922">
      <c r="A922" s="13"/>
    </row>
    <row r="923">
      <c r="A923" s="13"/>
    </row>
    <row r="924">
      <c r="A924" s="13"/>
    </row>
    <row r="925">
      <c r="A925" s="13"/>
    </row>
    <row r="926">
      <c r="A926" s="13"/>
    </row>
    <row r="927">
      <c r="A927" s="13"/>
    </row>
    <row r="928">
      <c r="A928" s="13"/>
    </row>
    <row r="929">
      <c r="A929" s="13"/>
    </row>
    <row r="930">
      <c r="A930" s="13"/>
    </row>
    <row r="931">
      <c r="A931" s="13"/>
    </row>
    <row r="932">
      <c r="A932" s="13"/>
    </row>
    <row r="933">
      <c r="A933" s="13"/>
    </row>
    <row r="934">
      <c r="A934" s="13"/>
    </row>
    <row r="935">
      <c r="A935" s="13"/>
    </row>
    <row r="936">
      <c r="A936" s="13"/>
    </row>
    <row r="937">
      <c r="A937" s="13"/>
    </row>
    <row r="938">
      <c r="A938" s="13"/>
    </row>
    <row r="939">
      <c r="A939" s="13"/>
    </row>
    <row r="940">
      <c r="A940" s="13"/>
    </row>
    <row r="941">
      <c r="A941" s="13"/>
    </row>
    <row r="942">
      <c r="A942" s="13"/>
    </row>
    <row r="943">
      <c r="A943" s="13"/>
    </row>
    <row r="944">
      <c r="A944" s="13"/>
    </row>
    <row r="945">
      <c r="A945" s="13"/>
    </row>
    <row r="946">
      <c r="A946" s="13"/>
    </row>
    <row r="947">
      <c r="A947" s="13"/>
    </row>
    <row r="948">
      <c r="A948" s="13"/>
    </row>
    <row r="949">
      <c r="A949" s="13"/>
    </row>
    <row r="950">
      <c r="A950" s="13"/>
    </row>
    <row r="951">
      <c r="A951" s="13"/>
    </row>
    <row r="952">
      <c r="A952" s="13"/>
    </row>
    <row r="953">
      <c r="A953" s="13"/>
    </row>
    <row r="954">
      <c r="A954" s="13"/>
    </row>
    <row r="955">
      <c r="A955" s="13"/>
    </row>
    <row r="956">
      <c r="A956" s="13"/>
    </row>
    <row r="957">
      <c r="A957" s="13"/>
    </row>
    <row r="958">
      <c r="A958" s="13"/>
    </row>
    <row r="959">
      <c r="A959" s="13"/>
    </row>
    <row r="960">
      <c r="A960" s="13"/>
    </row>
    <row r="961">
      <c r="A961" s="13"/>
    </row>
    <row r="962">
      <c r="A962" s="13"/>
    </row>
    <row r="963">
      <c r="A963" s="13"/>
    </row>
    <row r="964">
      <c r="A964" s="13"/>
    </row>
    <row r="965">
      <c r="A965" s="13"/>
    </row>
    <row r="966">
      <c r="A966" s="13"/>
    </row>
    <row r="967">
      <c r="A967" s="13"/>
    </row>
    <row r="968">
      <c r="A968" s="13"/>
    </row>
    <row r="969">
      <c r="A969" s="13"/>
    </row>
    <row r="970">
      <c r="A970" s="13"/>
    </row>
    <row r="971">
      <c r="A971" s="13"/>
    </row>
    <row r="972">
      <c r="A972" s="13"/>
    </row>
    <row r="973">
      <c r="A973" s="13"/>
    </row>
    <row r="974">
      <c r="A974" s="13"/>
    </row>
    <row r="975">
      <c r="A975" s="13"/>
    </row>
    <row r="976">
      <c r="A976" s="13"/>
    </row>
    <row r="977">
      <c r="A977" s="13"/>
    </row>
    <row r="978">
      <c r="A978" s="13"/>
    </row>
    <row r="979">
      <c r="A979" s="13"/>
    </row>
    <row r="980">
      <c r="A980" s="13"/>
    </row>
    <row r="981">
      <c r="A981" s="13"/>
    </row>
    <row r="982">
      <c r="A982" s="13"/>
    </row>
    <row r="983">
      <c r="A983" s="13"/>
    </row>
    <row r="984">
      <c r="A984" s="13"/>
    </row>
    <row r="985">
      <c r="A985" s="13"/>
    </row>
    <row r="986">
      <c r="A986" s="13"/>
    </row>
    <row r="987">
      <c r="A987" s="13"/>
    </row>
    <row r="988">
      <c r="A988" s="13"/>
    </row>
    <row r="989">
      <c r="A989" s="13"/>
    </row>
    <row r="990">
      <c r="A990" s="13"/>
    </row>
    <row r="991">
      <c r="A991" s="13"/>
    </row>
    <row r="992">
      <c r="A992" s="13"/>
    </row>
    <row r="993">
      <c r="A993" s="13"/>
    </row>
    <row r="994">
      <c r="A994" s="13"/>
    </row>
    <row r="995">
      <c r="A995" s="13"/>
    </row>
    <row r="996">
      <c r="A996" s="13"/>
    </row>
    <row r="997">
      <c r="A997" s="13"/>
    </row>
    <row r="998">
      <c r="A998" s="13"/>
    </row>
    <row r="999">
      <c r="A999" s="13"/>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sheetViews>
  <sheetFormatPr customHeight="1" defaultColWidth="14.43" defaultRowHeight="15.0"/>
  <cols>
    <col customWidth="1" min="1" max="1" width="31.86"/>
  </cols>
  <sheetData>
    <row r="1">
      <c r="A1" s="285" t="s">
        <v>3232</v>
      </c>
      <c r="B1" s="290" t="s">
        <v>1743</v>
      </c>
      <c r="C1" s="286" t="s">
        <v>3078</v>
      </c>
      <c r="D1" s="286" t="s">
        <v>3068</v>
      </c>
      <c r="E1" s="286" t="s">
        <v>3069</v>
      </c>
      <c r="F1" s="286" t="s">
        <v>3070</v>
      </c>
    </row>
    <row r="2">
      <c r="A2" s="291" t="s">
        <v>3233</v>
      </c>
      <c r="B2" s="289" t="s">
        <v>3234</v>
      </c>
    </row>
    <row r="3">
      <c r="A3" s="289" t="s">
        <v>3235</v>
      </c>
      <c r="B3" s="289" t="s">
        <v>3234</v>
      </c>
      <c r="C3" s="289" t="s">
        <v>3236</v>
      </c>
      <c r="D3" s="289" t="s">
        <v>2993</v>
      </c>
      <c r="E3" s="289" t="s">
        <v>3210</v>
      </c>
      <c r="F3" s="289" t="s">
        <v>3237</v>
      </c>
    </row>
    <row r="4">
      <c r="A4" s="289" t="s">
        <v>3238</v>
      </c>
      <c r="B4" s="289" t="s">
        <v>3234</v>
      </c>
      <c r="C4" s="289" t="s">
        <v>3239</v>
      </c>
      <c r="E4" s="289" t="s">
        <v>3210</v>
      </c>
      <c r="F4" s="289" t="s">
        <v>3240</v>
      </c>
    </row>
    <row r="5">
      <c r="A5" s="289" t="s">
        <v>3241</v>
      </c>
      <c r="B5" s="289" t="s">
        <v>3234</v>
      </c>
      <c r="C5" s="289" t="s">
        <v>3242</v>
      </c>
      <c r="E5" s="289" t="s">
        <v>3210</v>
      </c>
      <c r="F5" s="289" t="s">
        <v>3243</v>
      </c>
    </row>
    <row r="6">
      <c r="A6" s="289" t="s">
        <v>3244</v>
      </c>
      <c r="B6" s="289" t="s">
        <v>3234</v>
      </c>
      <c r="C6" s="289" t="s">
        <v>3245</v>
      </c>
      <c r="E6" s="289" t="s">
        <v>3210</v>
      </c>
      <c r="F6" s="289" t="s">
        <v>3246</v>
      </c>
    </row>
    <row r="7">
      <c r="A7" s="10" t="s">
        <v>3247</v>
      </c>
      <c r="B7" s="289" t="s">
        <v>3248</v>
      </c>
      <c r="C7" s="73" t="s">
        <v>3249</v>
      </c>
      <c r="D7" s="10" t="s">
        <v>3250</v>
      </c>
      <c r="F7" s="289" t="s">
        <v>3246</v>
      </c>
    </row>
  </sheetData>
  <hyperlinks>
    <hyperlink r:id="rId1" ref="A2"/>
  </hyperlinks>
  <drawing r:id="rId2"/>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C4587"/>
    <outlinePr summaryBelow="0" summaryRight="0"/>
  </sheetPr>
  <sheetViews>
    <sheetView workbookViewId="0"/>
  </sheetViews>
  <sheetFormatPr customHeight="1" defaultColWidth="14.43" defaultRowHeight="15.0"/>
  <cols>
    <col customWidth="1" min="1" max="1" width="32.57"/>
    <col customWidth="1" min="11" max="11" width="25.14"/>
    <col customWidth="1" min="12" max="12" width="18.71"/>
  </cols>
  <sheetData>
    <row r="1">
      <c r="A1" s="292" t="s">
        <v>329</v>
      </c>
      <c r="B1" s="292" t="s">
        <v>3251</v>
      </c>
      <c r="C1" s="292" t="s">
        <v>3252</v>
      </c>
      <c r="D1" s="292" t="s">
        <v>3253</v>
      </c>
      <c r="E1" s="292" t="s">
        <v>3254</v>
      </c>
      <c r="F1" s="292" t="s">
        <v>3255</v>
      </c>
      <c r="G1" s="292" t="s">
        <v>3256</v>
      </c>
      <c r="H1" s="292" t="s">
        <v>3257</v>
      </c>
      <c r="I1" s="292" t="s">
        <v>3258</v>
      </c>
      <c r="J1" s="292" t="s">
        <v>331</v>
      </c>
      <c r="K1" s="292" t="s">
        <v>3259</v>
      </c>
      <c r="L1" s="293" t="s">
        <v>3260</v>
      </c>
      <c r="M1" s="293" t="s">
        <v>3261</v>
      </c>
      <c r="N1" s="293" t="s">
        <v>3262</v>
      </c>
      <c r="O1" s="292" t="s">
        <v>3263</v>
      </c>
      <c r="P1" s="292" t="s">
        <v>3264</v>
      </c>
      <c r="Q1" s="10" t="s">
        <v>3265</v>
      </c>
      <c r="R1" s="10" t="s">
        <v>3266</v>
      </c>
    </row>
    <row r="2" ht="15.0" customHeight="1">
      <c r="A2" s="294" t="s">
        <v>1632</v>
      </c>
      <c r="B2" s="295">
        <v>0.0</v>
      </c>
      <c r="C2" s="294" t="s">
        <v>3267</v>
      </c>
      <c r="D2" s="294" t="s">
        <v>301</v>
      </c>
      <c r="E2" s="296" t="b">
        <v>0</v>
      </c>
      <c r="F2" s="294" t="s">
        <v>3268</v>
      </c>
      <c r="G2" s="294" t="s">
        <v>3269</v>
      </c>
      <c r="H2" s="297"/>
      <c r="I2" s="294" t="s">
        <v>3270</v>
      </c>
      <c r="J2" s="298" t="s">
        <v>3271</v>
      </c>
      <c r="K2" s="294" t="s">
        <v>3272</v>
      </c>
      <c r="L2" s="294" t="s">
        <v>3273</v>
      </c>
      <c r="N2" s="294" t="s">
        <v>277</v>
      </c>
      <c r="P2" s="296" t="b">
        <v>0</v>
      </c>
      <c r="Q2" s="299" t="s">
        <v>2360</v>
      </c>
      <c r="R2" s="300">
        <v>211.0</v>
      </c>
    </row>
    <row r="3" ht="15.0" customHeight="1">
      <c r="A3" s="301" t="s">
        <v>3274</v>
      </c>
      <c r="B3" s="302">
        <v>0.0</v>
      </c>
      <c r="C3" s="301" t="s">
        <v>3267</v>
      </c>
      <c r="D3" s="301" t="s">
        <v>310</v>
      </c>
      <c r="E3" s="303" t="b">
        <v>0</v>
      </c>
      <c r="F3" s="301" t="s">
        <v>3268</v>
      </c>
      <c r="G3" s="301" t="s">
        <v>3269</v>
      </c>
      <c r="H3" s="304"/>
      <c r="I3" s="301" t="s">
        <v>3275</v>
      </c>
      <c r="J3" s="305" t="s">
        <v>3276</v>
      </c>
      <c r="K3" s="301" t="s">
        <v>3277</v>
      </c>
      <c r="L3" s="301" t="s">
        <v>3278</v>
      </c>
      <c r="N3" s="301" t="s">
        <v>3279</v>
      </c>
      <c r="P3" s="303" t="b">
        <v>0</v>
      </c>
      <c r="Q3" s="299" t="s">
        <v>2360</v>
      </c>
      <c r="R3" s="300">
        <v>218.0</v>
      </c>
    </row>
    <row r="4" ht="15.0" customHeight="1">
      <c r="A4" s="294" t="s">
        <v>1629</v>
      </c>
      <c r="B4" s="295">
        <v>0.0</v>
      </c>
      <c r="C4" s="294" t="s">
        <v>3267</v>
      </c>
      <c r="D4" s="294" t="s">
        <v>308</v>
      </c>
      <c r="E4" s="296" t="b">
        <v>0</v>
      </c>
      <c r="F4" s="294" t="s">
        <v>3280</v>
      </c>
      <c r="G4" s="294" t="s">
        <v>3269</v>
      </c>
      <c r="H4" s="297"/>
      <c r="I4" s="294" t="s">
        <v>3281</v>
      </c>
      <c r="J4" s="298" t="s">
        <v>3282</v>
      </c>
      <c r="K4" s="294" t="s">
        <v>3283</v>
      </c>
      <c r="L4" s="294" t="s">
        <v>3284</v>
      </c>
      <c r="N4" s="294" t="s">
        <v>3285</v>
      </c>
      <c r="P4" s="296" t="b">
        <v>0</v>
      </c>
      <c r="Q4" s="299" t="s">
        <v>3286</v>
      </c>
      <c r="R4" s="300">
        <v>106.0</v>
      </c>
    </row>
    <row r="5" ht="15.0" customHeight="1">
      <c r="A5" s="301" t="s">
        <v>3287</v>
      </c>
      <c r="B5" s="302">
        <v>0.0</v>
      </c>
      <c r="C5" s="301" t="s">
        <v>3267</v>
      </c>
      <c r="D5" s="301" t="s">
        <v>304</v>
      </c>
      <c r="E5" s="303" t="b">
        <v>1</v>
      </c>
      <c r="F5" s="301" t="s">
        <v>3280</v>
      </c>
      <c r="G5" s="301" t="s">
        <v>3288</v>
      </c>
      <c r="H5" s="301" t="s">
        <v>3289</v>
      </c>
      <c r="I5" s="301" t="s">
        <v>3290</v>
      </c>
      <c r="J5" s="305" t="s">
        <v>3291</v>
      </c>
      <c r="K5" s="301" t="s">
        <v>3292</v>
      </c>
      <c r="L5" s="301" t="s">
        <v>3284</v>
      </c>
      <c r="N5" s="301" t="s">
        <v>3293</v>
      </c>
      <c r="O5" s="301" t="s">
        <v>162</v>
      </c>
      <c r="P5" s="303" t="b">
        <v>0</v>
      </c>
      <c r="Q5" s="299" t="s">
        <v>2360</v>
      </c>
      <c r="R5" s="300">
        <v>221.0</v>
      </c>
    </row>
    <row r="6" ht="15.0" customHeight="1">
      <c r="A6" s="294" t="s">
        <v>3294</v>
      </c>
      <c r="B6" s="295">
        <v>0.0</v>
      </c>
      <c r="C6" s="294" t="s">
        <v>3267</v>
      </c>
      <c r="D6" s="294" t="s">
        <v>304</v>
      </c>
      <c r="E6" s="296" t="b">
        <v>0</v>
      </c>
      <c r="F6" s="294" t="s">
        <v>3280</v>
      </c>
      <c r="G6" s="294" t="s">
        <v>3269</v>
      </c>
      <c r="H6" s="297"/>
      <c r="I6" s="294" t="s">
        <v>3270</v>
      </c>
      <c r="J6" s="298" t="s">
        <v>3295</v>
      </c>
      <c r="K6" s="294" t="s">
        <v>65</v>
      </c>
      <c r="L6" s="297"/>
      <c r="M6" s="306"/>
      <c r="N6" s="306"/>
      <c r="O6" s="306"/>
      <c r="P6" s="296" t="b">
        <v>0</v>
      </c>
      <c r="Q6" s="299" t="s">
        <v>3296</v>
      </c>
      <c r="R6" s="300">
        <v>152.0</v>
      </c>
    </row>
    <row r="7" ht="15.0" customHeight="1">
      <c r="A7" s="301" t="s">
        <v>1630</v>
      </c>
      <c r="B7" s="302">
        <v>0.0</v>
      </c>
      <c r="C7" s="301" t="s">
        <v>3267</v>
      </c>
      <c r="D7" s="301" t="s">
        <v>304</v>
      </c>
      <c r="E7" s="303" t="b">
        <v>0</v>
      </c>
      <c r="F7" s="301" t="s">
        <v>3280</v>
      </c>
      <c r="G7" s="301" t="s">
        <v>3269</v>
      </c>
      <c r="H7" s="304"/>
      <c r="I7" s="301" t="s">
        <v>3270</v>
      </c>
      <c r="J7" s="305" t="s">
        <v>3297</v>
      </c>
      <c r="K7" s="301" t="s">
        <v>3298</v>
      </c>
      <c r="L7" s="301" t="s">
        <v>3299</v>
      </c>
      <c r="N7" s="301" t="s">
        <v>71</v>
      </c>
      <c r="O7" s="301" t="s">
        <v>3300</v>
      </c>
      <c r="P7" s="303" t="b">
        <v>0</v>
      </c>
      <c r="Q7" s="299" t="s">
        <v>3296</v>
      </c>
      <c r="R7" s="300">
        <v>152.0</v>
      </c>
    </row>
    <row r="8" ht="15.0" customHeight="1">
      <c r="A8" s="294" t="s">
        <v>3301</v>
      </c>
      <c r="B8" s="295">
        <v>0.0</v>
      </c>
      <c r="C8" s="294" t="s">
        <v>3267</v>
      </c>
      <c r="D8" s="294" t="s">
        <v>310</v>
      </c>
      <c r="E8" s="296" t="b">
        <v>0</v>
      </c>
      <c r="F8" s="294" t="s">
        <v>3280</v>
      </c>
      <c r="G8" s="294" t="s">
        <v>3288</v>
      </c>
      <c r="H8" s="294" t="s">
        <v>3302</v>
      </c>
      <c r="I8" s="294" t="s">
        <v>3281</v>
      </c>
      <c r="J8" s="298" t="s">
        <v>3303</v>
      </c>
      <c r="K8" s="294" t="s">
        <v>3292</v>
      </c>
      <c r="L8" s="294" t="s">
        <v>3304</v>
      </c>
      <c r="N8" s="294" t="s">
        <v>3305</v>
      </c>
      <c r="O8" s="294" t="s">
        <v>28</v>
      </c>
      <c r="P8" s="296" t="b">
        <v>0</v>
      </c>
      <c r="Q8" s="299" t="s">
        <v>2360</v>
      </c>
      <c r="R8" s="300">
        <v>230.0</v>
      </c>
    </row>
    <row r="9" ht="15.0" customHeight="1">
      <c r="A9" s="301" t="s">
        <v>3306</v>
      </c>
      <c r="B9" s="302">
        <v>0.0</v>
      </c>
      <c r="C9" s="301" t="s">
        <v>3267</v>
      </c>
      <c r="D9" s="301" t="s">
        <v>304</v>
      </c>
      <c r="E9" s="303" t="b">
        <v>0</v>
      </c>
      <c r="F9" s="301" t="s">
        <v>3307</v>
      </c>
      <c r="G9" s="301" t="s">
        <v>3308</v>
      </c>
      <c r="H9" s="307"/>
      <c r="I9" s="301" t="s">
        <v>3270</v>
      </c>
      <c r="J9" s="305" t="s">
        <v>3309</v>
      </c>
      <c r="K9" s="301" t="s">
        <v>3310</v>
      </c>
      <c r="L9" s="301" t="s">
        <v>3284</v>
      </c>
      <c r="M9" s="301" t="s">
        <v>3283</v>
      </c>
      <c r="P9" s="303" t="b">
        <v>0</v>
      </c>
      <c r="Q9" s="299" t="s">
        <v>2360</v>
      </c>
      <c r="R9" s="300">
        <v>236.0</v>
      </c>
    </row>
    <row r="10" ht="15.0" customHeight="1">
      <c r="A10" s="294" t="s">
        <v>3311</v>
      </c>
      <c r="B10" s="295">
        <v>0.0</v>
      </c>
      <c r="C10" s="294" t="s">
        <v>3267</v>
      </c>
      <c r="D10" s="294" t="s">
        <v>310</v>
      </c>
      <c r="E10" s="296" t="b">
        <v>0</v>
      </c>
      <c r="F10" s="294" t="s">
        <v>3312</v>
      </c>
      <c r="G10" s="294" t="s">
        <v>3269</v>
      </c>
      <c r="H10" s="297"/>
      <c r="I10" s="294" t="s">
        <v>3270</v>
      </c>
      <c r="J10" s="298" t="s">
        <v>3313</v>
      </c>
      <c r="K10" s="294" t="s">
        <v>35</v>
      </c>
      <c r="L10" s="294" t="s">
        <v>3314</v>
      </c>
      <c r="N10" s="294" t="s">
        <v>3315</v>
      </c>
      <c r="O10" s="294" t="s">
        <v>3316</v>
      </c>
      <c r="P10" s="296" t="b">
        <v>0</v>
      </c>
      <c r="Q10" s="299" t="s">
        <v>2360</v>
      </c>
      <c r="R10" s="300">
        <v>237.0</v>
      </c>
    </row>
    <row r="11" ht="15.0" customHeight="1">
      <c r="A11" s="301" t="s">
        <v>3317</v>
      </c>
      <c r="B11" s="302">
        <v>0.0</v>
      </c>
      <c r="C11" s="301" t="s">
        <v>3267</v>
      </c>
      <c r="D11" s="301" t="s">
        <v>310</v>
      </c>
      <c r="E11" s="303" t="b">
        <v>0</v>
      </c>
      <c r="F11" s="301" t="s">
        <v>3312</v>
      </c>
      <c r="G11" s="301" t="s">
        <v>3269</v>
      </c>
      <c r="H11" s="304"/>
      <c r="I11" s="301" t="s">
        <v>3270</v>
      </c>
      <c r="J11" s="305" t="s">
        <v>3318</v>
      </c>
      <c r="K11" s="301" t="s">
        <v>3319</v>
      </c>
      <c r="L11" s="301" t="s">
        <v>3273</v>
      </c>
      <c r="N11" s="301" t="s">
        <v>140</v>
      </c>
      <c r="P11" s="303" t="b">
        <v>0</v>
      </c>
      <c r="Q11" s="299" t="s">
        <v>2360</v>
      </c>
      <c r="R11" s="300">
        <v>242.0</v>
      </c>
    </row>
    <row r="12" ht="15.0" customHeight="1">
      <c r="A12" s="294" t="s">
        <v>3320</v>
      </c>
      <c r="B12" s="295">
        <v>0.0</v>
      </c>
      <c r="C12" s="294" t="s">
        <v>3267</v>
      </c>
      <c r="D12" s="294" t="s">
        <v>301</v>
      </c>
      <c r="E12" s="296" t="b">
        <v>0</v>
      </c>
      <c r="F12" s="294" t="s">
        <v>3312</v>
      </c>
      <c r="G12" s="294" t="s">
        <v>3288</v>
      </c>
      <c r="H12" s="294" t="s">
        <v>3321</v>
      </c>
      <c r="I12" s="294" t="s">
        <v>3270</v>
      </c>
      <c r="J12" s="298" t="s">
        <v>3322</v>
      </c>
      <c r="K12" s="294" t="s">
        <v>3323</v>
      </c>
      <c r="L12" s="294" t="s">
        <v>3273</v>
      </c>
      <c r="P12" s="296" t="b">
        <v>0</v>
      </c>
      <c r="Q12" s="299" t="s">
        <v>2360</v>
      </c>
      <c r="R12" s="300">
        <v>244.0</v>
      </c>
    </row>
    <row r="13" ht="15.0" customHeight="1">
      <c r="A13" s="301" t="s">
        <v>3324</v>
      </c>
      <c r="B13" s="302">
        <v>0.0</v>
      </c>
      <c r="C13" s="301" t="s">
        <v>3267</v>
      </c>
      <c r="D13" s="301" t="s">
        <v>301</v>
      </c>
      <c r="E13" s="303" t="b">
        <v>0</v>
      </c>
      <c r="F13" s="301" t="s">
        <v>3312</v>
      </c>
      <c r="G13" s="301" t="s">
        <v>3269</v>
      </c>
      <c r="H13" s="304"/>
      <c r="I13" s="301" t="s">
        <v>3290</v>
      </c>
      <c r="J13" s="305" t="s">
        <v>3325</v>
      </c>
      <c r="K13" s="301" t="s">
        <v>3277</v>
      </c>
      <c r="L13" s="301" t="s">
        <v>3326</v>
      </c>
      <c r="N13" s="301" t="s">
        <v>3327</v>
      </c>
      <c r="O13" s="301" t="s">
        <v>123</v>
      </c>
      <c r="P13" s="303" t="b">
        <v>0</v>
      </c>
      <c r="Q13" s="299" t="s">
        <v>3296</v>
      </c>
      <c r="R13" s="300">
        <v>156.0</v>
      </c>
    </row>
    <row r="14" ht="15.0" customHeight="1">
      <c r="A14" s="294" t="s">
        <v>3328</v>
      </c>
      <c r="B14" s="295">
        <v>0.0</v>
      </c>
      <c r="C14" s="294" t="s">
        <v>3267</v>
      </c>
      <c r="D14" s="294" t="s">
        <v>305</v>
      </c>
      <c r="E14" s="296" t="b">
        <v>0</v>
      </c>
      <c r="F14" s="294" t="s">
        <v>3312</v>
      </c>
      <c r="G14" s="294" t="s">
        <v>3329</v>
      </c>
      <c r="H14" s="294" t="s">
        <v>3330</v>
      </c>
      <c r="I14" s="294" t="s">
        <v>3290</v>
      </c>
      <c r="J14" s="298" t="s">
        <v>3331</v>
      </c>
      <c r="K14" s="294" t="s">
        <v>3332</v>
      </c>
      <c r="L14" s="294" t="s">
        <v>3333</v>
      </c>
      <c r="N14" s="294" t="s">
        <v>3334</v>
      </c>
      <c r="P14" s="296" t="b">
        <v>0</v>
      </c>
      <c r="Q14" s="299" t="s">
        <v>3286</v>
      </c>
      <c r="R14" s="300">
        <v>107.0</v>
      </c>
    </row>
    <row r="15" ht="15.0" customHeight="1">
      <c r="A15" s="301" t="s">
        <v>3335</v>
      </c>
      <c r="B15" s="302">
        <v>0.0</v>
      </c>
      <c r="C15" s="301" t="s">
        <v>3267</v>
      </c>
      <c r="D15" s="301" t="s">
        <v>310</v>
      </c>
      <c r="E15" s="303" t="b">
        <v>0</v>
      </c>
      <c r="F15" s="301" t="s">
        <v>3312</v>
      </c>
      <c r="G15" s="301" t="s">
        <v>3336</v>
      </c>
      <c r="H15" s="304"/>
      <c r="I15" s="301" t="s">
        <v>3337</v>
      </c>
      <c r="J15" s="305" t="s">
        <v>3338</v>
      </c>
      <c r="K15" s="301" t="s">
        <v>3319</v>
      </c>
      <c r="L15" s="301" t="s">
        <v>3273</v>
      </c>
      <c r="P15" s="303" t="b">
        <v>0</v>
      </c>
      <c r="Q15" s="299" t="s">
        <v>2360</v>
      </c>
      <c r="R15" s="300">
        <v>248.0</v>
      </c>
    </row>
    <row r="16" ht="15.0" customHeight="1">
      <c r="A16" s="294" t="s">
        <v>3339</v>
      </c>
      <c r="B16" s="295">
        <v>0.0</v>
      </c>
      <c r="C16" s="294" t="s">
        <v>3267</v>
      </c>
      <c r="D16" s="294" t="s">
        <v>308</v>
      </c>
      <c r="E16" s="296" t="b">
        <v>0</v>
      </c>
      <c r="F16" s="294" t="s">
        <v>3312</v>
      </c>
      <c r="G16" s="294" t="s">
        <v>3269</v>
      </c>
      <c r="H16" s="306"/>
      <c r="I16" s="294" t="s">
        <v>3270</v>
      </c>
      <c r="J16" s="298" t="s">
        <v>3340</v>
      </c>
      <c r="K16" s="306"/>
      <c r="L16" s="294" t="s">
        <v>3341</v>
      </c>
      <c r="O16" s="306"/>
      <c r="P16" s="296" t="b">
        <v>0</v>
      </c>
      <c r="Q16" s="299" t="s">
        <v>3296</v>
      </c>
      <c r="R16" s="300">
        <v>157.0</v>
      </c>
    </row>
    <row r="17" ht="15.0" customHeight="1">
      <c r="A17" s="301" t="s">
        <v>3342</v>
      </c>
      <c r="B17" s="302">
        <v>0.0</v>
      </c>
      <c r="C17" s="301" t="s">
        <v>3267</v>
      </c>
      <c r="D17" s="301" t="s">
        <v>310</v>
      </c>
      <c r="E17" s="303" t="b">
        <v>0</v>
      </c>
      <c r="F17" s="301" t="s">
        <v>3312</v>
      </c>
      <c r="G17" s="301" t="s">
        <v>3336</v>
      </c>
      <c r="H17" s="307"/>
      <c r="I17" s="301" t="s">
        <v>3337</v>
      </c>
      <c r="J17" s="305" t="s">
        <v>3343</v>
      </c>
      <c r="K17" s="301" t="s">
        <v>3319</v>
      </c>
      <c r="L17" s="301" t="s">
        <v>3273</v>
      </c>
      <c r="N17" s="301" t="s">
        <v>101</v>
      </c>
      <c r="P17" s="303" t="b">
        <v>0</v>
      </c>
      <c r="Q17" s="299" t="s">
        <v>3296</v>
      </c>
      <c r="R17" s="300">
        <v>158.0</v>
      </c>
    </row>
    <row r="18" ht="15.0" customHeight="1">
      <c r="A18" s="294" t="s">
        <v>3344</v>
      </c>
      <c r="B18" s="295">
        <v>0.0</v>
      </c>
      <c r="C18" s="294" t="s">
        <v>3267</v>
      </c>
      <c r="D18" s="294" t="s">
        <v>310</v>
      </c>
      <c r="E18" s="296" t="b">
        <v>0</v>
      </c>
      <c r="F18" s="294" t="s">
        <v>3312</v>
      </c>
      <c r="G18" s="294" t="s">
        <v>3308</v>
      </c>
      <c r="H18" s="306"/>
      <c r="I18" s="294" t="s">
        <v>3345</v>
      </c>
      <c r="J18" s="298" t="s">
        <v>3346</v>
      </c>
      <c r="K18" s="294" t="s">
        <v>29</v>
      </c>
      <c r="L18" s="294" t="s">
        <v>3347</v>
      </c>
      <c r="N18" s="294" t="s">
        <v>3348</v>
      </c>
      <c r="P18" s="296" t="b">
        <v>0</v>
      </c>
      <c r="Q18" s="299" t="s">
        <v>2360</v>
      </c>
      <c r="R18" s="300">
        <v>255.0</v>
      </c>
    </row>
    <row r="19" ht="15.0" customHeight="1">
      <c r="A19" s="301" t="s">
        <v>1640</v>
      </c>
      <c r="B19" s="302">
        <v>0.0</v>
      </c>
      <c r="C19" s="301" t="s">
        <v>3267</v>
      </c>
      <c r="D19" s="301" t="s">
        <v>310</v>
      </c>
      <c r="E19" s="303" t="b">
        <v>0</v>
      </c>
      <c r="F19" s="301" t="s">
        <v>3312</v>
      </c>
      <c r="G19" s="301" t="s">
        <v>3288</v>
      </c>
      <c r="H19" s="301" t="s">
        <v>3349</v>
      </c>
      <c r="I19" s="301" t="s">
        <v>3270</v>
      </c>
      <c r="J19" s="305" t="s">
        <v>3350</v>
      </c>
      <c r="K19" s="301" t="s">
        <v>3351</v>
      </c>
      <c r="L19" s="301" t="s">
        <v>103</v>
      </c>
      <c r="M19" s="307"/>
      <c r="N19" s="307"/>
      <c r="O19" s="307"/>
      <c r="P19" s="303" t="b">
        <v>0</v>
      </c>
      <c r="Q19" s="299" t="s">
        <v>3286</v>
      </c>
      <c r="R19" s="300">
        <v>107.0</v>
      </c>
    </row>
    <row r="20" ht="15.0" customHeight="1">
      <c r="A20" s="294" t="s">
        <v>3352</v>
      </c>
      <c r="B20" s="295">
        <v>0.0</v>
      </c>
      <c r="C20" s="294" t="s">
        <v>3267</v>
      </c>
      <c r="D20" s="294" t="s">
        <v>302</v>
      </c>
      <c r="E20" s="296" t="b">
        <v>1</v>
      </c>
      <c r="F20" s="294" t="s">
        <v>3312</v>
      </c>
      <c r="G20" s="294" t="s">
        <v>3336</v>
      </c>
      <c r="H20" s="306"/>
      <c r="I20" s="294" t="s">
        <v>3281</v>
      </c>
      <c r="J20" s="298" t="s">
        <v>3353</v>
      </c>
      <c r="K20" s="294" t="s">
        <v>3332</v>
      </c>
      <c r="L20" s="294" t="s">
        <v>3284</v>
      </c>
      <c r="N20" s="294" t="s">
        <v>3354</v>
      </c>
      <c r="P20" s="296" t="b">
        <v>0</v>
      </c>
      <c r="Q20" s="299" t="s">
        <v>2360</v>
      </c>
      <c r="R20" s="300">
        <v>256.0</v>
      </c>
    </row>
    <row r="21" ht="15.0" customHeight="1">
      <c r="A21" s="301" t="s">
        <v>3355</v>
      </c>
      <c r="B21" s="302">
        <v>0.0</v>
      </c>
      <c r="C21" s="301" t="s">
        <v>3267</v>
      </c>
      <c r="D21" s="301" t="s">
        <v>304</v>
      </c>
      <c r="E21" s="303" t="b">
        <v>0</v>
      </c>
      <c r="F21" s="301" t="s">
        <v>3356</v>
      </c>
      <c r="G21" s="301" t="s">
        <v>3329</v>
      </c>
      <c r="H21" s="301" t="s">
        <v>3357</v>
      </c>
      <c r="I21" s="301" t="s">
        <v>3281</v>
      </c>
      <c r="J21" s="305" t="s">
        <v>3358</v>
      </c>
      <c r="K21" s="301" t="s">
        <v>3310</v>
      </c>
      <c r="L21" s="301" t="s">
        <v>3284</v>
      </c>
      <c r="M21" s="301" t="s">
        <v>3283</v>
      </c>
      <c r="P21" s="303" t="b">
        <v>0</v>
      </c>
      <c r="Q21" s="299" t="s">
        <v>3296</v>
      </c>
      <c r="R21" s="300">
        <v>160.0</v>
      </c>
    </row>
    <row r="22" ht="15.0" customHeight="1">
      <c r="A22" s="294" t="s">
        <v>3359</v>
      </c>
      <c r="B22" s="295">
        <v>0.0</v>
      </c>
      <c r="C22" s="294" t="s">
        <v>3267</v>
      </c>
      <c r="D22" s="294" t="s">
        <v>304</v>
      </c>
      <c r="E22" s="296" t="b">
        <v>0</v>
      </c>
      <c r="F22" s="294" t="s">
        <v>3356</v>
      </c>
      <c r="G22" s="294" t="s">
        <v>3329</v>
      </c>
      <c r="H22" s="294" t="s">
        <v>3357</v>
      </c>
      <c r="I22" s="294" t="s">
        <v>3270</v>
      </c>
      <c r="J22" s="298" t="s">
        <v>3360</v>
      </c>
      <c r="K22" s="294" t="s">
        <v>3310</v>
      </c>
      <c r="L22" s="294" t="s">
        <v>3284</v>
      </c>
      <c r="M22" s="294" t="s">
        <v>3283</v>
      </c>
      <c r="P22" s="296" t="b">
        <v>0</v>
      </c>
      <c r="Q22" s="299" t="s">
        <v>2360</v>
      </c>
      <c r="R22" s="300">
        <v>259.0</v>
      </c>
    </row>
    <row r="23" ht="15.0" customHeight="1">
      <c r="A23" s="301" t="s">
        <v>3361</v>
      </c>
      <c r="B23" s="302">
        <v>0.0</v>
      </c>
      <c r="C23" s="301" t="s">
        <v>3267</v>
      </c>
      <c r="D23" s="301" t="s">
        <v>301</v>
      </c>
      <c r="E23" s="303" t="b">
        <v>0</v>
      </c>
      <c r="F23" s="301" t="s">
        <v>3356</v>
      </c>
      <c r="G23" s="301" t="s">
        <v>3308</v>
      </c>
      <c r="H23" s="307"/>
      <c r="I23" s="301" t="s">
        <v>3270</v>
      </c>
      <c r="J23" s="305" t="s">
        <v>3362</v>
      </c>
      <c r="K23" s="301" t="s">
        <v>3310</v>
      </c>
      <c r="L23" s="301" t="s">
        <v>3284</v>
      </c>
      <c r="M23" s="301" t="s">
        <v>3283</v>
      </c>
      <c r="P23" s="303" t="b">
        <v>0</v>
      </c>
      <c r="Q23" s="299" t="s">
        <v>2360</v>
      </c>
      <c r="R23" s="300">
        <v>259.0</v>
      </c>
    </row>
    <row r="24" ht="15.0" customHeight="1">
      <c r="A24" s="294" t="s">
        <v>3363</v>
      </c>
      <c r="B24" s="295">
        <v>0.0</v>
      </c>
      <c r="C24" s="294" t="s">
        <v>3267</v>
      </c>
      <c r="D24" s="294" t="s">
        <v>304</v>
      </c>
      <c r="E24" s="296" t="b">
        <v>0</v>
      </c>
      <c r="F24" s="294" t="s">
        <v>3356</v>
      </c>
      <c r="G24" s="294" t="s">
        <v>3336</v>
      </c>
      <c r="H24" s="297"/>
      <c r="I24" s="294" t="s">
        <v>3270</v>
      </c>
      <c r="J24" s="298" t="s">
        <v>3364</v>
      </c>
      <c r="K24" s="294" t="s">
        <v>3365</v>
      </c>
      <c r="L24" s="294" t="s">
        <v>3273</v>
      </c>
      <c r="P24" s="296" t="b">
        <v>0</v>
      </c>
      <c r="Q24" s="299" t="s">
        <v>3286</v>
      </c>
      <c r="R24" s="300">
        <v>108.0</v>
      </c>
    </row>
    <row r="25" ht="15.0" customHeight="1">
      <c r="A25" s="301" t="s">
        <v>3366</v>
      </c>
      <c r="B25" s="302">
        <v>0.0</v>
      </c>
      <c r="C25" s="301" t="s">
        <v>3267</v>
      </c>
      <c r="D25" s="301" t="s">
        <v>304</v>
      </c>
      <c r="E25" s="303" t="b">
        <v>0</v>
      </c>
      <c r="F25" s="301" t="s">
        <v>3356</v>
      </c>
      <c r="G25" s="301" t="s">
        <v>3367</v>
      </c>
      <c r="H25" s="301" t="s">
        <v>3368</v>
      </c>
      <c r="I25" s="301" t="s">
        <v>3270</v>
      </c>
      <c r="J25" s="305" t="s">
        <v>3369</v>
      </c>
      <c r="K25" s="301" t="s">
        <v>29</v>
      </c>
      <c r="L25" s="301" t="s">
        <v>3347</v>
      </c>
      <c r="P25" s="303" t="b">
        <v>0</v>
      </c>
      <c r="Q25" s="299" t="s">
        <v>2360</v>
      </c>
      <c r="R25" s="300">
        <v>260.0</v>
      </c>
    </row>
    <row r="26" ht="15.0" customHeight="1">
      <c r="A26" s="294" t="s">
        <v>1626</v>
      </c>
      <c r="B26" s="295">
        <v>0.0</v>
      </c>
      <c r="C26" s="294" t="s">
        <v>3267</v>
      </c>
      <c r="D26" s="294" t="s">
        <v>301</v>
      </c>
      <c r="E26" s="296" t="b">
        <v>0</v>
      </c>
      <c r="F26" s="294" t="s">
        <v>3370</v>
      </c>
      <c r="G26" s="294" t="s">
        <v>3269</v>
      </c>
      <c r="H26" s="297"/>
      <c r="I26" s="294" t="s">
        <v>3270</v>
      </c>
      <c r="J26" s="298" t="s">
        <v>3371</v>
      </c>
      <c r="K26" s="294" t="s">
        <v>3298</v>
      </c>
      <c r="L26" s="294" t="s">
        <v>3284</v>
      </c>
      <c r="M26" s="294" t="s">
        <v>35</v>
      </c>
      <c r="N26" s="306"/>
      <c r="O26" s="294" t="s">
        <v>261</v>
      </c>
      <c r="P26" s="296" t="b">
        <v>0</v>
      </c>
      <c r="Q26" s="299" t="s">
        <v>3296</v>
      </c>
      <c r="R26" s="300">
        <v>162.0</v>
      </c>
    </row>
    <row r="27" ht="15.0" customHeight="1">
      <c r="A27" s="301" t="s">
        <v>3372</v>
      </c>
      <c r="B27" s="302">
        <v>0.0</v>
      </c>
      <c r="C27" s="301" t="s">
        <v>3267</v>
      </c>
      <c r="D27" s="301" t="s">
        <v>310</v>
      </c>
      <c r="E27" s="303" t="b">
        <v>0</v>
      </c>
      <c r="F27" s="301" t="s">
        <v>3370</v>
      </c>
      <c r="G27" s="301" t="s">
        <v>3336</v>
      </c>
      <c r="H27" s="304"/>
      <c r="I27" s="301" t="s">
        <v>3337</v>
      </c>
      <c r="J27" s="305" t="s">
        <v>3373</v>
      </c>
      <c r="K27" s="301" t="s">
        <v>3319</v>
      </c>
      <c r="L27" s="301" t="s">
        <v>3273</v>
      </c>
      <c r="P27" s="303" t="b">
        <v>0</v>
      </c>
      <c r="Q27" s="299" t="s">
        <v>2360</v>
      </c>
      <c r="R27" s="300">
        <v>266.0</v>
      </c>
    </row>
    <row r="28" ht="15.0" customHeight="1">
      <c r="A28" s="294" t="s">
        <v>3374</v>
      </c>
      <c r="B28" s="295">
        <v>0.0</v>
      </c>
      <c r="C28" s="294" t="s">
        <v>3267</v>
      </c>
      <c r="D28" s="294" t="s">
        <v>301</v>
      </c>
      <c r="E28" s="296" t="b">
        <v>1</v>
      </c>
      <c r="F28" s="294" t="s">
        <v>3370</v>
      </c>
      <c r="G28" s="294" t="s">
        <v>3269</v>
      </c>
      <c r="H28" s="297"/>
      <c r="I28" s="294" t="s">
        <v>3290</v>
      </c>
      <c r="J28" s="298" t="s">
        <v>3375</v>
      </c>
      <c r="K28" s="294" t="s">
        <v>3272</v>
      </c>
      <c r="L28" s="294" t="s">
        <v>3273</v>
      </c>
      <c r="P28" s="296" t="b">
        <v>0</v>
      </c>
      <c r="Q28" s="299" t="s">
        <v>2360</v>
      </c>
      <c r="R28" s="300">
        <v>267.0</v>
      </c>
    </row>
    <row r="29" ht="15.0" customHeight="1">
      <c r="A29" s="301" t="s">
        <v>3376</v>
      </c>
      <c r="B29" s="302">
        <v>0.0</v>
      </c>
      <c r="C29" s="301" t="s">
        <v>3267</v>
      </c>
      <c r="D29" s="301" t="s">
        <v>304</v>
      </c>
      <c r="E29" s="303" t="b">
        <v>0</v>
      </c>
      <c r="F29" s="301" t="s">
        <v>3370</v>
      </c>
      <c r="G29" s="301" t="s">
        <v>3269</v>
      </c>
      <c r="H29" s="307"/>
      <c r="I29" s="301" t="s">
        <v>3270</v>
      </c>
      <c r="J29" s="305" t="s">
        <v>3377</v>
      </c>
      <c r="K29" s="301" t="s">
        <v>3272</v>
      </c>
      <c r="L29" s="301" t="s">
        <v>3273</v>
      </c>
      <c r="P29" s="303" t="b">
        <v>0</v>
      </c>
      <c r="Q29" s="299" t="s">
        <v>3296</v>
      </c>
      <c r="R29" s="300">
        <v>163.0</v>
      </c>
    </row>
    <row r="30" ht="15.0" customHeight="1">
      <c r="A30" s="294" t="s">
        <v>3378</v>
      </c>
      <c r="B30" s="295">
        <v>0.0</v>
      </c>
      <c r="C30" s="294" t="s">
        <v>3267</v>
      </c>
      <c r="D30" s="294" t="s">
        <v>303</v>
      </c>
      <c r="E30" s="296" t="b">
        <v>0</v>
      </c>
      <c r="F30" s="294" t="s">
        <v>3370</v>
      </c>
      <c r="G30" s="294" t="s">
        <v>3308</v>
      </c>
      <c r="H30" s="306"/>
      <c r="I30" s="294" t="s">
        <v>3281</v>
      </c>
      <c r="J30" s="298" t="s">
        <v>3379</v>
      </c>
      <c r="K30" s="306"/>
      <c r="L30" s="294" t="s">
        <v>3380</v>
      </c>
      <c r="M30" s="294" t="s">
        <v>3283</v>
      </c>
      <c r="P30" s="296" t="b">
        <v>0</v>
      </c>
      <c r="Q30" s="299" t="s">
        <v>2360</v>
      </c>
      <c r="R30" s="300">
        <v>269.0</v>
      </c>
    </row>
    <row r="31" ht="15.0" customHeight="1">
      <c r="A31" s="301" t="s">
        <v>1634</v>
      </c>
      <c r="B31" s="302">
        <v>0.0</v>
      </c>
      <c r="C31" s="301" t="s">
        <v>3267</v>
      </c>
      <c r="D31" s="301" t="s">
        <v>304</v>
      </c>
      <c r="E31" s="303" t="b">
        <v>0</v>
      </c>
      <c r="F31" s="301" t="s">
        <v>3370</v>
      </c>
      <c r="G31" s="301" t="s">
        <v>3269</v>
      </c>
      <c r="H31" s="307"/>
      <c r="I31" s="301" t="s">
        <v>3270</v>
      </c>
      <c r="J31" s="305" t="s">
        <v>3381</v>
      </c>
      <c r="K31" s="301" t="s">
        <v>3298</v>
      </c>
      <c r="L31" s="301" t="s">
        <v>3299</v>
      </c>
      <c r="N31" s="301" t="s">
        <v>3382</v>
      </c>
      <c r="P31" s="303" t="b">
        <v>0</v>
      </c>
      <c r="Q31" s="299" t="s">
        <v>2360</v>
      </c>
      <c r="R31" s="300">
        <v>271.0</v>
      </c>
    </row>
    <row r="32" ht="15.0" customHeight="1">
      <c r="A32" s="294" t="s">
        <v>1638</v>
      </c>
      <c r="B32" s="295">
        <v>0.0</v>
      </c>
      <c r="C32" s="294" t="s">
        <v>3267</v>
      </c>
      <c r="D32" s="294" t="s">
        <v>304</v>
      </c>
      <c r="E32" s="296" t="b">
        <v>0</v>
      </c>
      <c r="F32" s="294" t="s">
        <v>3370</v>
      </c>
      <c r="G32" s="294" t="s">
        <v>3269</v>
      </c>
      <c r="H32" s="297"/>
      <c r="I32" s="294" t="s">
        <v>3270</v>
      </c>
      <c r="J32" s="298" t="s">
        <v>3383</v>
      </c>
      <c r="K32" s="294" t="s">
        <v>29</v>
      </c>
      <c r="L32" s="294" t="s">
        <v>3384</v>
      </c>
      <c r="O32" s="294" t="s">
        <v>87</v>
      </c>
      <c r="P32" s="296" t="b">
        <v>0</v>
      </c>
      <c r="Q32" s="299" t="s">
        <v>2360</v>
      </c>
      <c r="R32" s="300">
        <v>272.0</v>
      </c>
    </row>
    <row r="33" ht="15.0" customHeight="1">
      <c r="A33" s="301" t="s">
        <v>3385</v>
      </c>
      <c r="B33" s="302">
        <v>0.0</v>
      </c>
      <c r="C33" s="301" t="s">
        <v>3267</v>
      </c>
      <c r="D33" s="301" t="s">
        <v>308</v>
      </c>
      <c r="E33" s="303" t="b">
        <v>0</v>
      </c>
      <c r="F33" s="301" t="s">
        <v>3370</v>
      </c>
      <c r="G33" s="301" t="s">
        <v>3269</v>
      </c>
      <c r="H33" s="304"/>
      <c r="I33" s="301" t="s">
        <v>3270</v>
      </c>
      <c r="J33" s="305" t="s">
        <v>3386</v>
      </c>
      <c r="K33" s="301" t="s">
        <v>3387</v>
      </c>
      <c r="L33" s="301" t="s">
        <v>3388</v>
      </c>
      <c r="P33" s="303" t="b">
        <v>0</v>
      </c>
      <c r="Q33" s="299" t="s">
        <v>2360</v>
      </c>
      <c r="R33" s="300">
        <v>272.0</v>
      </c>
    </row>
    <row r="34" ht="15.0" customHeight="1">
      <c r="A34" s="294" t="s">
        <v>3389</v>
      </c>
      <c r="B34" s="295">
        <v>0.0</v>
      </c>
      <c r="C34" s="294" t="s">
        <v>3267</v>
      </c>
      <c r="D34" s="294" t="s">
        <v>303</v>
      </c>
      <c r="E34" s="296" t="b">
        <v>0</v>
      </c>
      <c r="F34" s="294" t="s">
        <v>3370</v>
      </c>
      <c r="G34" s="294" t="s">
        <v>3308</v>
      </c>
      <c r="H34" s="306"/>
      <c r="I34" s="294" t="s">
        <v>3270</v>
      </c>
      <c r="J34" s="298" t="s">
        <v>3390</v>
      </c>
      <c r="K34" s="294" t="s">
        <v>23</v>
      </c>
      <c r="L34" s="306"/>
      <c r="M34" s="306"/>
      <c r="N34" s="294" t="s">
        <v>3391</v>
      </c>
      <c r="O34" s="294" t="s">
        <v>234</v>
      </c>
      <c r="P34" s="296" t="b">
        <v>0</v>
      </c>
      <c r="Q34" s="299" t="s">
        <v>3392</v>
      </c>
      <c r="R34" s="300">
        <v>189.0</v>
      </c>
    </row>
    <row r="35" ht="15.0" customHeight="1">
      <c r="A35" s="301" t="s">
        <v>3393</v>
      </c>
      <c r="B35" s="302">
        <v>0.0</v>
      </c>
      <c r="C35" s="301" t="s">
        <v>3267</v>
      </c>
      <c r="D35" s="301" t="s">
        <v>299</v>
      </c>
      <c r="E35" s="303" t="b">
        <v>0</v>
      </c>
      <c r="F35" s="301" t="s">
        <v>3394</v>
      </c>
      <c r="G35" s="301" t="s">
        <v>3269</v>
      </c>
      <c r="H35" s="304"/>
      <c r="I35" s="301" t="s">
        <v>3281</v>
      </c>
      <c r="J35" s="305" t="s">
        <v>3395</v>
      </c>
      <c r="K35" s="301" t="s">
        <v>3332</v>
      </c>
      <c r="L35" s="301" t="s">
        <v>3284</v>
      </c>
      <c r="P35" s="303" t="b">
        <v>0</v>
      </c>
      <c r="Q35" s="299" t="s">
        <v>3296</v>
      </c>
      <c r="R35" s="300">
        <v>164.0</v>
      </c>
    </row>
    <row r="36" ht="15.0" customHeight="1">
      <c r="A36" s="294" t="s">
        <v>3396</v>
      </c>
      <c r="B36" s="295">
        <v>0.0</v>
      </c>
      <c r="C36" s="294" t="s">
        <v>3267</v>
      </c>
      <c r="D36" s="294" t="s">
        <v>303</v>
      </c>
      <c r="E36" s="296" t="b">
        <v>1</v>
      </c>
      <c r="F36" s="294" t="s">
        <v>3394</v>
      </c>
      <c r="G36" s="294" t="s">
        <v>3329</v>
      </c>
      <c r="H36" s="294" t="s">
        <v>3397</v>
      </c>
      <c r="I36" s="294" t="s">
        <v>3290</v>
      </c>
      <c r="J36" s="298" t="s">
        <v>3398</v>
      </c>
      <c r="K36" s="294" t="s">
        <v>3332</v>
      </c>
      <c r="L36" s="294" t="s">
        <v>3304</v>
      </c>
      <c r="N36" s="294" t="s">
        <v>3399</v>
      </c>
      <c r="O36" s="294" t="s">
        <v>3400</v>
      </c>
      <c r="P36" s="296" t="b">
        <v>0</v>
      </c>
      <c r="Q36" s="299" t="s">
        <v>2360</v>
      </c>
      <c r="R36" s="300">
        <v>275.0</v>
      </c>
    </row>
    <row r="37" ht="15.0" customHeight="1">
      <c r="A37" s="301" t="s">
        <v>3401</v>
      </c>
      <c r="B37" s="302">
        <v>0.0</v>
      </c>
      <c r="C37" s="301" t="s">
        <v>3267</v>
      </c>
      <c r="D37" s="301" t="s">
        <v>310</v>
      </c>
      <c r="E37" s="303" t="b">
        <v>0</v>
      </c>
      <c r="F37" s="301" t="s">
        <v>3394</v>
      </c>
      <c r="G37" s="301" t="s">
        <v>3336</v>
      </c>
      <c r="H37" s="304"/>
      <c r="I37" s="301" t="s">
        <v>3270</v>
      </c>
      <c r="J37" s="305" t="s">
        <v>3402</v>
      </c>
      <c r="K37" s="301" t="s">
        <v>35</v>
      </c>
      <c r="L37" s="301" t="s">
        <v>103</v>
      </c>
      <c r="M37" s="301" t="s">
        <v>60</v>
      </c>
      <c r="N37" s="307"/>
      <c r="O37" s="307"/>
      <c r="P37" s="303" t="b">
        <v>0</v>
      </c>
      <c r="Q37" s="299" t="s">
        <v>2360</v>
      </c>
      <c r="R37" s="300">
        <v>275.0</v>
      </c>
    </row>
    <row r="38" ht="15.0" customHeight="1">
      <c r="A38" s="294" t="s">
        <v>3403</v>
      </c>
      <c r="B38" s="295">
        <v>0.0</v>
      </c>
      <c r="C38" s="294" t="s">
        <v>3267</v>
      </c>
      <c r="D38" s="294" t="s">
        <v>301</v>
      </c>
      <c r="E38" s="296" t="b">
        <v>0</v>
      </c>
      <c r="F38" s="294" t="s">
        <v>3394</v>
      </c>
      <c r="G38" s="294" t="s">
        <v>3269</v>
      </c>
      <c r="H38" s="297"/>
      <c r="I38" s="294" t="s">
        <v>3404</v>
      </c>
      <c r="J38" s="298" t="s">
        <v>3405</v>
      </c>
      <c r="K38" s="294" t="s">
        <v>35</v>
      </c>
      <c r="L38" s="294" t="s">
        <v>103</v>
      </c>
      <c r="M38" s="306"/>
      <c r="N38" s="294" t="s">
        <v>98</v>
      </c>
      <c r="O38" s="294" t="s">
        <v>3406</v>
      </c>
      <c r="P38" s="296" t="b">
        <v>0</v>
      </c>
      <c r="Q38" s="299" t="s">
        <v>2360</v>
      </c>
      <c r="R38" s="300">
        <v>277.0</v>
      </c>
    </row>
    <row r="39" ht="15.0" customHeight="1">
      <c r="A39" s="301" t="s">
        <v>3407</v>
      </c>
      <c r="B39" s="302">
        <v>0.0</v>
      </c>
      <c r="C39" s="301" t="s">
        <v>3267</v>
      </c>
      <c r="D39" s="301" t="s">
        <v>302</v>
      </c>
      <c r="E39" s="303" t="b">
        <v>1</v>
      </c>
      <c r="F39" s="301" t="s">
        <v>3408</v>
      </c>
      <c r="G39" s="301" t="s">
        <v>3269</v>
      </c>
      <c r="H39" s="307"/>
      <c r="I39" s="301" t="s">
        <v>3290</v>
      </c>
      <c r="J39" s="305" t="s">
        <v>3409</v>
      </c>
      <c r="K39" s="301" t="s">
        <v>3410</v>
      </c>
      <c r="L39" s="301" t="s">
        <v>3411</v>
      </c>
      <c r="O39" s="301" t="s">
        <v>219</v>
      </c>
      <c r="P39" s="303" t="b">
        <v>0</v>
      </c>
      <c r="Q39" s="299" t="s">
        <v>3286</v>
      </c>
      <c r="R39" s="300">
        <v>115.0</v>
      </c>
    </row>
    <row r="40" ht="15.0" customHeight="1">
      <c r="A40" s="294" t="s">
        <v>100</v>
      </c>
      <c r="B40" s="295">
        <v>0.0</v>
      </c>
      <c r="C40" s="294" t="s">
        <v>3267</v>
      </c>
      <c r="D40" s="294" t="s">
        <v>304</v>
      </c>
      <c r="E40" s="296" t="b">
        <v>0</v>
      </c>
      <c r="F40" s="294" t="s">
        <v>3408</v>
      </c>
      <c r="G40" s="294" t="s">
        <v>3367</v>
      </c>
      <c r="H40" s="294" t="s">
        <v>3412</v>
      </c>
      <c r="I40" s="294" t="s">
        <v>3337</v>
      </c>
      <c r="J40" s="298" t="s">
        <v>3413</v>
      </c>
      <c r="K40" s="294" t="s">
        <v>3414</v>
      </c>
      <c r="L40" s="294" t="s">
        <v>3415</v>
      </c>
      <c r="N40" s="294" t="s">
        <v>3416</v>
      </c>
      <c r="P40" s="296" t="b">
        <v>0</v>
      </c>
      <c r="Q40" s="299" t="s">
        <v>2360</v>
      </c>
      <c r="R40" s="300">
        <v>282.0</v>
      </c>
    </row>
    <row r="41" ht="15.0" customHeight="1">
      <c r="A41" s="301" t="s">
        <v>3417</v>
      </c>
      <c r="B41" s="302">
        <v>0.0</v>
      </c>
      <c r="C41" s="301" t="s">
        <v>3418</v>
      </c>
      <c r="D41" s="301" t="s">
        <v>310</v>
      </c>
      <c r="E41" s="303" t="b">
        <v>0</v>
      </c>
      <c r="F41" s="301" t="s">
        <v>3408</v>
      </c>
      <c r="G41" s="301" t="s">
        <v>3269</v>
      </c>
      <c r="H41" s="304"/>
      <c r="I41" s="301" t="s">
        <v>3290</v>
      </c>
      <c r="J41" s="305" t="s">
        <v>3419</v>
      </c>
      <c r="K41" s="301" t="s">
        <v>3420</v>
      </c>
      <c r="L41" s="301" t="s">
        <v>103</v>
      </c>
      <c r="M41" s="307"/>
      <c r="N41" s="307"/>
      <c r="O41" s="307"/>
      <c r="P41" s="303" t="b">
        <v>0</v>
      </c>
      <c r="Q41" s="299" t="s">
        <v>2360</v>
      </c>
      <c r="R41" s="300">
        <v>282.0</v>
      </c>
    </row>
    <row r="42" ht="15.0" customHeight="1">
      <c r="A42" s="294" t="s">
        <v>3421</v>
      </c>
      <c r="B42" s="295">
        <v>0.0</v>
      </c>
      <c r="C42" s="294" t="s">
        <v>3290</v>
      </c>
      <c r="D42" s="294" t="s">
        <v>310</v>
      </c>
      <c r="E42" s="296" t="b">
        <v>0</v>
      </c>
      <c r="F42" s="294" t="s">
        <v>3408</v>
      </c>
      <c r="G42" s="294" t="s">
        <v>3288</v>
      </c>
      <c r="H42" s="294" t="s">
        <v>3422</v>
      </c>
      <c r="I42" s="294" t="s">
        <v>3270</v>
      </c>
      <c r="J42" s="298" t="s">
        <v>3423</v>
      </c>
      <c r="K42" s="294" t="s">
        <v>3424</v>
      </c>
      <c r="L42" s="294" t="s">
        <v>3425</v>
      </c>
      <c r="N42" s="294" t="s">
        <v>182</v>
      </c>
      <c r="P42" s="296" t="b">
        <v>0</v>
      </c>
      <c r="Q42" s="299" t="s">
        <v>3296</v>
      </c>
      <c r="R42" s="300">
        <v>168.0</v>
      </c>
    </row>
    <row r="43" ht="15.0" customHeight="1">
      <c r="A43" s="301" t="s">
        <v>3426</v>
      </c>
      <c r="B43" s="302">
        <v>0.0</v>
      </c>
      <c r="C43" s="301" t="s">
        <v>3267</v>
      </c>
      <c r="D43" s="301" t="s">
        <v>299</v>
      </c>
      <c r="E43" s="303" t="b">
        <v>1</v>
      </c>
      <c r="F43" s="301" t="s">
        <v>3408</v>
      </c>
      <c r="G43" s="301" t="s">
        <v>3288</v>
      </c>
      <c r="H43" s="301" t="s">
        <v>3427</v>
      </c>
      <c r="I43" s="301" t="s">
        <v>3290</v>
      </c>
      <c r="J43" s="305" t="s">
        <v>3428</v>
      </c>
      <c r="K43" s="301" t="s">
        <v>3410</v>
      </c>
      <c r="L43" s="301" t="s">
        <v>3429</v>
      </c>
      <c r="P43" s="303" t="b">
        <v>0</v>
      </c>
      <c r="Q43" s="299" t="s">
        <v>3296</v>
      </c>
      <c r="R43" s="300">
        <v>169.0</v>
      </c>
    </row>
    <row r="44" ht="15.0" customHeight="1">
      <c r="A44" s="294" t="s">
        <v>3430</v>
      </c>
      <c r="B44" s="295">
        <v>0.0</v>
      </c>
      <c r="C44" s="294" t="s">
        <v>3418</v>
      </c>
      <c r="D44" s="294" t="s">
        <v>310</v>
      </c>
      <c r="E44" s="296" t="b">
        <v>0</v>
      </c>
      <c r="F44" s="294" t="s">
        <v>3408</v>
      </c>
      <c r="G44" s="294" t="s">
        <v>3288</v>
      </c>
      <c r="H44" s="294" t="s">
        <v>3431</v>
      </c>
      <c r="I44" s="294" t="s">
        <v>3290</v>
      </c>
      <c r="J44" s="298" t="s">
        <v>3432</v>
      </c>
      <c r="K44" s="294" t="s">
        <v>35</v>
      </c>
      <c r="L44" s="294" t="s">
        <v>3433</v>
      </c>
      <c r="N44" s="306"/>
      <c r="O44" s="306"/>
      <c r="P44" s="296" t="b">
        <v>0</v>
      </c>
      <c r="Q44" s="299" t="s">
        <v>2360</v>
      </c>
      <c r="R44" s="300">
        <v>284.0</v>
      </c>
    </row>
    <row r="45" ht="15.0" customHeight="1">
      <c r="A45" s="301" t="s">
        <v>1636</v>
      </c>
      <c r="B45" s="302">
        <v>0.0</v>
      </c>
      <c r="C45" s="301" t="s">
        <v>3267</v>
      </c>
      <c r="D45" s="301" t="s">
        <v>304</v>
      </c>
      <c r="E45" s="303" t="b">
        <v>0</v>
      </c>
      <c r="F45" s="301" t="s">
        <v>3408</v>
      </c>
      <c r="G45" s="301" t="s">
        <v>3269</v>
      </c>
      <c r="H45" s="304"/>
      <c r="I45" s="301" t="s">
        <v>3270</v>
      </c>
      <c r="J45" s="305" t="s">
        <v>3434</v>
      </c>
      <c r="K45" s="301" t="s">
        <v>3298</v>
      </c>
      <c r="L45" s="301" t="s">
        <v>3299</v>
      </c>
      <c r="O45" s="301" t="s">
        <v>198</v>
      </c>
      <c r="P45" s="303" t="b">
        <v>0</v>
      </c>
      <c r="Q45" s="299" t="s">
        <v>2360</v>
      </c>
      <c r="R45" s="300">
        <v>285.0</v>
      </c>
    </row>
    <row r="46" ht="15.0" customHeight="1">
      <c r="A46" s="294" t="s">
        <v>3435</v>
      </c>
      <c r="B46" s="295">
        <v>0.0</v>
      </c>
      <c r="C46" s="294" t="s">
        <v>3267</v>
      </c>
      <c r="D46" s="294" t="s">
        <v>308</v>
      </c>
      <c r="E46" s="296" t="b">
        <v>0</v>
      </c>
      <c r="F46" s="294" t="s">
        <v>3408</v>
      </c>
      <c r="G46" s="294" t="s">
        <v>3269</v>
      </c>
      <c r="H46" s="297"/>
      <c r="I46" s="294" t="s">
        <v>3270</v>
      </c>
      <c r="J46" s="298" t="s">
        <v>3436</v>
      </c>
      <c r="K46" s="294" t="s">
        <v>3437</v>
      </c>
      <c r="L46" s="294" t="s">
        <v>3438</v>
      </c>
      <c r="N46" s="294" t="s">
        <v>3439</v>
      </c>
      <c r="O46" s="294" t="s">
        <v>162</v>
      </c>
      <c r="P46" s="296" t="b">
        <v>0</v>
      </c>
      <c r="Q46" s="299" t="s">
        <v>3296</v>
      </c>
      <c r="R46" s="300">
        <v>171.0</v>
      </c>
    </row>
    <row r="47" ht="15.0" customHeight="1">
      <c r="A47" s="301" t="s">
        <v>3440</v>
      </c>
      <c r="B47" s="302">
        <v>1.0</v>
      </c>
      <c r="C47" s="301" t="s">
        <v>3267</v>
      </c>
      <c r="D47" s="301" t="s">
        <v>301</v>
      </c>
      <c r="E47" s="303" t="b">
        <v>0</v>
      </c>
      <c r="F47" s="301" t="s">
        <v>3268</v>
      </c>
      <c r="G47" s="301" t="s">
        <v>3269</v>
      </c>
      <c r="H47" s="307"/>
      <c r="I47" s="301" t="s">
        <v>3270</v>
      </c>
      <c r="J47" s="305" t="s">
        <v>3441</v>
      </c>
      <c r="K47" s="301" t="s">
        <v>65</v>
      </c>
      <c r="L47" s="301" t="s">
        <v>3442</v>
      </c>
      <c r="O47" s="307"/>
      <c r="P47" s="303" t="b">
        <v>0</v>
      </c>
      <c r="Q47" s="299" t="s">
        <v>3296</v>
      </c>
      <c r="R47" s="300">
        <v>150.0</v>
      </c>
    </row>
    <row r="48" ht="15.0" customHeight="1">
      <c r="A48" s="294" t="s">
        <v>3443</v>
      </c>
      <c r="B48" s="295">
        <v>1.0</v>
      </c>
      <c r="C48" s="294" t="s">
        <v>3267</v>
      </c>
      <c r="D48" s="294" t="s">
        <v>304</v>
      </c>
      <c r="E48" s="296" t="b">
        <v>0</v>
      </c>
      <c r="F48" s="294" t="s">
        <v>3268</v>
      </c>
      <c r="G48" s="294" t="s">
        <v>3269</v>
      </c>
      <c r="H48" s="297"/>
      <c r="I48" s="294" t="s">
        <v>3270</v>
      </c>
      <c r="J48" s="298" t="s">
        <v>3444</v>
      </c>
      <c r="K48" s="294" t="s">
        <v>3445</v>
      </c>
      <c r="L48" s="294" t="s">
        <v>3446</v>
      </c>
      <c r="P48" s="296" t="b">
        <v>0</v>
      </c>
      <c r="Q48" s="299" t="s">
        <v>2360</v>
      </c>
      <c r="R48" s="300">
        <v>211.0</v>
      </c>
    </row>
    <row r="49" ht="15.0" customHeight="1">
      <c r="A49" s="301" t="s">
        <v>3447</v>
      </c>
      <c r="B49" s="302">
        <v>1.0</v>
      </c>
      <c r="C49" s="301" t="s">
        <v>3337</v>
      </c>
      <c r="D49" s="301" t="s">
        <v>301</v>
      </c>
      <c r="E49" s="303" t="b">
        <v>0</v>
      </c>
      <c r="F49" s="301" t="s">
        <v>3268</v>
      </c>
      <c r="G49" s="301" t="s">
        <v>3288</v>
      </c>
      <c r="H49" s="301" t="s">
        <v>3448</v>
      </c>
      <c r="I49" s="301" t="s">
        <v>3270</v>
      </c>
      <c r="J49" s="305" t="s">
        <v>3449</v>
      </c>
      <c r="K49" s="301" t="s">
        <v>69</v>
      </c>
      <c r="L49" s="307"/>
      <c r="M49" s="307"/>
      <c r="N49" s="307"/>
      <c r="O49" s="307"/>
      <c r="P49" s="303" t="b">
        <v>1</v>
      </c>
      <c r="Q49" s="299" t="s">
        <v>2360</v>
      </c>
      <c r="R49" s="300">
        <v>212.0</v>
      </c>
    </row>
    <row r="50" ht="15.0" customHeight="1">
      <c r="A50" s="294" t="s">
        <v>3450</v>
      </c>
      <c r="B50" s="295">
        <v>1.0</v>
      </c>
      <c r="C50" s="294" t="s">
        <v>3267</v>
      </c>
      <c r="D50" s="294" t="s">
        <v>310</v>
      </c>
      <c r="E50" s="296" t="b">
        <v>0</v>
      </c>
      <c r="F50" s="294" t="s">
        <v>3268</v>
      </c>
      <c r="G50" s="294" t="s">
        <v>3269</v>
      </c>
      <c r="H50" s="306"/>
      <c r="I50" s="294" t="s">
        <v>3270</v>
      </c>
      <c r="J50" s="298" t="s">
        <v>3451</v>
      </c>
      <c r="K50" s="294" t="s">
        <v>3452</v>
      </c>
      <c r="L50" s="294" t="s">
        <v>3453</v>
      </c>
      <c r="N50" s="294" t="s">
        <v>164</v>
      </c>
      <c r="P50" s="296" t="b">
        <v>1</v>
      </c>
      <c r="Q50" s="299" t="s">
        <v>2360</v>
      </c>
      <c r="R50" s="300">
        <v>215.0</v>
      </c>
    </row>
    <row r="51" ht="15.0" customHeight="1">
      <c r="A51" s="301" t="s">
        <v>3454</v>
      </c>
      <c r="B51" s="302">
        <v>1.0</v>
      </c>
      <c r="C51" s="301" t="s">
        <v>3267</v>
      </c>
      <c r="D51" s="301" t="s">
        <v>304</v>
      </c>
      <c r="E51" s="303" t="b">
        <v>0</v>
      </c>
      <c r="F51" s="301" t="s">
        <v>3280</v>
      </c>
      <c r="G51" s="301" t="s">
        <v>3269</v>
      </c>
      <c r="H51" s="307"/>
      <c r="I51" s="301" t="s">
        <v>3270</v>
      </c>
      <c r="J51" s="305" t="s">
        <v>3455</v>
      </c>
      <c r="K51" s="301" t="s">
        <v>60</v>
      </c>
      <c r="L51" s="307"/>
      <c r="M51" s="307"/>
      <c r="N51" s="307"/>
      <c r="O51" s="301" t="s">
        <v>198</v>
      </c>
      <c r="P51" s="303" t="b">
        <v>0</v>
      </c>
      <c r="Q51" s="299" t="s">
        <v>2360</v>
      </c>
      <c r="R51" s="300">
        <v>215.0</v>
      </c>
    </row>
    <row r="52" ht="15.0" customHeight="1">
      <c r="A52" s="294" t="s">
        <v>1657</v>
      </c>
      <c r="B52" s="295">
        <v>1.0</v>
      </c>
      <c r="C52" s="294" t="s">
        <v>3267</v>
      </c>
      <c r="D52" s="294" t="s">
        <v>301</v>
      </c>
      <c r="E52" s="296" t="b">
        <v>1</v>
      </c>
      <c r="F52" s="294" t="s">
        <v>3280</v>
      </c>
      <c r="G52" s="294" t="s">
        <v>3269</v>
      </c>
      <c r="H52" s="306"/>
      <c r="I52" s="294" t="s">
        <v>3337</v>
      </c>
      <c r="J52" s="298" t="s">
        <v>3456</v>
      </c>
      <c r="K52" s="294" t="s">
        <v>3457</v>
      </c>
      <c r="L52" s="294" t="s">
        <v>3458</v>
      </c>
      <c r="N52" s="294" t="s">
        <v>3459</v>
      </c>
      <c r="P52" s="296" t="b">
        <v>0</v>
      </c>
      <c r="Q52" s="299" t="s">
        <v>2360</v>
      </c>
      <c r="R52" s="300">
        <v>216.0</v>
      </c>
    </row>
    <row r="53" ht="15.0" customHeight="1">
      <c r="A53" s="301" t="s">
        <v>3460</v>
      </c>
      <c r="B53" s="302">
        <v>1.0</v>
      </c>
      <c r="C53" s="301" t="s">
        <v>3267</v>
      </c>
      <c r="D53" s="301" t="s">
        <v>304</v>
      </c>
      <c r="E53" s="303" t="b">
        <v>0</v>
      </c>
      <c r="F53" s="301" t="s">
        <v>3280</v>
      </c>
      <c r="G53" s="301" t="s">
        <v>3269</v>
      </c>
      <c r="H53" s="307"/>
      <c r="I53" s="301" t="s">
        <v>3281</v>
      </c>
      <c r="J53" s="305" t="s">
        <v>3461</v>
      </c>
      <c r="K53" s="301" t="s">
        <v>29</v>
      </c>
      <c r="L53" s="301" t="s">
        <v>3462</v>
      </c>
      <c r="O53" s="301" t="s">
        <v>87</v>
      </c>
      <c r="P53" s="303" t="b">
        <v>0</v>
      </c>
      <c r="Q53" s="299" t="s">
        <v>3296</v>
      </c>
      <c r="R53" s="300">
        <v>150.0</v>
      </c>
    </row>
    <row r="54" ht="15.0" customHeight="1">
      <c r="A54" s="294" t="s">
        <v>3463</v>
      </c>
      <c r="B54" s="295">
        <v>1.0</v>
      </c>
      <c r="C54" s="294" t="s">
        <v>3267</v>
      </c>
      <c r="D54" s="294" t="s">
        <v>304</v>
      </c>
      <c r="E54" s="296" t="b">
        <v>0</v>
      </c>
      <c r="F54" s="294" t="s">
        <v>3280</v>
      </c>
      <c r="G54" s="294" t="s">
        <v>3269</v>
      </c>
      <c r="H54" s="306"/>
      <c r="I54" s="294" t="s">
        <v>3270</v>
      </c>
      <c r="J54" s="298" t="s">
        <v>3464</v>
      </c>
      <c r="K54" s="294" t="s">
        <v>69</v>
      </c>
      <c r="L54" s="294" t="s">
        <v>3446</v>
      </c>
      <c r="P54" s="296" t="b">
        <v>0</v>
      </c>
      <c r="Q54" s="299" t="s">
        <v>2360</v>
      </c>
      <c r="R54" s="300">
        <v>219.0</v>
      </c>
    </row>
    <row r="55" ht="15.0" customHeight="1">
      <c r="A55" s="301" t="s">
        <v>1661</v>
      </c>
      <c r="B55" s="302">
        <v>1.0</v>
      </c>
      <c r="C55" s="301" t="s">
        <v>3267</v>
      </c>
      <c r="D55" s="301" t="s">
        <v>304</v>
      </c>
      <c r="E55" s="303" t="b">
        <v>0</v>
      </c>
      <c r="F55" s="301" t="s">
        <v>3280</v>
      </c>
      <c r="G55" s="301" t="s">
        <v>3269</v>
      </c>
      <c r="H55" s="304"/>
      <c r="I55" s="301" t="s">
        <v>3270</v>
      </c>
      <c r="J55" s="305" t="s">
        <v>3465</v>
      </c>
      <c r="K55" s="301" t="s">
        <v>3466</v>
      </c>
      <c r="L55" s="301" t="s">
        <v>3467</v>
      </c>
      <c r="N55" s="301" t="s">
        <v>3468</v>
      </c>
      <c r="P55" s="303" t="b">
        <v>0</v>
      </c>
      <c r="Q55" s="299" t="s">
        <v>2360</v>
      </c>
      <c r="R55" s="300">
        <v>220.0</v>
      </c>
    </row>
    <row r="56" ht="15.0" customHeight="1">
      <c r="A56" s="294" t="s">
        <v>1647</v>
      </c>
      <c r="B56" s="295">
        <v>1.0</v>
      </c>
      <c r="C56" s="294" t="s">
        <v>3267</v>
      </c>
      <c r="D56" s="294" t="s">
        <v>304</v>
      </c>
      <c r="E56" s="296" t="b">
        <v>0</v>
      </c>
      <c r="F56" s="294" t="s">
        <v>3307</v>
      </c>
      <c r="G56" s="294" t="s">
        <v>3269</v>
      </c>
      <c r="H56" s="297"/>
      <c r="I56" s="294" t="s">
        <v>3270</v>
      </c>
      <c r="J56" s="298" t="s">
        <v>3469</v>
      </c>
      <c r="K56" s="294" t="s">
        <v>3466</v>
      </c>
      <c r="L56" s="294" t="s">
        <v>3470</v>
      </c>
      <c r="N56" s="294" t="s">
        <v>3471</v>
      </c>
      <c r="O56" s="294" t="s">
        <v>234</v>
      </c>
      <c r="P56" s="296" t="b">
        <v>0</v>
      </c>
      <c r="Q56" s="299" t="s">
        <v>3296</v>
      </c>
      <c r="R56" s="300">
        <v>150.0</v>
      </c>
    </row>
    <row r="57" ht="15.0" customHeight="1">
      <c r="A57" s="301" t="s">
        <v>1651</v>
      </c>
      <c r="B57" s="302">
        <v>1.0</v>
      </c>
      <c r="C57" s="301" t="s">
        <v>3267</v>
      </c>
      <c r="D57" s="301" t="s">
        <v>305</v>
      </c>
      <c r="E57" s="303" t="b">
        <v>0</v>
      </c>
      <c r="F57" s="301" t="s">
        <v>3307</v>
      </c>
      <c r="G57" s="301" t="s">
        <v>3288</v>
      </c>
      <c r="H57" s="301" t="s">
        <v>3472</v>
      </c>
      <c r="I57" s="301" t="s">
        <v>3281</v>
      </c>
      <c r="J57" s="305" t="s">
        <v>3473</v>
      </c>
      <c r="K57" s="301" t="s">
        <v>3466</v>
      </c>
      <c r="L57" s="301" t="s">
        <v>3446</v>
      </c>
      <c r="M57" s="301" t="s">
        <v>3474</v>
      </c>
      <c r="O57" s="307"/>
      <c r="P57" s="303" t="b">
        <v>0</v>
      </c>
      <c r="Q57" s="299" t="s">
        <v>3296</v>
      </c>
      <c r="R57" s="300">
        <v>151.0</v>
      </c>
    </row>
    <row r="58" ht="15.0" customHeight="1">
      <c r="A58" s="294" t="s">
        <v>3475</v>
      </c>
      <c r="B58" s="295">
        <v>1.0</v>
      </c>
      <c r="C58" s="294" t="s">
        <v>3267</v>
      </c>
      <c r="D58" s="294" t="s">
        <v>304</v>
      </c>
      <c r="E58" s="296" t="b">
        <v>0</v>
      </c>
      <c r="F58" s="294" t="s">
        <v>3307</v>
      </c>
      <c r="G58" s="294" t="s">
        <v>3269</v>
      </c>
      <c r="H58" s="306"/>
      <c r="I58" s="294" t="s">
        <v>3270</v>
      </c>
      <c r="J58" s="298" t="s">
        <v>3476</v>
      </c>
      <c r="K58" s="294" t="s">
        <v>69</v>
      </c>
      <c r="L58" s="306"/>
      <c r="M58" s="306"/>
      <c r="N58" s="306"/>
      <c r="O58" s="306"/>
      <c r="P58" s="296" t="b">
        <v>0</v>
      </c>
      <c r="Q58" s="299" t="s">
        <v>3296</v>
      </c>
      <c r="R58" s="300">
        <v>151.0</v>
      </c>
    </row>
    <row r="59" ht="15.0" customHeight="1">
      <c r="A59" s="301" t="s">
        <v>1663</v>
      </c>
      <c r="B59" s="302">
        <v>1.0</v>
      </c>
      <c r="C59" s="301" t="s">
        <v>3267</v>
      </c>
      <c r="D59" s="301" t="s">
        <v>304</v>
      </c>
      <c r="E59" s="303" t="b">
        <v>0</v>
      </c>
      <c r="F59" s="301" t="s">
        <v>3307</v>
      </c>
      <c r="G59" s="301" t="s">
        <v>3269</v>
      </c>
      <c r="H59" s="307"/>
      <c r="I59" s="301" t="s">
        <v>3270</v>
      </c>
      <c r="J59" s="305" t="s">
        <v>3477</v>
      </c>
      <c r="K59" s="301" t="s">
        <v>3445</v>
      </c>
      <c r="L59" s="301" t="s">
        <v>3478</v>
      </c>
      <c r="M59" s="301" t="s">
        <v>65</v>
      </c>
      <c r="N59" s="301" t="s">
        <v>3354</v>
      </c>
      <c r="O59" s="301" t="s">
        <v>165</v>
      </c>
      <c r="P59" s="303" t="b">
        <v>0</v>
      </c>
      <c r="Q59" s="299" t="s">
        <v>3296</v>
      </c>
      <c r="R59" s="300">
        <v>151.0</v>
      </c>
    </row>
    <row r="60" ht="15.0" customHeight="1">
      <c r="A60" s="294" t="s">
        <v>3479</v>
      </c>
      <c r="B60" s="295">
        <v>1.0</v>
      </c>
      <c r="C60" s="294" t="s">
        <v>3290</v>
      </c>
      <c r="D60" s="294" t="s">
        <v>299</v>
      </c>
      <c r="E60" s="296" t="b">
        <v>0</v>
      </c>
      <c r="F60" s="294" t="s">
        <v>3312</v>
      </c>
      <c r="G60" s="294" t="s">
        <v>3288</v>
      </c>
      <c r="H60" s="294" t="s">
        <v>3480</v>
      </c>
      <c r="I60" s="294" t="s">
        <v>3481</v>
      </c>
      <c r="J60" s="298" t="s">
        <v>3482</v>
      </c>
      <c r="K60" s="294" t="s">
        <v>3483</v>
      </c>
      <c r="L60" s="294" t="s">
        <v>3484</v>
      </c>
      <c r="N60" s="294" t="s">
        <v>58</v>
      </c>
      <c r="P60" s="296" t="b">
        <v>1</v>
      </c>
      <c r="Q60" s="299" t="s">
        <v>2360</v>
      </c>
      <c r="R60" s="300">
        <v>221.0</v>
      </c>
    </row>
    <row r="61" ht="15.0" customHeight="1">
      <c r="A61" s="301" t="s">
        <v>3485</v>
      </c>
      <c r="B61" s="302">
        <v>1.0</v>
      </c>
      <c r="C61" s="301" t="s">
        <v>3267</v>
      </c>
      <c r="D61" s="301" t="s">
        <v>303</v>
      </c>
      <c r="E61" s="303" t="b">
        <v>0</v>
      </c>
      <c r="F61" s="301" t="s">
        <v>3312</v>
      </c>
      <c r="G61" s="301" t="s">
        <v>3288</v>
      </c>
      <c r="H61" s="301" t="s">
        <v>3486</v>
      </c>
      <c r="I61" s="301" t="s">
        <v>3487</v>
      </c>
      <c r="J61" s="305" t="s">
        <v>3488</v>
      </c>
      <c r="K61" s="301" t="s">
        <v>3489</v>
      </c>
      <c r="L61" s="301" t="s">
        <v>103</v>
      </c>
      <c r="M61" s="307"/>
      <c r="N61" s="301" t="s">
        <v>3490</v>
      </c>
      <c r="O61" s="301" t="s">
        <v>252</v>
      </c>
      <c r="P61" s="303" t="b">
        <v>0</v>
      </c>
      <c r="Q61" s="299" t="s">
        <v>2360</v>
      </c>
      <c r="R61" s="300">
        <v>221.0</v>
      </c>
    </row>
    <row r="62" ht="15.0" customHeight="1">
      <c r="A62" s="294" t="s">
        <v>3491</v>
      </c>
      <c r="B62" s="295">
        <v>1.0</v>
      </c>
      <c r="C62" s="294" t="s">
        <v>3267</v>
      </c>
      <c r="D62" s="294" t="s">
        <v>303</v>
      </c>
      <c r="E62" s="296" t="b">
        <v>1</v>
      </c>
      <c r="F62" s="294" t="s">
        <v>3312</v>
      </c>
      <c r="G62" s="294" t="s">
        <v>3288</v>
      </c>
      <c r="H62" s="294" t="s">
        <v>3492</v>
      </c>
      <c r="I62" s="294" t="s">
        <v>3290</v>
      </c>
      <c r="J62" s="298" t="s">
        <v>3493</v>
      </c>
      <c r="K62" s="294" t="s">
        <v>3494</v>
      </c>
      <c r="L62" s="294" t="s">
        <v>3495</v>
      </c>
      <c r="P62" s="296" t="b">
        <v>0</v>
      </c>
      <c r="Q62" s="299" t="s">
        <v>2360</v>
      </c>
      <c r="R62" s="300">
        <v>222.0</v>
      </c>
    </row>
    <row r="63" ht="15.0" customHeight="1">
      <c r="A63" s="301" t="s">
        <v>3496</v>
      </c>
      <c r="B63" s="302">
        <v>1.0</v>
      </c>
      <c r="C63" s="301" t="s">
        <v>3267</v>
      </c>
      <c r="D63" s="301" t="s">
        <v>303</v>
      </c>
      <c r="E63" s="303" t="b">
        <v>1</v>
      </c>
      <c r="F63" s="301" t="s">
        <v>3312</v>
      </c>
      <c r="G63" s="301" t="s">
        <v>3288</v>
      </c>
      <c r="H63" s="301" t="s">
        <v>3497</v>
      </c>
      <c r="I63" s="301" t="s">
        <v>3290</v>
      </c>
      <c r="J63" s="305" t="s">
        <v>3498</v>
      </c>
      <c r="K63" s="301" t="s">
        <v>3499</v>
      </c>
      <c r="L63" s="301" t="s">
        <v>3500</v>
      </c>
      <c r="P63" s="303" t="b">
        <v>0</v>
      </c>
      <c r="Q63" s="299" t="s">
        <v>2360</v>
      </c>
      <c r="R63" s="300">
        <v>223.0</v>
      </c>
    </row>
    <row r="64" ht="15.0" customHeight="1">
      <c r="A64" s="294" t="s">
        <v>3501</v>
      </c>
      <c r="B64" s="295">
        <v>1.0</v>
      </c>
      <c r="C64" s="294" t="s">
        <v>3267</v>
      </c>
      <c r="D64" s="294" t="s">
        <v>303</v>
      </c>
      <c r="E64" s="296" t="b">
        <v>0</v>
      </c>
      <c r="F64" s="294" t="s">
        <v>3312</v>
      </c>
      <c r="G64" s="294" t="s">
        <v>3269</v>
      </c>
      <c r="H64" s="306"/>
      <c r="I64" s="294" t="s">
        <v>3337</v>
      </c>
      <c r="J64" s="298" t="s">
        <v>3502</v>
      </c>
      <c r="K64" s="294" t="s">
        <v>3503</v>
      </c>
      <c r="L64" s="294" t="s">
        <v>3504</v>
      </c>
      <c r="N64" s="294" t="s">
        <v>3505</v>
      </c>
      <c r="O64" s="294" t="s">
        <v>252</v>
      </c>
      <c r="P64" s="296" t="b">
        <v>0</v>
      </c>
      <c r="Q64" s="299" t="s">
        <v>2360</v>
      </c>
      <c r="R64" s="300">
        <v>224.0</v>
      </c>
    </row>
    <row r="65" ht="15.0" customHeight="1">
      <c r="A65" s="301" t="s">
        <v>3506</v>
      </c>
      <c r="B65" s="302">
        <v>1.0</v>
      </c>
      <c r="C65" s="301" t="s">
        <v>3418</v>
      </c>
      <c r="D65" s="301" t="s">
        <v>303</v>
      </c>
      <c r="E65" s="303" t="b">
        <v>1</v>
      </c>
      <c r="F65" s="301" t="s">
        <v>3312</v>
      </c>
      <c r="G65" s="301" t="s">
        <v>3308</v>
      </c>
      <c r="H65" s="307"/>
      <c r="I65" s="301" t="s">
        <v>3290</v>
      </c>
      <c r="J65" s="305" t="s">
        <v>3507</v>
      </c>
      <c r="K65" s="301" t="s">
        <v>48</v>
      </c>
      <c r="L65" s="301" t="s">
        <v>3508</v>
      </c>
      <c r="N65" s="301" t="s">
        <v>188</v>
      </c>
      <c r="O65" s="301" t="s">
        <v>165</v>
      </c>
      <c r="P65" s="303" t="b">
        <v>0</v>
      </c>
      <c r="Q65" s="299" t="s">
        <v>2360</v>
      </c>
      <c r="R65" s="300">
        <v>224.0</v>
      </c>
    </row>
    <row r="66" ht="15.0" customHeight="1">
      <c r="A66" s="294" t="s">
        <v>3509</v>
      </c>
      <c r="B66" s="295">
        <v>1.0</v>
      </c>
      <c r="C66" s="294" t="s">
        <v>3267</v>
      </c>
      <c r="D66" s="294" t="s">
        <v>310</v>
      </c>
      <c r="E66" s="296" t="b">
        <v>0</v>
      </c>
      <c r="F66" s="294" t="s">
        <v>3312</v>
      </c>
      <c r="G66" s="294" t="s">
        <v>3288</v>
      </c>
      <c r="H66" s="294" t="s">
        <v>3510</v>
      </c>
      <c r="I66" s="294" t="s">
        <v>3270</v>
      </c>
      <c r="J66" s="298" t="s">
        <v>3511</v>
      </c>
      <c r="K66" s="294" t="s">
        <v>3512</v>
      </c>
      <c r="L66" s="294" t="s">
        <v>3513</v>
      </c>
      <c r="N66" s="294" t="s">
        <v>101</v>
      </c>
      <c r="O66" s="294" t="s">
        <v>198</v>
      </c>
      <c r="P66" s="296" t="b">
        <v>0</v>
      </c>
      <c r="Q66" s="299" t="s">
        <v>2360</v>
      </c>
      <c r="R66" s="300">
        <v>229.0</v>
      </c>
    </row>
    <row r="67" ht="15.0" customHeight="1">
      <c r="A67" s="301" t="s">
        <v>3514</v>
      </c>
      <c r="B67" s="302">
        <v>1.0</v>
      </c>
      <c r="C67" s="301" t="s">
        <v>3418</v>
      </c>
      <c r="D67" s="301" t="s">
        <v>299</v>
      </c>
      <c r="E67" s="303" t="b">
        <v>0</v>
      </c>
      <c r="F67" s="301" t="s">
        <v>3312</v>
      </c>
      <c r="G67" s="301" t="s">
        <v>3288</v>
      </c>
      <c r="H67" s="301" t="s">
        <v>3515</v>
      </c>
      <c r="I67" s="301" t="s">
        <v>3290</v>
      </c>
      <c r="J67" s="305" t="s">
        <v>3516</v>
      </c>
      <c r="K67" s="301" t="s">
        <v>3517</v>
      </c>
      <c r="L67" s="301" t="s">
        <v>3518</v>
      </c>
      <c r="P67" s="303" t="b">
        <v>0</v>
      </c>
      <c r="Q67" s="299" t="s">
        <v>2360</v>
      </c>
      <c r="R67" s="300">
        <v>230.0</v>
      </c>
    </row>
    <row r="68" ht="15.0" customHeight="1">
      <c r="A68" s="294" t="s">
        <v>3519</v>
      </c>
      <c r="B68" s="295">
        <v>1.0</v>
      </c>
      <c r="C68" s="294" t="s">
        <v>3267</v>
      </c>
      <c r="D68" s="294" t="s">
        <v>304</v>
      </c>
      <c r="E68" s="296" t="b">
        <v>1</v>
      </c>
      <c r="F68" s="294" t="s">
        <v>3312</v>
      </c>
      <c r="G68" s="294" t="s">
        <v>3288</v>
      </c>
      <c r="H68" s="294" t="s">
        <v>3520</v>
      </c>
      <c r="I68" s="294" t="s">
        <v>3290</v>
      </c>
      <c r="J68" s="298" t="s">
        <v>3521</v>
      </c>
      <c r="K68" s="294" t="s">
        <v>12</v>
      </c>
      <c r="L68" s="306"/>
      <c r="M68" s="294" t="s">
        <v>3466</v>
      </c>
      <c r="O68" s="306"/>
      <c r="P68" s="296" t="b">
        <v>0</v>
      </c>
      <c r="Q68" s="299" t="s">
        <v>2360</v>
      </c>
      <c r="R68" s="300">
        <v>231.0</v>
      </c>
    </row>
    <row r="69" ht="15.0" customHeight="1">
      <c r="A69" s="301" t="s">
        <v>3522</v>
      </c>
      <c r="B69" s="302">
        <v>1.0</v>
      </c>
      <c r="C69" s="301" t="s">
        <v>3267</v>
      </c>
      <c r="D69" s="301" t="s">
        <v>303</v>
      </c>
      <c r="E69" s="303" t="b">
        <v>1</v>
      </c>
      <c r="F69" s="301" t="s">
        <v>3312</v>
      </c>
      <c r="G69" s="301" t="s">
        <v>3288</v>
      </c>
      <c r="H69" s="301" t="s">
        <v>3523</v>
      </c>
      <c r="I69" s="301" t="s">
        <v>3290</v>
      </c>
      <c r="J69" s="305" t="s">
        <v>3524</v>
      </c>
      <c r="K69" s="301" t="s">
        <v>3525</v>
      </c>
      <c r="L69" s="301" t="s">
        <v>3526</v>
      </c>
      <c r="N69" s="301" t="s">
        <v>3354</v>
      </c>
      <c r="P69" s="303" t="b">
        <v>0</v>
      </c>
      <c r="Q69" s="299" t="s">
        <v>2360</v>
      </c>
      <c r="R69" s="300">
        <v>231.0</v>
      </c>
    </row>
    <row r="70" ht="15.0" customHeight="1">
      <c r="A70" s="294" t="s">
        <v>3527</v>
      </c>
      <c r="B70" s="295">
        <v>1.0</v>
      </c>
      <c r="C70" s="294" t="s">
        <v>3267</v>
      </c>
      <c r="D70" s="294" t="s">
        <v>301</v>
      </c>
      <c r="E70" s="296" t="b">
        <v>0</v>
      </c>
      <c r="F70" s="294" t="s">
        <v>3312</v>
      </c>
      <c r="G70" s="294" t="s">
        <v>3288</v>
      </c>
      <c r="H70" s="294" t="s">
        <v>3528</v>
      </c>
      <c r="I70" s="294" t="s">
        <v>3337</v>
      </c>
      <c r="J70" s="298" t="s">
        <v>3529</v>
      </c>
      <c r="K70" s="294" t="s">
        <v>69</v>
      </c>
      <c r="L70" s="294" t="s">
        <v>3446</v>
      </c>
      <c r="N70" s="294" t="s">
        <v>3530</v>
      </c>
      <c r="P70" s="296" t="b">
        <v>1</v>
      </c>
      <c r="Q70" s="299" t="s">
        <v>2360</v>
      </c>
      <c r="R70" s="300">
        <v>231.0</v>
      </c>
    </row>
    <row r="71" ht="15.0" customHeight="1">
      <c r="A71" s="301" t="s">
        <v>3531</v>
      </c>
      <c r="B71" s="302">
        <v>1.0</v>
      </c>
      <c r="C71" s="301" t="s">
        <v>3267</v>
      </c>
      <c r="D71" s="301" t="s">
        <v>304</v>
      </c>
      <c r="E71" s="303" t="b">
        <v>1</v>
      </c>
      <c r="F71" s="301" t="s">
        <v>3312</v>
      </c>
      <c r="G71" s="301" t="s">
        <v>3288</v>
      </c>
      <c r="H71" s="301" t="s">
        <v>3532</v>
      </c>
      <c r="I71" s="301" t="s">
        <v>3290</v>
      </c>
      <c r="J71" s="305" t="s">
        <v>3533</v>
      </c>
      <c r="K71" s="301" t="s">
        <v>3283</v>
      </c>
      <c r="L71" s="301" t="s">
        <v>3446</v>
      </c>
      <c r="P71" s="303" t="b">
        <v>0</v>
      </c>
      <c r="Q71" s="299" t="s">
        <v>2360</v>
      </c>
      <c r="R71" s="300">
        <v>233.0</v>
      </c>
    </row>
    <row r="72" ht="15.0" customHeight="1">
      <c r="A72" s="294" t="s">
        <v>3534</v>
      </c>
      <c r="B72" s="295">
        <v>1.0</v>
      </c>
      <c r="C72" s="294" t="s">
        <v>3267</v>
      </c>
      <c r="D72" s="294" t="s">
        <v>310</v>
      </c>
      <c r="E72" s="296" t="b">
        <v>0</v>
      </c>
      <c r="F72" s="294" t="s">
        <v>3370</v>
      </c>
      <c r="G72" s="294" t="s">
        <v>3336</v>
      </c>
      <c r="H72" s="306"/>
      <c r="I72" s="294" t="s">
        <v>3270</v>
      </c>
      <c r="J72" s="298" t="s">
        <v>3535</v>
      </c>
      <c r="K72" s="294" t="s">
        <v>3298</v>
      </c>
      <c r="L72" s="294" t="s">
        <v>3446</v>
      </c>
      <c r="P72" s="296" t="b">
        <v>0</v>
      </c>
      <c r="Q72" s="299" t="s">
        <v>2360</v>
      </c>
      <c r="R72" s="300">
        <v>234.0</v>
      </c>
    </row>
    <row r="73" ht="15.0" customHeight="1">
      <c r="A73" s="301" t="s">
        <v>3536</v>
      </c>
      <c r="B73" s="302">
        <v>1.0</v>
      </c>
      <c r="C73" s="301" t="s">
        <v>3267</v>
      </c>
      <c r="D73" s="301" t="s">
        <v>308</v>
      </c>
      <c r="E73" s="303" t="b">
        <v>1</v>
      </c>
      <c r="F73" s="301" t="s">
        <v>3370</v>
      </c>
      <c r="G73" s="301" t="s">
        <v>3308</v>
      </c>
      <c r="H73" s="307"/>
      <c r="I73" s="301" t="s">
        <v>3290</v>
      </c>
      <c r="J73" s="305" t="s">
        <v>3537</v>
      </c>
      <c r="K73" s="301" t="s">
        <v>3538</v>
      </c>
      <c r="L73" s="301" t="s">
        <v>3446</v>
      </c>
      <c r="M73" s="301" t="s">
        <v>3494</v>
      </c>
      <c r="O73" s="307"/>
      <c r="P73" s="303" t="b">
        <v>0</v>
      </c>
      <c r="Q73" s="299" t="s">
        <v>2218</v>
      </c>
      <c r="R73" s="300">
        <v>75.0</v>
      </c>
    </row>
    <row r="74" ht="15.0" customHeight="1">
      <c r="A74" s="294" t="s">
        <v>3539</v>
      </c>
      <c r="B74" s="295">
        <v>1.0</v>
      </c>
      <c r="C74" s="294" t="s">
        <v>3267</v>
      </c>
      <c r="D74" s="294" t="s">
        <v>303</v>
      </c>
      <c r="E74" s="296" t="b">
        <v>0</v>
      </c>
      <c r="F74" s="294" t="s">
        <v>3370</v>
      </c>
      <c r="G74" s="294" t="s">
        <v>3308</v>
      </c>
      <c r="H74" s="306"/>
      <c r="I74" s="294" t="s">
        <v>3281</v>
      </c>
      <c r="J74" s="298" t="s">
        <v>3540</v>
      </c>
      <c r="K74" s="294" t="s">
        <v>3499</v>
      </c>
      <c r="L74" s="294" t="s">
        <v>3541</v>
      </c>
      <c r="M74" s="294" t="s">
        <v>3474</v>
      </c>
      <c r="O74" s="294" t="s">
        <v>3542</v>
      </c>
      <c r="P74" s="296" t="b">
        <v>0</v>
      </c>
      <c r="Q74" s="299" t="s">
        <v>2360</v>
      </c>
      <c r="R74" s="300">
        <v>234.0</v>
      </c>
    </row>
    <row r="75" ht="15.0" customHeight="1">
      <c r="A75" s="301" t="s">
        <v>3543</v>
      </c>
      <c r="B75" s="302">
        <v>1.0</v>
      </c>
      <c r="C75" s="301" t="s">
        <v>3267</v>
      </c>
      <c r="D75" s="301" t="s">
        <v>303</v>
      </c>
      <c r="E75" s="303" t="b">
        <v>0</v>
      </c>
      <c r="F75" s="301" t="s">
        <v>3370</v>
      </c>
      <c r="G75" s="301" t="s">
        <v>3308</v>
      </c>
      <c r="H75" s="304"/>
      <c r="I75" s="301" t="s">
        <v>3270</v>
      </c>
      <c r="J75" s="305" t="s">
        <v>3544</v>
      </c>
      <c r="K75" s="301" t="s">
        <v>23</v>
      </c>
      <c r="L75" s="301" t="s">
        <v>3545</v>
      </c>
      <c r="O75" s="301" t="s">
        <v>234</v>
      </c>
      <c r="P75" s="303" t="b">
        <v>0</v>
      </c>
      <c r="Q75" s="299" t="s">
        <v>3296</v>
      </c>
      <c r="R75" s="300">
        <v>155.0</v>
      </c>
    </row>
    <row r="76" ht="15.0" customHeight="1">
      <c r="A76" s="294" t="s">
        <v>1653</v>
      </c>
      <c r="B76" s="295">
        <v>1.0</v>
      </c>
      <c r="C76" s="294" t="s">
        <v>3267</v>
      </c>
      <c r="D76" s="294" t="s">
        <v>304</v>
      </c>
      <c r="E76" s="296" t="b">
        <v>1</v>
      </c>
      <c r="F76" s="294" t="s">
        <v>3370</v>
      </c>
      <c r="G76" s="294" t="s">
        <v>3308</v>
      </c>
      <c r="H76" s="306"/>
      <c r="I76" s="294" t="s">
        <v>3290</v>
      </c>
      <c r="J76" s="298" t="s">
        <v>3546</v>
      </c>
      <c r="K76" s="294" t="s">
        <v>3547</v>
      </c>
      <c r="L76" s="294" t="s">
        <v>3548</v>
      </c>
      <c r="N76" s="294" t="s">
        <v>3549</v>
      </c>
      <c r="P76" s="296" t="b">
        <v>0</v>
      </c>
      <c r="Q76" s="299" t="s">
        <v>2360</v>
      </c>
      <c r="R76" s="300">
        <v>237.0</v>
      </c>
    </row>
    <row r="77" ht="15.0" customHeight="1">
      <c r="A77" s="301" t="s">
        <v>3550</v>
      </c>
      <c r="B77" s="302">
        <v>1.0</v>
      </c>
      <c r="C77" s="301" t="s">
        <v>3551</v>
      </c>
      <c r="D77" s="301" t="s">
        <v>310</v>
      </c>
      <c r="E77" s="303" t="b">
        <v>0</v>
      </c>
      <c r="F77" s="301" t="s">
        <v>3370</v>
      </c>
      <c r="G77" s="301" t="s">
        <v>3367</v>
      </c>
      <c r="H77" s="301" t="s">
        <v>3552</v>
      </c>
      <c r="I77" s="301" t="s">
        <v>3290</v>
      </c>
      <c r="J77" s="305" t="s">
        <v>3553</v>
      </c>
      <c r="K77" s="301" t="s">
        <v>3292</v>
      </c>
      <c r="L77" s="301" t="s">
        <v>297</v>
      </c>
      <c r="M77" s="307"/>
      <c r="N77" s="301" t="s">
        <v>140</v>
      </c>
      <c r="P77" s="303" t="b">
        <v>0</v>
      </c>
      <c r="Q77" s="299" t="s">
        <v>2360</v>
      </c>
      <c r="R77" s="300">
        <v>238.0</v>
      </c>
    </row>
    <row r="78" ht="15.0" customHeight="1">
      <c r="A78" s="294" t="s">
        <v>3554</v>
      </c>
      <c r="B78" s="295">
        <v>1.0</v>
      </c>
      <c r="C78" s="294" t="s">
        <v>3267</v>
      </c>
      <c r="D78" s="294" t="s">
        <v>301</v>
      </c>
      <c r="E78" s="296" t="b">
        <v>0</v>
      </c>
      <c r="F78" s="294" t="s">
        <v>3370</v>
      </c>
      <c r="G78" s="294" t="s">
        <v>3288</v>
      </c>
      <c r="H78" s="294" t="s">
        <v>3555</v>
      </c>
      <c r="I78" s="294" t="s">
        <v>3290</v>
      </c>
      <c r="J78" s="298" t="s">
        <v>3556</v>
      </c>
      <c r="K78" s="294" t="s">
        <v>3557</v>
      </c>
      <c r="L78" s="294" t="s">
        <v>3446</v>
      </c>
      <c r="M78" s="294" t="s">
        <v>3558</v>
      </c>
      <c r="O78" s="306"/>
      <c r="P78" s="296" t="b">
        <v>0</v>
      </c>
      <c r="Q78" s="299" t="s">
        <v>2360</v>
      </c>
      <c r="R78" s="300">
        <v>238.0</v>
      </c>
    </row>
    <row r="79" ht="15.0" customHeight="1">
      <c r="A79" s="301" t="s">
        <v>3559</v>
      </c>
      <c r="B79" s="302">
        <v>1.0</v>
      </c>
      <c r="C79" s="301" t="s">
        <v>3418</v>
      </c>
      <c r="D79" s="301" t="s">
        <v>304</v>
      </c>
      <c r="E79" s="303" t="b">
        <v>0</v>
      </c>
      <c r="F79" s="301" t="s">
        <v>3370</v>
      </c>
      <c r="G79" s="301" t="s">
        <v>3308</v>
      </c>
      <c r="H79" s="307"/>
      <c r="I79" s="301" t="s">
        <v>3270</v>
      </c>
      <c r="J79" s="305" t="s">
        <v>3560</v>
      </c>
      <c r="K79" s="301" t="s">
        <v>3561</v>
      </c>
      <c r="L79" s="301" t="s">
        <v>3453</v>
      </c>
      <c r="N79" s="301" t="s">
        <v>161</v>
      </c>
      <c r="P79" s="303" t="b">
        <v>0</v>
      </c>
      <c r="Q79" s="299" t="s">
        <v>2360</v>
      </c>
      <c r="R79" s="300">
        <v>239.0</v>
      </c>
    </row>
    <row r="80" ht="15.0" customHeight="1">
      <c r="A80" s="294" t="s">
        <v>3562</v>
      </c>
      <c r="B80" s="295">
        <v>1.0</v>
      </c>
      <c r="C80" s="294" t="s">
        <v>3551</v>
      </c>
      <c r="D80" s="294" t="s">
        <v>304</v>
      </c>
      <c r="E80" s="296" t="b">
        <v>0</v>
      </c>
      <c r="F80" s="294" t="s">
        <v>3370</v>
      </c>
      <c r="G80" s="294" t="s">
        <v>3269</v>
      </c>
      <c r="H80" s="306"/>
      <c r="I80" s="294" t="s">
        <v>3270</v>
      </c>
      <c r="J80" s="298" t="s">
        <v>3563</v>
      </c>
      <c r="K80" s="294" t="s">
        <v>65</v>
      </c>
      <c r="L80" s="294" t="s">
        <v>232</v>
      </c>
      <c r="N80" s="294" t="s">
        <v>3564</v>
      </c>
      <c r="O80" s="294" t="s">
        <v>234</v>
      </c>
      <c r="P80" s="296" t="b">
        <v>0</v>
      </c>
      <c r="Q80" s="299" t="s">
        <v>2360</v>
      </c>
      <c r="R80" s="300">
        <v>239.0</v>
      </c>
    </row>
    <row r="81" ht="15.0" customHeight="1">
      <c r="A81" s="301" t="s">
        <v>3565</v>
      </c>
      <c r="B81" s="302">
        <v>1.0</v>
      </c>
      <c r="C81" s="301" t="s">
        <v>3267</v>
      </c>
      <c r="D81" s="301" t="s">
        <v>301</v>
      </c>
      <c r="E81" s="303" t="b">
        <v>0</v>
      </c>
      <c r="F81" s="301" t="s">
        <v>3370</v>
      </c>
      <c r="G81" s="301" t="s">
        <v>3329</v>
      </c>
      <c r="H81" s="301" t="s">
        <v>3566</v>
      </c>
      <c r="I81" s="301" t="s">
        <v>3270</v>
      </c>
      <c r="J81" s="305" t="s">
        <v>3567</v>
      </c>
      <c r="K81" s="301" t="s">
        <v>3319</v>
      </c>
      <c r="L81" s="301" t="s">
        <v>3446</v>
      </c>
      <c r="P81" s="303" t="b">
        <v>0</v>
      </c>
      <c r="Q81" s="299" t="s">
        <v>2360</v>
      </c>
      <c r="R81" s="300">
        <v>239.0</v>
      </c>
    </row>
    <row r="82" ht="15.0" customHeight="1">
      <c r="A82" s="294" t="s">
        <v>3568</v>
      </c>
      <c r="B82" s="295">
        <v>1.0</v>
      </c>
      <c r="C82" s="294" t="s">
        <v>3267</v>
      </c>
      <c r="D82" s="294" t="s">
        <v>310</v>
      </c>
      <c r="E82" s="296" t="b">
        <v>0</v>
      </c>
      <c r="F82" s="294" t="s">
        <v>3370</v>
      </c>
      <c r="G82" s="294" t="s">
        <v>3269</v>
      </c>
      <c r="H82" s="306"/>
      <c r="I82" s="294" t="s">
        <v>3281</v>
      </c>
      <c r="J82" s="298" t="s">
        <v>3569</v>
      </c>
      <c r="K82" s="306"/>
      <c r="L82" s="294" t="s">
        <v>3570</v>
      </c>
      <c r="N82" s="306"/>
      <c r="O82" s="306"/>
      <c r="P82" s="296" t="b">
        <v>0</v>
      </c>
      <c r="Q82" s="299" t="s">
        <v>2360</v>
      </c>
      <c r="R82" s="300">
        <v>240.0</v>
      </c>
    </row>
    <row r="83" ht="15.0" customHeight="1">
      <c r="A83" s="301" t="s">
        <v>3571</v>
      </c>
      <c r="B83" s="302">
        <v>1.0</v>
      </c>
      <c r="C83" s="301" t="s">
        <v>3267</v>
      </c>
      <c r="D83" s="301" t="s">
        <v>308</v>
      </c>
      <c r="E83" s="303" t="b">
        <v>0</v>
      </c>
      <c r="F83" s="301" t="s">
        <v>3370</v>
      </c>
      <c r="G83" s="301" t="s">
        <v>3269</v>
      </c>
      <c r="H83" s="307"/>
      <c r="I83" s="301" t="s">
        <v>3270</v>
      </c>
      <c r="J83" s="305" t="s">
        <v>3572</v>
      </c>
      <c r="K83" s="301" t="s">
        <v>3466</v>
      </c>
      <c r="L83" s="301" t="s">
        <v>3573</v>
      </c>
      <c r="N83" s="301" t="s">
        <v>3574</v>
      </c>
      <c r="O83" s="301" t="s">
        <v>162</v>
      </c>
      <c r="P83" s="303" t="b">
        <v>0</v>
      </c>
      <c r="Q83" s="299" t="s">
        <v>2360</v>
      </c>
      <c r="R83" s="300">
        <v>243.0</v>
      </c>
    </row>
    <row r="84" ht="15.0" customHeight="1">
      <c r="A84" s="294" t="s">
        <v>3575</v>
      </c>
      <c r="B84" s="295">
        <v>1.0</v>
      </c>
      <c r="C84" s="294" t="s">
        <v>3418</v>
      </c>
      <c r="D84" s="294" t="s">
        <v>299</v>
      </c>
      <c r="E84" s="296" t="b">
        <v>1</v>
      </c>
      <c r="F84" s="294" t="s">
        <v>3370</v>
      </c>
      <c r="G84" s="294" t="s">
        <v>3288</v>
      </c>
      <c r="H84" s="294" t="s">
        <v>3576</v>
      </c>
      <c r="I84" s="294" t="s">
        <v>3404</v>
      </c>
      <c r="J84" s="298" t="s">
        <v>3577</v>
      </c>
      <c r="K84" s="294" t="s">
        <v>3578</v>
      </c>
      <c r="L84" s="294" t="s">
        <v>3579</v>
      </c>
      <c r="N84" s="294" t="s">
        <v>188</v>
      </c>
      <c r="P84" s="296" t="b">
        <v>0</v>
      </c>
      <c r="Q84" s="299" t="s">
        <v>3580</v>
      </c>
      <c r="R84" s="300">
        <v>318.0</v>
      </c>
    </row>
    <row r="85" ht="15.0" customHeight="1">
      <c r="A85" s="301" t="s">
        <v>3581</v>
      </c>
      <c r="B85" s="302">
        <v>1.0</v>
      </c>
      <c r="C85" s="301" t="s">
        <v>3267</v>
      </c>
      <c r="D85" s="301" t="s">
        <v>305</v>
      </c>
      <c r="E85" s="303" t="b">
        <v>1</v>
      </c>
      <c r="F85" s="301" t="s">
        <v>3370</v>
      </c>
      <c r="G85" s="301" t="s">
        <v>3288</v>
      </c>
      <c r="H85" s="301" t="s">
        <v>3330</v>
      </c>
      <c r="I85" s="301" t="s">
        <v>3404</v>
      </c>
      <c r="J85" s="305" t="s">
        <v>3582</v>
      </c>
      <c r="K85" s="301" t="s">
        <v>3583</v>
      </c>
      <c r="L85" s="301" t="s">
        <v>3446</v>
      </c>
      <c r="N85" s="301" t="s">
        <v>77</v>
      </c>
      <c r="P85" s="303" t="b">
        <v>0</v>
      </c>
      <c r="Q85" s="299" t="s">
        <v>3392</v>
      </c>
      <c r="R85" s="300">
        <v>186.0</v>
      </c>
    </row>
    <row r="86" ht="15.0" customHeight="1">
      <c r="A86" s="294" t="s">
        <v>3584</v>
      </c>
      <c r="B86" s="295">
        <v>1.0</v>
      </c>
      <c r="C86" s="294" t="s">
        <v>3267</v>
      </c>
      <c r="D86" s="294" t="s">
        <v>301</v>
      </c>
      <c r="E86" s="296" t="b">
        <v>0</v>
      </c>
      <c r="F86" s="294" t="s">
        <v>3370</v>
      </c>
      <c r="G86" s="294" t="s">
        <v>3288</v>
      </c>
      <c r="H86" s="294" t="s">
        <v>3585</v>
      </c>
      <c r="I86" s="294" t="s">
        <v>3337</v>
      </c>
      <c r="J86" s="298" t="s">
        <v>3586</v>
      </c>
      <c r="K86" s="294" t="s">
        <v>3587</v>
      </c>
      <c r="L86" s="294" t="s">
        <v>3446</v>
      </c>
      <c r="N86" s="294" t="s">
        <v>164</v>
      </c>
      <c r="O86" s="294" t="s">
        <v>198</v>
      </c>
      <c r="P86" s="296" t="b">
        <v>1</v>
      </c>
      <c r="Q86" s="299" t="s">
        <v>2360</v>
      </c>
      <c r="R86" s="300">
        <v>246.0</v>
      </c>
    </row>
    <row r="87" ht="15.0" customHeight="1">
      <c r="A87" s="301" t="s">
        <v>1649</v>
      </c>
      <c r="B87" s="302">
        <v>1.0</v>
      </c>
      <c r="C87" s="301" t="s">
        <v>3267</v>
      </c>
      <c r="D87" s="301" t="s">
        <v>304</v>
      </c>
      <c r="E87" s="303" t="b">
        <v>0</v>
      </c>
      <c r="F87" s="301" t="s">
        <v>3588</v>
      </c>
      <c r="G87" s="301" t="s">
        <v>3288</v>
      </c>
      <c r="H87" s="301" t="s">
        <v>3589</v>
      </c>
      <c r="I87" s="301" t="s">
        <v>3270</v>
      </c>
      <c r="J87" s="305" t="s">
        <v>3590</v>
      </c>
      <c r="K87" s="301" t="s">
        <v>3466</v>
      </c>
      <c r="L87" s="301" t="s">
        <v>3591</v>
      </c>
      <c r="P87" s="303" t="b">
        <v>0</v>
      </c>
      <c r="Q87" s="299" t="s">
        <v>2360</v>
      </c>
      <c r="R87" s="300">
        <v>246.0</v>
      </c>
    </row>
    <row r="88" ht="15.0" customHeight="1">
      <c r="A88" s="294" t="s">
        <v>2073</v>
      </c>
      <c r="B88" s="295">
        <v>1.0</v>
      </c>
      <c r="C88" s="294" t="s">
        <v>3267</v>
      </c>
      <c r="D88" s="294" t="s">
        <v>301</v>
      </c>
      <c r="E88" s="296" t="b">
        <v>1</v>
      </c>
      <c r="F88" s="294" t="s">
        <v>3588</v>
      </c>
      <c r="G88" s="294" t="s">
        <v>3269</v>
      </c>
      <c r="H88" s="306"/>
      <c r="I88" s="294" t="s">
        <v>3290</v>
      </c>
      <c r="J88" s="298" t="s">
        <v>3592</v>
      </c>
      <c r="K88" s="294" t="s">
        <v>35</v>
      </c>
      <c r="L88" s="294" t="s">
        <v>3593</v>
      </c>
      <c r="M88" s="294" t="s">
        <v>3594</v>
      </c>
      <c r="O88" s="294" t="s">
        <v>162</v>
      </c>
      <c r="P88" s="296" t="b">
        <v>0</v>
      </c>
      <c r="Q88" s="299" t="s">
        <v>2360</v>
      </c>
      <c r="R88" s="300">
        <v>248.0</v>
      </c>
    </row>
    <row r="89" ht="15.0" customHeight="1">
      <c r="A89" s="301" t="s">
        <v>3595</v>
      </c>
      <c r="B89" s="302">
        <v>1.0</v>
      </c>
      <c r="C89" s="301" t="s">
        <v>3418</v>
      </c>
      <c r="D89" s="301" t="s">
        <v>303</v>
      </c>
      <c r="E89" s="303" t="b">
        <v>1</v>
      </c>
      <c r="F89" s="301" t="s">
        <v>3588</v>
      </c>
      <c r="G89" s="301" t="s">
        <v>3288</v>
      </c>
      <c r="H89" s="301" t="s">
        <v>3596</v>
      </c>
      <c r="I89" s="301" t="s">
        <v>3337</v>
      </c>
      <c r="J89" s="305" t="s">
        <v>3597</v>
      </c>
      <c r="K89" s="301" t="s">
        <v>65</v>
      </c>
      <c r="L89" s="301" t="s">
        <v>1669</v>
      </c>
      <c r="M89" s="307"/>
      <c r="N89" s="301" t="s">
        <v>3598</v>
      </c>
      <c r="P89" s="303" t="b">
        <v>0</v>
      </c>
      <c r="Q89" s="299" t="s">
        <v>2360</v>
      </c>
      <c r="R89" s="300">
        <v>249.0</v>
      </c>
    </row>
    <row r="90" ht="15.0" customHeight="1">
      <c r="A90" s="294" t="s">
        <v>3599</v>
      </c>
      <c r="B90" s="295">
        <v>1.0</v>
      </c>
      <c r="C90" s="294" t="s">
        <v>3418</v>
      </c>
      <c r="D90" s="294" t="s">
        <v>302</v>
      </c>
      <c r="E90" s="296" t="b">
        <v>1</v>
      </c>
      <c r="F90" s="294" t="s">
        <v>3588</v>
      </c>
      <c r="G90" s="294" t="s">
        <v>3308</v>
      </c>
      <c r="H90" s="306"/>
      <c r="I90" s="294" t="s">
        <v>3337</v>
      </c>
      <c r="J90" s="298" t="s">
        <v>3600</v>
      </c>
      <c r="K90" s="294" t="s">
        <v>52</v>
      </c>
      <c r="L90" s="294" t="s">
        <v>229</v>
      </c>
      <c r="N90" s="294" t="s">
        <v>3601</v>
      </c>
      <c r="P90" s="296" t="b">
        <v>0</v>
      </c>
      <c r="Q90" s="299" t="s">
        <v>2360</v>
      </c>
      <c r="R90" s="300">
        <v>250.0</v>
      </c>
    </row>
    <row r="91" ht="15.0" customHeight="1">
      <c r="A91" s="301" t="s">
        <v>3602</v>
      </c>
      <c r="B91" s="302">
        <v>1.0</v>
      </c>
      <c r="C91" s="301" t="s">
        <v>3267</v>
      </c>
      <c r="D91" s="301" t="s">
        <v>303</v>
      </c>
      <c r="E91" s="303" t="b">
        <v>0</v>
      </c>
      <c r="F91" s="301" t="s">
        <v>3588</v>
      </c>
      <c r="G91" s="301" t="s">
        <v>3288</v>
      </c>
      <c r="H91" s="301" t="s">
        <v>3603</v>
      </c>
      <c r="I91" s="301" t="s">
        <v>3290</v>
      </c>
      <c r="J91" s="305" t="s">
        <v>3604</v>
      </c>
      <c r="K91" s="301" t="s">
        <v>3583</v>
      </c>
      <c r="L91" s="301" t="s">
        <v>3605</v>
      </c>
      <c r="N91" s="301" t="s">
        <v>164</v>
      </c>
      <c r="O91" s="301" t="s">
        <v>123</v>
      </c>
      <c r="P91" s="303" t="b">
        <v>0</v>
      </c>
      <c r="Q91" s="299" t="s">
        <v>2360</v>
      </c>
      <c r="R91" s="300">
        <v>250.0</v>
      </c>
    </row>
    <row r="92" ht="15.0" customHeight="1">
      <c r="A92" s="294" t="s">
        <v>3606</v>
      </c>
      <c r="B92" s="295">
        <v>1.0</v>
      </c>
      <c r="C92" s="294" t="s">
        <v>3551</v>
      </c>
      <c r="D92" s="294" t="s">
        <v>299</v>
      </c>
      <c r="E92" s="296" t="b">
        <v>0</v>
      </c>
      <c r="F92" s="294" t="s">
        <v>3394</v>
      </c>
      <c r="G92" s="294" t="s">
        <v>3336</v>
      </c>
      <c r="H92" s="306"/>
      <c r="I92" s="294" t="s">
        <v>3281</v>
      </c>
      <c r="J92" s="298" t="s">
        <v>3607</v>
      </c>
      <c r="K92" s="294" t="s">
        <v>3608</v>
      </c>
      <c r="L92" s="294" t="s">
        <v>3446</v>
      </c>
      <c r="P92" s="296" t="b">
        <v>0</v>
      </c>
      <c r="Q92" s="299" t="s">
        <v>2360</v>
      </c>
      <c r="R92" s="300">
        <v>250.0</v>
      </c>
    </row>
    <row r="93" ht="15.0" customHeight="1">
      <c r="A93" s="301" t="s">
        <v>3609</v>
      </c>
      <c r="B93" s="302">
        <v>1.0</v>
      </c>
      <c r="C93" s="301" t="s">
        <v>3267</v>
      </c>
      <c r="D93" s="301" t="s">
        <v>299</v>
      </c>
      <c r="E93" s="303" t="b">
        <v>0</v>
      </c>
      <c r="F93" s="301" t="s">
        <v>3394</v>
      </c>
      <c r="G93" s="301" t="s">
        <v>3288</v>
      </c>
      <c r="H93" s="301" t="s">
        <v>3610</v>
      </c>
      <c r="I93" s="301" t="s">
        <v>3337</v>
      </c>
      <c r="J93" s="305" t="s">
        <v>3611</v>
      </c>
      <c r="K93" s="301" t="s">
        <v>65</v>
      </c>
      <c r="L93" s="301" t="s">
        <v>3612</v>
      </c>
      <c r="N93" s="301" t="s">
        <v>3613</v>
      </c>
      <c r="P93" s="303" t="b">
        <v>0</v>
      </c>
      <c r="Q93" s="299" t="s">
        <v>2360</v>
      </c>
      <c r="R93" s="300">
        <v>251.0</v>
      </c>
    </row>
    <row r="94" ht="15.0" customHeight="1">
      <c r="A94" s="294" t="s">
        <v>3614</v>
      </c>
      <c r="B94" s="295">
        <v>1.0</v>
      </c>
      <c r="C94" s="294" t="s">
        <v>3267</v>
      </c>
      <c r="D94" s="294" t="s">
        <v>302</v>
      </c>
      <c r="E94" s="296" t="b">
        <v>0</v>
      </c>
      <c r="F94" s="294" t="s">
        <v>3394</v>
      </c>
      <c r="G94" s="294" t="s">
        <v>3288</v>
      </c>
      <c r="H94" s="294" t="s">
        <v>3615</v>
      </c>
      <c r="I94" s="294" t="s">
        <v>3337</v>
      </c>
      <c r="J94" s="298" t="s">
        <v>3616</v>
      </c>
      <c r="K94" s="294" t="s">
        <v>3332</v>
      </c>
      <c r="L94" s="294" t="s">
        <v>3617</v>
      </c>
      <c r="N94" s="294" t="s">
        <v>116</v>
      </c>
      <c r="P94" s="296" t="b">
        <v>1</v>
      </c>
      <c r="Q94" s="299" t="s">
        <v>2360</v>
      </c>
      <c r="R94" s="300">
        <v>251.0</v>
      </c>
    </row>
    <row r="95" ht="15.0" customHeight="1">
      <c r="A95" s="301" t="s">
        <v>3618</v>
      </c>
      <c r="B95" s="302">
        <v>1.0</v>
      </c>
      <c r="C95" s="301" t="s">
        <v>3267</v>
      </c>
      <c r="D95" s="301" t="s">
        <v>302</v>
      </c>
      <c r="E95" s="303" t="b">
        <v>1</v>
      </c>
      <c r="F95" s="301" t="s">
        <v>3394</v>
      </c>
      <c r="G95" s="301" t="s">
        <v>3269</v>
      </c>
      <c r="H95" s="307"/>
      <c r="I95" s="301" t="s">
        <v>3404</v>
      </c>
      <c r="J95" s="305" t="s">
        <v>3619</v>
      </c>
      <c r="K95" s="301" t="s">
        <v>3499</v>
      </c>
      <c r="L95" s="301" t="s">
        <v>3620</v>
      </c>
      <c r="N95" s="301" t="s">
        <v>137</v>
      </c>
      <c r="P95" s="303" t="b">
        <v>0</v>
      </c>
      <c r="Q95" s="299" t="s">
        <v>3296</v>
      </c>
      <c r="R95" s="300">
        <v>157.0</v>
      </c>
    </row>
    <row r="96" ht="15.0" customHeight="1">
      <c r="A96" s="294" t="s">
        <v>3621</v>
      </c>
      <c r="B96" s="295">
        <v>1.0</v>
      </c>
      <c r="C96" s="294" t="s">
        <v>3267</v>
      </c>
      <c r="D96" s="294" t="s">
        <v>302</v>
      </c>
      <c r="E96" s="296" t="b">
        <v>1</v>
      </c>
      <c r="F96" s="294" t="s">
        <v>3394</v>
      </c>
      <c r="G96" s="294" t="s">
        <v>3269</v>
      </c>
      <c r="H96" s="306"/>
      <c r="I96" s="294" t="s">
        <v>3404</v>
      </c>
      <c r="J96" s="298" t="s">
        <v>3622</v>
      </c>
      <c r="K96" s="294" t="s">
        <v>3623</v>
      </c>
      <c r="L96" s="294" t="s">
        <v>3624</v>
      </c>
      <c r="N96" s="294" t="s">
        <v>3625</v>
      </c>
      <c r="P96" s="296" t="b">
        <v>1</v>
      </c>
      <c r="Q96" s="299" t="s">
        <v>2360</v>
      </c>
      <c r="R96" s="300">
        <v>252.0</v>
      </c>
    </row>
    <row r="97" ht="15.0" customHeight="1">
      <c r="A97" s="301" t="s">
        <v>3626</v>
      </c>
      <c r="B97" s="302">
        <v>1.0</v>
      </c>
      <c r="C97" s="301" t="s">
        <v>3267</v>
      </c>
      <c r="D97" s="301" t="s">
        <v>302</v>
      </c>
      <c r="E97" s="303" t="b">
        <v>1</v>
      </c>
      <c r="F97" s="301" t="s">
        <v>3394</v>
      </c>
      <c r="G97" s="301" t="s">
        <v>3288</v>
      </c>
      <c r="H97" s="301" t="s">
        <v>3627</v>
      </c>
      <c r="I97" s="301" t="s">
        <v>3404</v>
      </c>
      <c r="J97" s="305" t="s">
        <v>3628</v>
      </c>
      <c r="K97" s="301" t="s">
        <v>3629</v>
      </c>
      <c r="L97" s="301" t="s">
        <v>3347</v>
      </c>
      <c r="N97" s="301" t="s">
        <v>137</v>
      </c>
      <c r="O97" s="301" t="s">
        <v>261</v>
      </c>
      <c r="P97" s="303" t="b">
        <v>1</v>
      </c>
      <c r="Q97" s="299" t="s">
        <v>2360</v>
      </c>
      <c r="R97" s="300">
        <v>252.0</v>
      </c>
    </row>
    <row r="98" ht="15.0" customHeight="1">
      <c r="A98" s="294" t="s">
        <v>2060</v>
      </c>
      <c r="B98" s="295">
        <v>1.0</v>
      </c>
      <c r="C98" s="294" t="s">
        <v>3267</v>
      </c>
      <c r="D98" s="294" t="s">
        <v>305</v>
      </c>
      <c r="E98" s="296" t="b">
        <v>0</v>
      </c>
      <c r="F98" s="294" t="s">
        <v>3394</v>
      </c>
      <c r="G98" s="294" t="s">
        <v>3269</v>
      </c>
      <c r="H98" s="297"/>
      <c r="I98" s="294" t="s">
        <v>3337</v>
      </c>
      <c r="J98" s="298" t="s">
        <v>3630</v>
      </c>
      <c r="K98" s="294" t="s">
        <v>3631</v>
      </c>
      <c r="L98" s="294" t="s">
        <v>3632</v>
      </c>
      <c r="N98" s="294" t="s">
        <v>3633</v>
      </c>
      <c r="O98" s="294" t="s">
        <v>123</v>
      </c>
      <c r="P98" s="296" t="b">
        <v>0</v>
      </c>
      <c r="Q98" s="299" t="s">
        <v>2360</v>
      </c>
      <c r="R98" s="300">
        <v>253.0</v>
      </c>
    </row>
    <row r="99" ht="15.0" customHeight="1">
      <c r="A99" s="301" t="s">
        <v>3634</v>
      </c>
      <c r="B99" s="302">
        <v>1.0</v>
      </c>
      <c r="C99" s="301" t="s">
        <v>3418</v>
      </c>
      <c r="D99" s="301" t="s">
        <v>304</v>
      </c>
      <c r="E99" s="303" t="b">
        <v>1</v>
      </c>
      <c r="F99" s="301" t="s">
        <v>3394</v>
      </c>
      <c r="G99" s="301" t="s">
        <v>3269</v>
      </c>
      <c r="H99" s="304"/>
      <c r="I99" s="301" t="s">
        <v>3290</v>
      </c>
      <c r="J99" s="305" t="s">
        <v>3635</v>
      </c>
      <c r="K99" s="301" t="s">
        <v>48</v>
      </c>
      <c r="L99" s="301" t="s">
        <v>3636</v>
      </c>
      <c r="N99" s="307"/>
      <c r="O99" s="307"/>
      <c r="P99" s="303" t="b">
        <v>0</v>
      </c>
      <c r="Q99" s="299" t="s">
        <v>2218</v>
      </c>
      <c r="R99" s="300">
        <v>76.0</v>
      </c>
    </row>
    <row r="100" ht="15.0" customHeight="1">
      <c r="A100" s="294" t="s">
        <v>3637</v>
      </c>
      <c r="B100" s="295">
        <v>1.0</v>
      </c>
      <c r="C100" s="294" t="s">
        <v>3418</v>
      </c>
      <c r="D100" s="294" t="s">
        <v>301</v>
      </c>
      <c r="E100" s="296" t="b">
        <v>1</v>
      </c>
      <c r="F100" s="294" t="s">
        <v>3394</v>
      </c>
      <c r="G100" s="294" t="s">
        <v>3308</v>
      </c>
      <c r="H100" s="297"/>
      <c r="I100" s="294" t="s">
        <v>3290</v>
      </c>
      <c r="J100" s="298" t="s">
        <v>3638</v>
      </c>
      <c r="K100" s="294" t="s">
        <v>52</v>
      </c>
      <c r="L100" s="294" t="s">
        <v>211</v>
      </c>
      <c r="M100" s="306"/>
      <c r="N100" s="306"/>
      <c r="O100" s="294" t="s">
        <v>28</v>
      </c>
      <c r="P100" s="296" t="b">
        <v>0</v>
      </c>
      <c r="Q100" s="299" t="s">
        <v>2360</v>
      </c>
      <c r="R100" s="300">
        <v>254.0</v>
      </c>
    </row>
    <row r="101" ht="15.0" customHeight="1">
      <c r="A101" s="301" t="s">
        <v>3639</v>
      </c>
      <c r="B101" s="302">
        <v>1.0</v>
      </c>
      <c r="C101" s="301" t="s">
        <v>3418</v>
      </c>
      <c r="D101" s="301" t="s">
        <v>310</v>
      </c>
      <c r="E101" s="303" t="b">
        <v>1</v>
      </c>
      <c r="F101" s="301" t="s">
        <v>3394</v>
      </c>
      <c r="G101" s="301" t="s">
        <v>3269</v>
      </c>
      <c r="H101" s="307"/>
      <c r="I101" s="301" t="s">
        <v>3404</v>
      </c>
      <c r="J101" s="305" t="s">
        <v>3640</v>
      </c>
      <c r="K101" s="301" t="s">
        <v>3641</v>
      </c>
      <c r="L101" s="301" t="s">
        <v>3642</v>
      </c>
      <c r="N101" s="301" t="s">
        <v>185</v>
      </c>
      <c r="O101" s="301" t="s">
        <v>261</v>
      </c>
      <c r="P101" s="303" t="b">
        <v>0</v>
      </c>
      <c r="Q101" s="299" t="s">
        <v>2360</v>
      </c>
      <c r="R101" s="300">
        <v>256.0</v>
      </c>
    </row>
    <row r="102" ht="15.0" customHeight="1">
      <c r="A102" s="294" t="s">
        <v>1655</v>
      </c>
      <c r="B102" s="295">
        <v>1.0</v>
      </c>
      <c r="C102" s="294" t="s">
        <v>3267</v>
      </c>
      <c r="D102" s="294" t="s">
        <v>308</v>
      </c>
      <c r="E102" s="296" t="b">
        <v>0</v>
      </c>
      <c r="F102" s="294" t="s">
        <v>3394</v>
      </c>
      <c r="G102" s="294" t="s">
        <v>3288</v>
      </c>
      <c r="H102" s="294" t="s">
        <v>3643</v>
      </c>
      <c r="I102" s="294" t="s">
        <v>3337</v>
      </c>
      <c r="J102" s="298" t="s">
        <v>3644</v>
      </c>
      <c r="K102" s="294" t="s">
        <v>3645</v>
      </c>
      <c r="L102" s="294" t="s">
        <v>3646</v>
      </c>
      <c r="P102" s="296" t="b">
        <v>0</v>
      </c>
      <c r="Q102" s="299" t="s">
        <v>2360</v>
      </c>
      <c r="R102" s="300">
        <v>256.0</v>
      </c>
    </row>
    <row r="103" ht="15.0" customHeight="1">
      <c r="A103" s="301" t="s">
        <v>3647</v>
      </c>
      <c r="B103" s="302">
        <v>1.0</v>
      </c>
      <c r="C103" s="301" t="s">
        <v>3418</v>
      </c>
      <c r="D103" s="301" t="s">
        <v>301</v>
      </c>
      <c r="E103" s="303" t="b">
        <v>1</v>
      </c>
      <c r="F103" s="301" t="s">
        <v>3394</v>
      </c>
      <c r="G103" s="301" t="s">
        <v>3308</v>
      </c>
      <c r="H103" s="304"/>
      <c r="I103" s="301" t="s">
        <v>3290</v>
      </c>
      <c r="J103" s="305" t="s">
        <v>3648</v>
      </c>
      <c r="K103" s="301" t="s">
        <v>52</v>
      </c>
      <c r="L103" s="307"/>
      <c r="M103" s="307"/>
      <c r="N103" s="307"/>
      <c r="O103" s="307"/>
      <c r="P103" s="303" t="b">
        <v>0</v>
      </c>
      <c r="Q103" s="299" t="s">
        <v>2360</v>
      </c>
      <c r="R103" s="300">
        <v>257.0</v>
      </c>
    </row>
    <row r="104" ht="15.0" customHeight="1">
      <c r="A104" s="294" t="s">
        <v>3649</v>
      </c>
      <c r="B104" s="295">
        <v>1.0</v>
      </c>
      <c r="C104" s="294" t="s">
        <v>3418</v>
      </c>
      <c r="D104" s="294" t="s">
        <v>304</v>
      </c>
      <c r="E104" s="296" t="b">
        <v>1</v>
      </c>
      <c r="F104" s="294" t="s">
        <v>3394</v>
      </c>
      <c r="G104" s="294" t="s">
        <v>3308</v>
      </c>
      <c r="H104" s="306"/>
      <c r="I104" s="294" t="s">
        <v>3290</v>
      </c>
      <c r="J104" s="298" t="s">
        <v>3650</v>
      </c>
      <c r="K104" s="294" t="s">
        <v>48</v>
      </c>
      <c r="L104" s="294" t="s">
        <v>3651</v>
      </c>
      <c r="M104" s="294" t="s">
        <v>3594</v>
      </c>
      <c r="N104" s="294" t="s">
        <v>3652</v>
      </c>
      <c r="P104" s="296" t="b">
        <v>0</v>
      </c>
      <c r="Q104" s="299" t="s">
        <v>3392</v>
      </c>
      <c r="R104" s="300">
        <v>188.0</v>
      </c>
    </row>
    <row r="105" ht="15.0" customHeight="1">
      <c r="A105" s="301" t="s">
        <v>3653</v>
      </c>
      <c r="B105" s="302">
        <v>1.0</v>
      </c>
      <c r="C105" s="301" t="s">
        <v>3551</v>
      </c>
      <c r="D105" s="301" t="s">
        <v>299</v>
      </c>
      <c r="E105" s="303" t="b">
        <v>0</v>
      </c>
      <c r="F105" s="301" t="s">
        <v>3394</v>
      </c>
      <c r="G105" s="301" t="s">
        <v>3269</v>
      </c>
      <c r="H105" s="307"/>
      <c r="I105" s="301" t="s">
        <v>3281</v>
      </c>
      <c r="J105" s="305" t="s">
        <v>3654</v>
      </c>
      <c r="K105" s="301" t="s">
        <v>3466</v>
      </c>
      <c r="L105" s="301" t="s">
        <v>3655</v>
      </c>
      <c r="N105" s="301" t="s">
        <v>3656</v>
      </c>
      <c r="P105" s="303" t="b">
        <v>0</v>
      </c>
      <c r="Q105" s="299" t="s">
        <v>2360</v>
      </c>
      <c r="R105" s="300">
        <v>270.0</v>
      </c>
    </row>
    <row r="106" ht="15.0" customHeight="1">
      <c r="A106" s="294" t="s">
        <v>3657</v>
      </c>
      <c r="B106" s="295">
        <v>1.0</v>
      </c>
      <c r="C106" s="294" t="s">
        <v>3267</v>
      </c>
      <c r="D106" s="294" t="s">
        <v>302</v>
      </c>
      <c r="E106" s="296" t="b">
        <v>0</v>
      </c>
      <c r="F106" s="294" t="s">
        <v>3394</v>
      </c>
      <c r="G106" s="294" t="s">
        <v>3269</v>
      </c>
      <c r="H106" s="297"/>
      <c r="I106" s="294" t="s">
        <v>3404</v>
      </c>
      <c r="J106" s="298" t="s">
        <v>3658</v>
      </c>
      <c r="K106" s="294" t="s">
        <v>3489</v>
      </c>
      <c r="L106" s="294" t="s">
        <v>3659</v>
      </c>
      <c r="N106" s="294" t="s">
        <v>179</v>
      </c>
      <c r="O106" s="294" t="s">
        <v>165</v>
      </c>
      <c r="P106" s="296" t="b">
        <v>1</v>
      </c>
      <c r="Q106" s="299" t="s">
        <v>2360</v>
      </c>
      <c r="R106" s="300">
        <v>270.0</v>
      </c>
    </row>
    <row r="107" ht="15.0" customHeight="1">
      <c r="A107" s="301" t="s">
        <v>3660</v>
      </c>
      <c r="B107" s="302">
        <v>1.0</v>
      </c>
      <c r="C107" s="301" t="s">
        <v>3418</v>
      </c>
      <c r="D107" s="301" t="s">
        <v>304</v>
      </c>
      <c r="E107" s="303" t="b">
        <v>1</v>
      </c>
      <c r="F107" s="301" t="s">
        <v>3394</v>
      </c>
      <c r="G107" s="301" t="s">
        <v>3308</v>
      </c>
      <c r="H107" s="304"/>
      <c r="I107" s="301" t="s">
        <v>3290</v>
      </c>
      <c r="J107" s="305" t="s">
        <v>3661</v>
      </c>
      <c r="K107" s="301" t="s">
        <v>48</v>
      </c>
      <c r="L107" s="301" t="s">
        <v>3662</v>
      </c>
      <c r="N107" s="307"/>
      <c r="O107" s="307"/>
      <c r="P107" s="303" t="b">
        <v>0</v>
      </c>
      <c r="Q107" s="299" t="s">
        <v>2360</v>
      </c>
      <c r="R107" s="300">
        <v>271.0</v>
      </c>
    </row>
    <row r="108" ht="15.0" customHeight="1">
      <c r="A108" s="294" t="s">
        <v>3663</v>
      </c>
      <c r="B108" s="295">
        <v>1.0</v>
      </c>
      <c r="C108" s="294" t="s">
        <v>3418</v>
      </c>
      <c r="D108" s="294" t="s">
        <v>304</v>
      </c>
      <c r="E108" s="296" t="b">
        <v>1</v>
      </c>
      <c r="F108" s="294" t="s">
        <v>3394</v>
      </c>
      <c r="G108" s="294" t="s">
        <v>3308</v>
      </c>
      <c r="H108" s="306"/>
      <c r="I108" s="294" t="s">
        <v>3290</v>
      </c>
      <c r="J108" s="298" t="s">
        <v>3664</v>
      </c>
      <c r="K108" s="294" t="s">
        <v>48</v>
      </c>
      <c r="L108" s="294" t="s">
        <v>3665</v>
      </c>
      <c r="M108" s="294" t="s">
        <v>29</v>
      </c>
      <c r="N108" s="306"/>
      <c r="O108" s="306"/>
      <c r="P108" s="296" t="b">
        <v>0</v>
      </c>
      <c r="Q108" s="299" t="s">
        <v>2360</v>
      </c>
      <c r="R108" s="300">
        <v>272.0</v>
      </c>
    </row>
    <row r="109" ht="15.0" customHeight="1">
      <c r="A109" s="301" t="s">
        <v>3666</v>
      </c>
      <c r="B109" s="302">
        <v>1.0</v>
      </c>
      <c r="C109" s="301" t="s">
        <v>3418</v>
      </c>
      <c r="D109" s="301" t="s">
        <v>310</v>
      </c>
      <c r="E109" s="303" t="b">
        <v>1</v>
      </c>
      <c r="F109" s="301" t="s">
        <v>3394</v>
      </c>
      <c r="G109" s="301" t="s">
        <v>3308</v>
      </c>
      <c r="H109" s="307"/>
      <c r="I109" s="301" t="s">
        <v>3290</v>
      </c>
      <c r="J109" s="305" t="s">
        <v>3667</v>
      </c>
      <c r="K109" s="301" t="s">
        <v>52</v>
      </c>
      <c r="L109" s="307"/>
      <c r="M109" s="307"/>
      <c r="N109" s="307"/>
      <c r="O109" s="307"/>
      <c r="P109" s="303" t="b">
        <v>0</v>
      </c>
      <c r="Q109" s="299" t="s">
        <v>2360</v>
      </c>
      <c r="R109" s="300">
        <v>274.0</v>
      </c>
    </row>
    <row r="110" ht="15.0" customHeight="1">
      <c r="A110" s="294" t="s">
        <v>3668</v>
      </c>
      <c r="B110" s="295">
        <v>1.0</v>
      </c>
      <c r="C110" s="294" t="s">
        <v>3267</v>
      </c>
      <c r="D110" s="294" t="s">
        <v>302</v>
      </c>
      <c r="E110" s="296" t="b">
        <v>1</v>
      </c>
      <c r="F110" s="294" t="s">
        <v>3408</v>
      </c>
      <c r="G110" s="294" t="s">
        <v>3288</v>
      </c>
      <c r="H110" s="294" t="s">
        <v>3669</v>
      </c>
      <c r="I110" s="294" t="s">
        <v>3404</v>
      </c>
      <c r="J110" s="298" t="s">
        <v>3670</v>
      </c>
      <c r="K110" s="294" t="s">
        <v>3671</v>
      </c>
      <c r="M110" s="306"/>
      <c r="N110" s="306"/>
      <c r="O110" s="306"/>
      <c r="P110" s="296" t="b">
        <v>0</v>
      </c>
      <c r="Q110" s="299" t="s">
        <v>2360</v>
      </c>
      <c r="R110" s="300">
        <v>275.0</v>
      </c>
    </row>
    <row r="111" ht="15.0" customHeight="1">
      <c r="A111" s="301" t="s">
        <v>3672</v>
      </c>
      <c r="B111" s="302">
        <v>1.0</v>
      </c>
      <c r="C111" s="301" t="s">
        <v>3337</v>
      </c>
      <c r="D111" s="301" t="s">
        <v>299</v>
      </c>
      <c r="E111" s="303" t="b">
        <v>0</v>
      </c>
      <c r="F111" s="301" t="s">
        <v>3408</v>
      </c>
      <c r="G111" s="301" t="s">
        <v>3288</v>
      </c>
      <c r="H111" s="301" t="s">
        <v>3673</v>
      </c>
      <c r="I111" s="301" t="s">
        <v>3270</v>
      </c>
      <c r="J111" s="305" t="s">
        <v>3674</v>
      </c>
      <c r="K111" s="301" t="s">
        <v>3499</v>
      </c>
      <c r="L111" s="301" t="s">
        <v>3347</v>
      </c>
      <c r="M111" s="301" t="s">
        <v>35</v>
      </c>
      <c r="N111" s="307"/>
      <c r="O111" s="307"/>
      <c r="P111" s="303" t="b">
        <v>1</v>
      </c>
      <c r="Q111" s="299" t="s">
        <v>2360</v>
      </c>
      <c r="R111" s="300">
        <v>275.0</v>
      </c>
    </row>
    <row r="112" ht="15.0" customHeight="1">
      <c r="A112" s="294" t="s">
        <v>3675</v>
      </c>
      <c r="B112" s="295">
        <v>1.0</v>
      </c>
      <c r="C112" s="294" t="s">
        <v>3267</v>
      </c>
      <c r="D112" s="294" t="s">
        <v>304</v>
      </c>
      <c r="E112" s="296" t="b">
        <v>0</v>
      </c>
      <c r="F112" s="294" t="s">
        <v>3408</v>
      </c>
      <c r="G112" s="294" t="s">
        <v>3269</v>
      </c>
      <c r="H112" s="297"/>
      <c r="I112" s="294" t="s">
        <v>3270</v>
      </c>
      <c r="J112" s="298" t="s">
        <v>3676</v>
      </c>
      <c r="K112" s="294" t="s">
        <v>3677</v>
      </c>
      <c r="L112" s="294" t="s">
        <v>3678</v>
      </c>
      <c r="N112" s="294" t="s">
        <v>3679</v>
      </c>
      <c r="P112" s="296" t="b">
        <v>0</v>
      </c>
      <c r="Q112" s="299" t="s">
        <v>2360</v>
      </c>
      <c r="R112" s="300">
        <v>276.0</v>
      </c>
    </row>
    <row r="113" ht="15.0" customHeight="1">
      <c r="A113" s="301" t="s">
        <v>3680</v>
      </c>
      <c r="B113" s="302">
        <v>1.0</v>
      </c>
      <c r="C113" s="301" t="s">
        <v>3290</v>
      </c>
      <c r="D113" s="301" t="s">
        <v>305</v>
      </c>
      <c r="E113" s="303" t="b">
        <v>0</v>
      </c>
      <c r="F113" s="301" t="s">
        <v>3408</v>
      </c>
      <c r="G113" s="301" t="s">
        <v>3308</v>
      </c>
      <c r="H113" s="304"/>
      <c r="I113" s="301" t="s">
        <v>3481</v>
      </c>
      <c r="J113" s="305" t="s">
        <v>3681</v>
      </c>
      <c r="K113" s="301" t="s">
        <v>3682</v>
      </c>
      <c r="L113" s="301" t="s">
        <v>3446</v>
      </c>
      <c r="P113" s="303" t="b">
        <v>0</v>
      </c>
      <c r="Q113" s="299" t="s">
        <v>2360</v>
      </c>
      <c r="R113" s="300">
        <v>276.0</v>
      </c>
    </row>
    <row r="114" ht="15.0" customHeight="1">
      <c r="A114" s="294" t="s">
        <v>3683</v>
      </c>
      <c r="B114" s="295">
        <v>1.0</v>
      </c>
      <c r="C114" s="294" t="s">
        <v>3290</v>
      </c>
      <c r="D114" s="294" t="s">
        <v>302</v>
      </c>
      <c r="E114" s="296" t="b">
        <v>0</v>
      </c>
      <c r="F114" s="294" t="s">
        <v>3408</v>
      </c>
      <c r="G114" s="294" t="s">
        <v>3269</v>
      </c>
      <c r="H114" s="297"/>
      <c r="I114" s="294" t="s">
        <v>3481</v>
      </c>
      <c r="J114" s="298" t="s">
        <v>3684</v>
      </c>
      <c r="K114" s="306"/>
      <c r="L114" s="294" t="s">
        <v>3685</v>
      </c>
      <c r="N114" s="306"/>
      <c r="O114" s="306"/>
      <c r="P114" s="296" t="b">
        <v>0</v>
      </c>
      <c r="Q114" s="299" t="s">
        <v>3296</v>
      </c>
      <c r="R114" s="300">
        <v>165.0</v>
      </c>
    </row>
    <row r="115" ht="15.0" customHeight="1">
      <c r="A115" s="301" t="s">
        <v>3686</v>
      </c>
      <c r="B115" s="302">
        <v>1.0</v>
      </c>
      <c r="C115" s="301" t="s">
        <v>3267</v>
      </c>
      <c r="D115" s="301" t="s">
        <v>310</v>
      </c>
      <c r="E115" s="303" t="b">
        <v>0</v>
      </c>
      <c r="F115" s="301" t="s">
        <v>3408</v>
      </c>
      <c r="G115" s="301" t="s">
        <v>3288</v>
      </c>
      <c r="H115" s="301" t="s">
        <v>3687</v>
      </c>
      <c r="I115" s="301" t="s">
        <v>3270</v>
      </c>
      <c r="J115" s="305" t="s">
        <v>3688</v>
      </c>
      <c r="K115" s="301" t="s">
        <v>3671</v>
      </c>
      <c r="M115" s="307"/>
      <c r="N115" s="301" t="s">
        <v>164</v>
      </c>
      <c r="P115" s="303" t="b">
        <v>0</v>
      </c>
      <c r="Q115" s="299" t="s">
        <v>2360</v>
      </c>
      <c r="R115" s="300">
        <v>277.0</v>
      </c>
    </row>
    <row r="116" ht="15.0" customHeight="1">
      <c r="A116" s="294" t="s">
        <v>3689</v>
      </c>
      <c r="B116" s="295">
        <v>1.0</v>
      </c>
      <c r="C116" s="294" t="s">
        <v>3267</v>
      </c>
      <c r="D116" s="294" t="s">
        <v>303</v>
      </c>
      <c r="E116" s="296" t="b">
        <v>1</v>
      </c>
      <c r="F116" s="294" t="s">
        <v>3408</v>
      </c>
      <c r="G116" s="294" t="s">
        <v>3269</v>
      </c>
      <c r="H116" s="306"/>
      <c r="I116" s="294" t="s">
        <v>3290</v>
      </c>
      <c r="J116" s="298" t="s">
        <v>3690</v>
      </c>
      <c r="K116" s="294" t="s">
        <v>3691</v>
      </c>
      <c r="L116" s="294" t="s">
        <v>3692</v>
      </c>
      <c r="O116" s="294" t="s">
        <v>87</v>
      </c>
      <c r="P116" s="296" t="b">
        <v>0</v>
      </c>
      <c r="Q116" s="299" t="s">
        <v>3286</v>
      </c>
      <c r="R116" s="300">
        <v>115.0</v>
      </c>
    </row>
    <row r="117" ht="15.0" customHeight="1">
      <c r="A117" s="301" t="s">
        <v>3693</v>
      </c>
      <c r="B117" s="302">
        <v>1.0</v>
      </c>
      <c r="C117" s="301" t="s">
        <v>3290</v>
      </c>
      <c r="D117" s="301" t="s">
        <v>302</v>
      </c>
      <c r="E117" s="303" t="b">
        <v>0</v>
      </c>
      <c r="F117" s="301" t="s">
        <v>3408</v>
      </c>
      <c r="G117" s="301" t="s">
        <v>3288</v>
      </c>
      <c r="H117" s="301" t="s">
        <v>3694</v>
      </c>
      <c r="I117" s="301" t="s">
        <v>3270</v>
      </c>
      <c r="J117" s="305" t="s">
        <v>3695</v>
      </c>
      <c r="K117" s="301" t="s">
        <v>3696</v>
      </c>
      <c r="L117" s="301" t="s">
        <v>3697</v>
      </c>
      <c r="N117" s="301" t="s">
        <v>182</v>
      </c>
      <c r="P117" s="303" t="b">
        <v>1</v>
      </c>
      <c r="Q117" s="299" t="s">
        <v>2360</v>
      </c>
      <c r="R117" s="300">
        <v>280.0</v>
      </c>
    </row>
    <row r="118" ht="15.0" customHeight="1">
      <c r="A118" s="294" t="s">
        <v>3698</v>
      </c>
      <c r="B118" s="295">
        <v>1.0</v>
      </c>
      <c r="C118" s="294" t="s">
        <v>3290</v>
      </c>
      <c r="D118" s="294" t="s">
        <v>305</v>
      </c>
      <c r="E118" s="296" t="b">
        <v>0</v>
      </c>
      <c r="F118" s="294" t="s">
        <v>3408</v>
      </c>
      <c r="G118" s="294" t="s">
        <v>3329</v>
      </c>
      <c r="H118" s="294" t="s">
        <v>3699</v>
      </c>
      <c r="I118" s="294" t="s">
        <v>3700</v>
      </c>
      <c r="J118" s="298" t="s">
        <v>3701</v>
      </c>
      <c r="K118" s="294" t="s">
        <v>3587</v>
      </c>
      <c r="L118" s="294" t="s">
        <v>3446</v>
      </c>
      <c r="N118" s="294" t="s">
        <v>116</v>
      </c>
      <c r="O118" s="294" t="s">
        <v>219</v>
      </c>
      <c r="P118" s="296" t="b">
        <v>1</v>
      </c>
      <c r="Q118" s="299" t="s">
        <v>2360</v>
      </c>
      <c r="R118" s="300">
        <v>282.0</v>
      </c>
    </row>
    <row r="119" ht="15.0" customHeight="1">
      <c r="A119" s="301" t="s">
        <v>3702</v>
      </c>
      <c r="B119" s="302">
        <v>1.0</v>
      </c>
      <c r="C119" s="301" t="s">
        <v>3267</v>
      </c>
      <c r="D119" s="301" t="s">
        <v>308</v>
      </c>
      <c r="E119" s="303" t="b">
        <v>0</v>
      </c>
      <c r="F119" s="301" t="s">
        <v>3408</v>
      </c>
      <c r="G119" s="301" t="s">
        <v>3269</v>
      </c>
      <c r="H119" s="307"/>
      <c r="I119" s="301" t="s">
        <v>3270</v>
      </c>
      <c r="J119" s="305" t="s">
        <v>3703</v>
      </c>
      <c r="K119" s="301" t="s">
        <v>29</v>
      </c>
      <c r="L119" s="301" t="s">
        <v>3704</v>
      </c>
      <c r="P119" s="303" t="b">
        <v>0</v>
      </c>
      <c r="Q119" s="299" t="s">
        <v>2360</v>
      </c>
      <c r="R119" s="300">
        <v>282.0</v>
      </c>
    </row>
    <row r="120" ht="15.0" customHeight="1">
      <c r="A120" s="294" t="s">
        <v>1659</v>
      </c>
      <c r="B120" s="295">
        <v>1.0</v>
      </c>
      <c r="C120" s="294" t="s">
        <v>3267</v>
      </c>
      <c r="D120" s="294" t="s">
        <v>310</v>
      </c>
      <c r="E120" s="296" t="b">
        <v>0</v>
      </c>
      <c r="F120" s="294" t="s">
        <v>3408</v>
      </c>
      <c r="G120" s="294" t="s">
        <v>3288</v>
      </c>
      <c r="H120" s="294" t="s">
        <v>3705</v>
      </c>
      <c r="I120" s="294" t="s">
        <v>3290</v>
      </c>
      <c r="J120" s="298" t="s">
        <v>3706</v>
      </c>
      <c r="K120" s="294" t="s">
        <v>3707</v>
      </c>
      <c r="L120" s="294" t="s">
        <v>3708</v>
      </c>
      <c r="N120" s="294" t="s">
        <v>3709</v>
      </c>
      <c r="O120" s="294" t="s">
        <v>261</v>
      </c>
      <c r="P120" s="296" t="b">
        <v>0</v>
      </c>
      <c r="Q120" s="299" t="s">
        <v>2360</v>
      </c>
      <c r="R120" s="300">
        <v>282.0</v>
      </c>
    </row>
    <row r="121" ht="15.0" customHeight="1">
      <c r="A121" s="301" t="s">
        <v>3710</v>
      </c>
      <c r="B121" s="302">
        <v>1.0</v>
      </c>
      <c r="C121" s="301" t="s">
        <v>3267</v>
      </c>
      <c r="D121" s="301" t="s">
        <v>310</v>
      </c>
      <c r="E121" s="303" t="b">
        <v>0</v>
      </c>
      <c r="F121" s="301" t="s">
        <v>3408</v>
      </c>
      <c r="G121" s="301" t="s">
        <v>3288</v>
      </c>
      <c r="H121" s="301" t="s">
        <v>3711</v>
      </c>
      <c r="I121" s="301" t="s">
        <v>3337</v>
      </c>
      <c r="J121" s="305" t="s">
        <v>3712</v>
      </c>
      <c r="K121" s="301" t="s">
        <v>3713</v>
      </c>
      <c r="L121" s="301" t="s">
        <v>3446</v>
      </c>
      <c r="N121" s="301" t="s">
        <v>3601</v>
      </c>
      <c r="P121" s="303" t="b">
        <v>0</v>
      </c>
      <c r="Q121" s="299" t="s">
        <v>2360</v>
      </c>
      <c r="R121" s="300">
        <v>284.0</v>
      </c>
    </row>
    <row r="122" ht="15.0" customHeight="1">
      <c r="A122" s="294" t="s">
        <v>3714</v>
      </c>
      <c r="B122" s="295">
        <v>1.0</v>
      </c>
      <c r="C122" s="294" t="s">
        <v>3267</v>
      </c>
      <c r="D122" s="294" t="s">
        <v>299</v>
      </c>
      <c r="E122" s="296" t="b">
        <v>0</v>
      </c>
      <c r="F122" s="294" t="s">
        <v>3408</v>
      </c>
      <c r="G122" s="294" t="s">
        <v>3288</v>
      </c>
      <c r="H122" s="294" t="s">
        <v>3715</v>
      </c>
      <c r="I122" s="294" t="s">
        <v>3481</v>
      </c>
      <c r="J122" s="298" t="s">
        <v>3716</v>
      </c>
      <c r="K122" s="294" t="s">
        <v>3466</v>
      </c>
      <c r="L122" s="294" t="s">
        <v>3446</v>
      </c>
      <c r="N122" s="294" t="s">
        <v>58</v>
      </c>
      <c r="P122" s="296" t="b">
        <v>0</v>
      </c>
      <c r="Q122" s="299" t="s">
        <v>2360</v>
      </c>
      <c r="R122" s="300">
        <v>289.0</v>
      </c>
    </row>
    <row r="123" ht="15.0" customHeight="1">
      <c r="A123" s="301" t="s">
        <v>2064</v>
      </c>
      <c r="B123" s="302">
        <v>1.0</v>
      </c>
      <c r="C123" s="301" t="s">
        <v>3267</v>
      </c>
      <c r="D123" s="301" t="s">
        <v>299</v>
      </c>
      <c r="E123" s="303" t="b">
        <v>1</v>
      </c>
      <c r="F123" s="301" t="s">
        <v>3408</v>
      </c>
      <c r="G123" s="301" t="s">
        <v>3288</v>
      </c>
      <c r="H123" s="301" t="s">
        <v>3717</v>
      </c>
      <c r="I123" s="301" t="s">
        <v>3404</v>
      </c>
      <c r="J123" s="305" t="s">
        <v>3718</v>
      </c>
      <c r="K123" s="301" t="s">
        <v>3719</v>
      </c>
      <c r="L123" s="301" t="s">
        <v>3720</v>
      </c>
      <c r="M123" s="301" t="s">
        <v>3721</v>
      </c>
      <c r="P123" s="303" t="b">
        <v>0</v>
      </c>
      <c r="Q123" s="299" t="s">
        <v>2360</v>
      </c>
      <c r="R123" s="300">
        <v>289.0</v>
      </c>
    </row>
    <row r="124" ht="15.0" customHeight="1">
      <c r="A124" s="294" t="s">
        <v>3722</v>
      </c>
      <c r="B124" s="295">
        <v>1.0</v>
      </c>
      <c r="C124" s="294" t="s">
        <v>3290</v>
      </c>
      <c r="D124" s="294" t="s">
        <v>299</v>
      </c>
      <c r="E124" s="296" t="b">
        <v>0</v>
      </c>
      <c r="F124" s="294" t="s">
        <v>3408</v>
      </c>
      <c r="G124" s="294" t="s">
        <v>3329</v>
      </c>
      <c r="H124" s="294" t="s">
        <v>3723</v>
      </c>
      <c r="I124" s="294" t="s">
        <v>3481</v>
      </c>
      <c r="J124" s="298" t="s">
        <v>3724</v>
      </c>
      <c r="K124" s="294" t="s">
        <v>3725</v>
      </c>
      <c r="L124" s="294" t="s">
        <v>3446</v>
      </c>
      <c r="P124" s="296" t="b">
        <v>0</v>
      </c>
      <c r="Q124" s="299" t="s">
        <v>3296</v>
      </c>
      <c r="R124" s="300">
        <v>171.0</v>
      </c>
    </row>
    <row r="125" ht="15.0" customHeight="1">
      <c r="A125" s="301" t="s">
        <v>3726</v>
      </c>
      <c r="B125" s="302">
        <v>2.0</v>
      </c>
      <c r="C125" s="301" t="s">
        <v>3267</v>
      </c>
      <c r="D125" s="301" t="s">
        <v>303</v>
      </c>
      <c r="E125" s="303" t="b">
        <v>1</v>
      </c>
      <c r="F125" s="301" t="s">
        <v>3280</v>
      </c>
      <c r="G125" s="301" t="s">
        <v>3269</v>
      </c>
      <c r="H125" s="307"/>
      <c r="I125" s="301" t="s">
        <v>3290</v>
      </c>
      <c r="J125" s="305" t="s">
        <v>3727</v>
      </c>
      <c r="K125" s="301" t="s">
        <v>3332</v>
      </c>
      <c r="L125" s="301" t="s">
        <v>3728</v>
      </c>
      <c r="N125" s="301" t="s">
        <v>3574</v>
      </c>
      <c r="O125" s="301" t="s">
        <v>234</v>
      </c>
      <c r="P125" s="303" t="b">
        <v>0</v>
      </c>
      <c r="Q125" s="299" t="s">
        <v>3296</v>
      </c>
      <c r="R125" s="300">
        <v>150.0</v>
      </c>
    </row>
    <row r="126" ht="15.0" customHeight="1">
      <c r="A126" s="294" t="s">
        <v>3729</v>
      </c>
      <c r="B126" s="295">
        <v>2.0</v>
      </c>
      <c r="C126" s="294" t="s">
        <v>3267</v>
      </c>
      <c r="D126" s="294" t="s">
        <v>302</v>
      </c>
      <c r="E126" s="296" t="b">
        <v>0</v>
      </c>
      <c r="F126" s="294" t="s">
        <v>3280</v>
      </c>
      <c r="G126" s="294" t="s">
        <v>3269</v>
      </c>
      <c r="H126" s="306"/>
      <c r="I126" s="294" t="s">
        <v>3270</v>
      </c>
      <c r="J126" s="298" t="s">
        <v>3730</v>
      </c>
      <c r="K126" s="294" t="s">
        <v>3731</v>
      </c>
      <c r="L126" s="294" t="s">
        <v>3732</v>
      </c>
      <c r="N126" s="294" t="s">
        <v>137</v>
      </c>
      <c r="P126" s="296" t="b">
        <v>0</v>
      </c>
      <c r="Q126" s="299" t="s">
        <v>2360</v>
      </c>
      <c r="R126" s="300">
        <v>211.0</v>
      </c>
    </row>
    <row r="127" ht="15.0" customHeight="1">
      <c r="A127" s="301" t="s">
        <v>3733</v>
      </c>
      <c r="B127" s="302">
        <v>2.0</v>
      </c>
      <c r="C127" s="301" t="s">
        <v>3267</v>
      </c>
      <c r="D127" s="301" t="s">
        <v>304</v>
      </c>
      <c r="E127" s="303" t="b">
        <v>1</v>
      </c>
      <c r="F127" s="301" t="s">
        <v>3280</v>
      </c>
      <c r="G127" s="301" t="s">
        <v>3288</v>
      </c>
      <c r="H127" s="301" t="s">
        <v>3734</v>
      </c>
      <c r="I127" s="301" t="s">
        <v>3290</v>
      </c>
      <c r="J127" s="305" t="s">
        <v>3735</v>
      </c>
      <c r="K127" s="301" t="s">
        <v>35</v>
      </c>
      <c r="L127" s="301" t="s">
        <v>3736</v>
      </c>
      <c r="P127" s="303" t="b">
        <v>0</v>
      </c>
      <c r="Q127" s="299" t="s">
        <v>2360</v>
      </c>
      <c r="R127" s="300">
        <v>211.0</v>
      </c>
    </row>
    <row r="128" ht="15.0" customHeight="1">
      <c r="A128" s="294" t="s">
        <v>1681</v>
      </c>
      <c r="B128" s="295">
        <v>2.0</v>
      </c>
      <c r="C128" s="294" t="s">
        <v>3267</v>
      </c>
      <c r="D128" s="294" t="s">
        <v>304</v>
      </c>
      <c r="E128" s="296" t="b">
        <v>0</v>
      </c>
      <c r="F128" s="294" t="s">
        <v>3280</v>
      </c>
      <c r="G128" s="294" t="s">
        <v>3269</v>
      </c>
      <c r="H128" s="306"/>
      <c r="I128" s="294" t="s">
        <v>3270</v>
      </c>
      <c r="J128" s="298" t="s">
        <v>3737</v>
      </c>
      <c r="K128" s="294" t="s">
        <v>3466</v>
      </c>
      <c r="L128" s="294" t="s">
        <v>3738</v>
      </c>
      <c r="O128" s="294" t="s">
        <v>87</v>
      </c>
      <c r="P128" s="296" t="b">
        <v>0</v>
      </c>
      <c r="Q128" s="299" t="s">
        <v>2360</v>
      </c>
      <c r="R128" s="300">
        <v>212.0</v>
      </c>
    </row>
    <row r="129" ht="15.0" customHeight="1">
      <c r="A129" s="301" t="s">
        <v>3739</v>
      </c>
      <c r="B129" s="302">
        <v>2.0</v>
      </c>
      <c r="C129" s="301" t="s">
        <v>3267</v>
      </c>
      <c r="D129" s="301" t="s">
        <v>305</v>
      </c>
      <c r="E129" s="303" t="b">
        <v>1</v>
      </c>
      <c r="F129" s="301" t="s">
        <v>3280</v>
      </c>
      <c r="G129" s="301" t="s">
        <v>3269</v>
      </c>
      <c r="H129" s="307"/>
      <c r="I129" s="301" t="s">
        <v>3404</v>
      </c>
      <c r="J129" s="305" t="s">
        <v>3740</v>
      </c>
      <c r="K129" s="301" t="s">
        <v>3741</v>
      </c>
      <c r="L129" s="301" t="s">
        <v>3742</v>
      </c>
      <c r="N129" s="301" t="s">
        <v>116</v>
      </c>
      <c r="P129" s="303" t="b">
        <v>1</v>
      </c>
      <c r="Q129" s="299" t="s">
        <v>2360</v>
      </c>
      <c r="R129" s="300">
        <v>215.0</v>
      </c>
    </row>
    <row r="130" ht="15.0" customHeight="1">
      <c r="A130" s="294" t="s">
        <v>2093</v>
      </c>
      <c r="B130" s="295">
        <v>2.0</v>
      </c>
      <c r="C130" s="294" t="s">
        <v>3267</v>
      </c>
      <c r="D130" s="294" t="s">
        <v>310</v>
      </c>
      <c r="E130" s="296" t="b">
        <v>1</v>
      </c>
      <c r="F130" s="294" t="s">
        <v>3743</v>
      </c>
      <c r="G130" s="294" t="s">
        <v>3288</v>
      </c>
      <c r="H130" s="294" t="s">
        <v>3744</v>
      </c>
      <c r="I130" s="294" t="s">
        <v>3404</v>
      </c>
      <c r="J130" s="298" t="s">
        <v>3745</v>
      </c>
      <c r="K130" s="294" t="s">
        <v>3671</v>
      </c>
      <c r="L130" s="294" t="s">
        <v>3746</v>
      </c>
      <c r="O130" s="306"/>
      <c r="P130" s="296" t="b">
        <v>0</v>
      </c>
      <c r="Q130" s="299" t="s">
        <v>2360</v>
      </c>
      <c r="R130" s="300">
        <v>215.0</v>
      </c>
    </row>
    <row r="131" ht="15.0" customHeight="1">
      <c r="A131" s="301" t="s">
        <v>3747</v>
      </c>
      <c r="B131" s="302">
        <v>2.0</v>
      </c>
      <c r="C131" s="301" t="s">
        <v>3267</v>
      </c>
      <c r="D131" s="301" t="s">
        <v>304</v>
      </c>
      <c r="E131" s="303" t="b">
        <v>0</v>
      </c>
      <c r="F131" s="301" t="s">
        <v>3312</v>
      </c>
      <c r="G131" s="301" t="s">
        <v>3288</v>
      </c>
      <c r="H131" s="301" t="s">
        <v>3748</v>
      </c>
      <c r="I131" s="301" t="s">
        <v>3270</v>
      </c>
      <c r="J131" s="305" t="s">
        <v>3749</v>
      </c>
      <c r="K131" s="301" t="s">
        <v>3466</v>
      </c>
      <c r="L131" s="301" t="s">
        <v>3446</v>
      </c>
      <c r="P131" s="303" t="b">
        <v>0</v>
      </c>
      <c r="Q131" s="299" t="s">
        <v>2360</v>
      </c>
      <c r="R131" s="300">
        <v>217.0</v>
      </c>
    </row>
    <row r="132" ht="15.0" customHeight="1">
      <c r="A132" s="294" t="s">
        <v>3750</v>
      </c>
      <c r="B132" s="295">
        <v>2.0</v>
      </c>
      <c r="C132" s="294" t="s">
        <v>3267</v>
      </c>
      <c r="D132" s="294" t="s">
        <v>299</v>
      </c>
      <c r="E132" s="296" t="b">
        <v>0</v>
      </c>
      <c r="F132" s="294" t="s">
        <v>3312</v>
      </c>
      <c r="G132" s="294" t="s">
        <v>3288</v>
      </c>
      <c r="H132" s="294" t="s">
        <v>3751</v>
      </c>
      <c r="I132" s="294" t="s">
        <v>3481</v>
      </c>
      <c r="J132" s="298" t="s">
        <v>3752</v>
      </c>
      <c r="K132" s="294" t="s">
        <v>3753</v>
      </c>
      <c r="L132" s="294" t="s">
        <v>3754</v>
      </c>
      <c r="M132" s="294" t="s">
        <v>3755</v>
      </c>
      <c r="N132" s="294" t="s">
        <v>164</v>
      </c>
      <c r="O132" s="294" t="s">
        <v>3756</v>
      </c>
      <c r="P132" s="296" t="b">
        <v>0</v>
      </c>
      <c r="Q132" s="299" t="s">
        <v>2360</v>
      </c>
      <c r="R132" s="300">
        <v>217.0</v>
      </c>
    </row>
    <row r="133" ht="15.0" customHeight="1">
      <c r="A133" s="301" t="s">
        <v>3757</v>
      </c>
      <c r="B133" s="302">
        <v>2.0</v>
      </c>
      <c r="C133" s="301" t="s">
        <v>3267</v>
      </c>
      <c r="D133" s="301" t="s">
        <v>303</v>
      </c>
      <c r="E133" s="303" t="b">
        <v>0</v>
      </c>
      <c r="F133" s="301" t="s">
        <v>3312</v>
      </c>
      <c r="G133" s="301" t="s">
        <v>3288</v>
      </c>
      <c r="H133" s="301" t="s">
        <v>3486</v>
      </c>
      <c r="I133" s="301" t="s">
        <v>3487</v>
      </c>
      <c r="J133" s="305" t="s">
        <v>3758</v>
      </c>
      <c r="K133" s="301" t="s">
        <v>3489</v>
      </c>
      <c r="M133" s="307"/>
      <c r="N133" s="301" t="s">
        <v>116</v>
      </c>
      <c r="O133" s="301" t="s">
        <v>252</v>
      </c>
      <c r="P133" s="303" t="b">
        <v>1</v>
      </c>
      <c r="Q133" s="299" t="s">
        <v>2360</v>
      </c>
      <c r="R133" s="300">
        <v>219.0</v>
      </c>
    </row>
    <row r="134" ht="15.0" customHeight="1">
      <c r="A134" s="294" t="s">
        <v>3759</v>
      </c>
      <c r="B134" s="295">
        <v>2.0</v>
      </c>
      <c r="C134" s="294" t="s">
        <v>3267</v>
      </c>
      <c r="D134" s="294" t="s">
        <v>308</v>
      </c>
      <c r="E134" s="296" t="b">
        <v>0</v>
      </c>
      <c r="F134" s="294" t="s">
        <v>3312</v>
      </c>
      <c r="G134" s="294" t="s">
        <v>3308</v>
      </c>
      <c r="H134" s="306"/>
      <c r="I134" s="294" t="s">
        <v>3290</v>
      </c>
      <c r="J134" s="298" t="s">
        <v>3760</v>
      </c>
      <c r="K134" s="294" t="s">
        <v>3761</v>
      </c>
      <c r="L134" s="294" t="s">
        <v>3762</v>
      </c>
      <c r="P134" s="296" t="b">
        <v>0</v>
      </c>
      <c r="Q134" s="299" t="s">
        <v>2360</v>
      </c>
      <c r="R134" s="300">
        <v>219.0</v>
      </c>
    </row>
    <row r="135" ht="15.0" customHeight="1">
      <c r="A135" s="301" t="s">
        <v>1672</v>
      </c>
      <c r="B135" s="302">
        <v>2.0</v>
      </c>
      <c r="C135" s="301" t="s">
        <v>3267</v>
      </c>
      <c r="D135" s="301" t="s">
        <v>310</v>
      </c>
      <c r="E135" s="303" t="b">
        <v>1</v>
      </c>
      <c r="F135" s="301" t="s">
        <v>3312</v>
      </c>
      <c r="G135" s="301" t="s">
        <v>3288</v>
      </c>
      <c r="H135" s="301" t="s">
        <v>3763</v>
      </c>
      <c r="I135" s="301" t="s">
        <v>3290</v>
      </c>
      <c r="J135" s="305" t="s">
        <v>3764</v>
      </c>
      <c r="K135" s="301" t="s">
        <v>3645</v>
      </c>
      <c r="L135" s="301" t="s">
        <v>3765</v>
      </c>
      <c r="M135" s="301" t="s">
        <v>3766</v>
      </c>
      <c r="N135" s="301" t="s">
        <v>3767</v>
      </c>
      <c r="O135" s="301" t="s">
        <v>261</v>
      </c>
      <c r="P135" s="303" t="b">
        <v>0</v>
      </c>
      <c r="Q135" s="299" t="s">
        <v>2360</v>
      </c>
      <c r="R135" s="300">
        <v>219.0</v>
      </c>
    </row>
    <row r="136" ht="15.0" customHeight="1">
      <c r="A136" s="294" t="s">
        <v>3768</v>
      </c>
      <c r="B136" s="295">
        <v>2.0</v>
      </c>
      <c r="C136" s="294" t="s">
        <v>3404</v>
      </c>
      <c r="D136" s="294" t="s">
        <v>301</v>
      </c>
      <c r="E136" s="296" t="b">
        <v>0</v>
      </c>
      <c r="F136" s="294" t="s">
        <v>3312</v>
      </c>
      <c r="G136" s="294" t="s">
        <v>3269</v>
      </c>
      <c r="H136" s="306"/>
      <c r="I136" s="294" t="s">
        <v>3270</v>
      </c>
      <c r="J136" s="298" t="s">
        <v>3769</v>
      </c>
      <c r="K136" s="294" t="s">
        <v>48</v>
      </c>
      <c r="L136" s="306"/>
      <c r="M136" s="306"/>
      <c r="N136" s="306"/>
      <c r="O136" s="306"/>
      <c r="P136" s="296" t="b">
        <v>0</v>
      </c>
      <c r="Q136" s="299" t="s">
        <v>2360</v>
      </c>
      <c r="R136" s="300">
        <v>221.0</v>
      </c>
    </row>
    <row r="137" ht="15.0" customHeight="1">
      <c r="A137" s="301" t="s">
        <v>3770</v>
      </c>
      <c r="B137" s="302">
        <v>2.0</v>
      </c>
      <c r="C137" s="301" t="s">
        <v>3290</v>
      </c>
      <c r="D137" s="301" t="s">
        <v>305</v>
      </c>
      <c r="E137" s="303" t="b">
        <v>0</v>
      </c>
      <c r="F137" s="301" t="s">
        <v>3312</v>
      </c>
      <c r="G137" s="301" t="s">
        <v>3288</v>
      </c>
      <c r="H137" s="301" t="s">
        <v>3771</v>
      </c>
      <c r="I137" s="301" t="s">
        <v>3772</v>
      </c>
      <c r="J137" s="305" t="s">
        <v>3773</v>
      </c>
      <c r="K137" s="301" t="s">
        <v>3696</v>
      </c>
      <c r="L137" s="301" t="s">
        <v>3446</v>
      </c>
      <c r="N137" s="301" t="s">
        <v>116</v>
      </c>
      <c r="P137" s="303" t="b">
        <v>1</v>
      </c>
      <c r="Q137" s="299" t="s">
        <v>2360</v>
      </c>
      <c r="R137" s="300">
        <v>222.0</v>
      </c>
    </row>
    <row r="138" ht="15.0" customHeight="1">
      <c r="A138" s="294" t="s">
        <v>3774</v>
      </c>
      <c r="B138" s="295">
        <v>2.0</v>
      </c>
      <c r="C138" s="294" t="s">
        <v>3267</v>
      </c>
      <c r="D138" s="294" t="s">
        <v>310</v>
      </c>
      <c r="E138" s="296" t="b">
        <v>1</v>
      </c>
      <c r="F138" s="294" t="s">
        <v>3312</v>
      </c>
      <c r="G138" s="294" t="s">
        <v>3288</v>
      </c>
      <c r="H138" s="294" t="s">
        <v>3775</v>
      </c>
      <c r="I138" s="294" t="s">
        <v>3290</v>
      </c>
      <c r="J138" s="298" t="s">
        <v>3776</v>
      </c>
      <c r="K138" s="294" t="s">
        <v>3466</v>
      </c>
      <c r="L138" s="294" t="s">
        <v>3446</v>
      </c>
      <c r="P138" s="296" t="b">
        <v>0</v>
      </c>
      <c r="Q138" s="299" t="s">
        <v>2360</v>
      </c>
      <c r="R138" s="300">
        <v>227.0</v>
      </c>
    </row>
    <row r="139" ht="15.0" customHeight="1">
      <c r="A139" s="301" t="s">
        <v>3777</v>
      </c>
      <c r="B139" s="302">
        <v>2.0</v>
      </c>
      <c r="C139" s="301" t="s">
        <v>3404</v>
      </c>
      <c r="D139" s="301" t="s">
        <v>304</v>
      </c>
      <c r="E139" s="303" t="b">
        <v>0</v>
      </c>
      <c r="F139" s="301" t="s">
        <v>3312</v>
      </c>
      <c r="G139" s="301" t="s">
        <v>3308</v>
      </c>
      <c r="H139" s="307"/>
      <c r="I139" s="301" t="s">
        <v>3270</v>
      </c>
      <c r="J139" s="305" t="s">
        <v>3778</v>
      </c>
      <c r="K139" s="301" t="s">
        <v>29</v>
      </c>
      <c r="L139" s="301" t="s">
        <v>3347</v>
      </c>
      <c r="M139" s="301" t="s">
        <v>3779</v>
      </c>
      <c r="N139" s="301" t="s">
        <v>161</v>
      </c>
      <c r="P139" s="303" t="b">
        <v>0</v>
      </c>
      <c r="Q139" s="299" t="s">
        <v>2360</v>
      </c>
      <c r="R139" s="300">
        <v>228.0</v>
      </c>
    </row>
    <row r="140" ht="15.0" customHeight="1">
      <c r="A140" s="294" t="s">
        <v>3780</v>
      </c>
      <c r="B140" s="295">
        <v>2.0</v>
      </c>
      <c r="C140" s="294" t="s">
        <v>3267</v>
      </c>
      <c r="D140" s="294" t="s">
        <v>303</v>
      </c>
      <c r="E140" s="296" t="b">
        <v>1</v>
      </c>
      <c r="F140" s="294" t="s">
        <v>3312</v>
      </c>
      <c r="G140" s="294" t="s">
        <v>3367</v>
      </c>
      <c r="H140" s="294" t="s">
        <v>3781</v>
      </c>
      <c r="I140" s="294" t="s">
        <v>3481</v>
      </c>
      <c r="J140" s="298" t="s">
        <v>3782</v>
      </c>
      <c r="K140" s="294" t="s">
        <v>3332</v>
      </c>
      <c r="L140" s="294" t="s">
        <v>3783</v>
      </c>
      <c r="N140" s="294" t="s">
        <v>3784</v>
      </c>
      <c r="P140" s="296" t="b">
        <v>0</v>
      </c>
      <c r="Q140" s="299" t="s">
        <v>2360</v>
      </c>
      <c r="R140" s="300">
        <v>229.0</v>
      </c>
    </row>
    <row r="141" ht="15.0" customHeight="1">
      <c r="A141" s="301" t="s">
        <v>3785</v>
      </c>
      <c r="B141" s="302">
        <v>2.0</v>
      </c>
      <c r="C141" s="301" t="s">
        <v>3267</v>
      </c>
      <c r="D141" s="301" t="s">
        <v>310</v>
      </c>
      <c r="E141" s="303" t="b">
        <v>1</v>
      </c>
      <c r="F141" s="301" t="s">
        <v>3786</v>
      </c>
      <c r="G141" s="301" t="s">
        <v>3308</v>
      </c>
      <c r="H141" s="307"/>
      <c r="I141" s="301" t="s">
        <v>3290</v>
      </c>
      <c r="J141" s="305" t="s">
        <v>3787</v>
      </c>
      <c r="K141" s="301" t="s">
        <v>3323</v>
      </c>
      <c r="L141" s="301" t="s">
        <v>3446</v>
      </c>
      <c r="P141" s="303" t="b">
        <v>0</v>
      </c>
      <c r="Q141" s="299" t="s">
        <v>2360</v>
      </c>
      <c r="R141" s="300">
        <v>230.0</v>
      </c>
    </row>
    <row r="142" ht="15.0" customHeight="1">
      <c r="A142" s="294" t="s">
        <v>3788</v>
      </c>
      <c r="B142" s="295">
        <v>2.0</v>
      </c>
      <c r="C142" s="294" t="s">
        <v>3267</v>
      </c>
      <c r="D142" s="294" t="s">
        <v>310</v>
      </c>
      <c r="E142" s="296" t="b">
        <v>0</v>
      </c>
      <c r="F142" s="294" t="s">
        <v>3356</v>
      </c>
      <c r="G142" s="294" t="s">
        <v>3288</v>
      </c>
      <c r="H142" s="294" t="s">
        <v>3789</v>
      </c>
      <c r="I142" s="294" t="s">
        <v>3481</v>
      </c>
      <c r="J142" s="298" t="s">
        <v>3790</v>
      </c>
      <c r="K142" s="294" t="s">
        <v>52</v>
      </c>
      <c r="L142" s="306"/>
      <c r="M142" s="306"/>
      <c r="N142" s="306"/>
      <c r="O142" s="306"/>
      <c r="P142" s="296" t="b">
        <v>0</v>
      </c>
      <c r="Q142" s="299" t="s">
        <v>2360</v>
      </c>
      <c r="R142" s="300">
        <v>230.0</v>
      </c>
    </row>
    <row r="143" ht="15.0" customHeight="1">
      <c r="A143" s="301" t="s">
        <v>3791</v>
      </c>
      <c r="B143" s="302">
        <v>2.0</v>
      </c>
      <c r="C143" s="301" t="s">
        <v>3267</v>
      </c>
      <c r="D143" s="301" t="s">
        <v>303</v>
      </c>
      <c r="E143" s="303" t="b">
        <v>1</v>
      </c>
      <c r="F143" s="301" t="s">
        <v>3370</v>
      </c>
      <c r="G143" s="301" t="s">
        <v>3269</v>
      </c>
      <c r="H143" s="307"/>
      <c r="I143" s="301" t="s">
        <v>3290</v>
      </c>
      <c r="J143" s="305" t="s">
        <v>3792</v>
      </c>
      <c r="K143" s="301" t="s">
        <v>3494</v>
      </c>
      <c r="L143" s="301" t="s">
        <v>3793</v>
      </c>
      <c r="N143" s="301" t="s">
        <v>3794</v>
      </c>
      <c r="O143" s="301" t="s">
        <v>3795</v>
      </c>
      <c r="P143" s="303" t="b">
        <v>0</v>
      </c>
      <c r="Q143" s="299" t="s">
        <v>2360</v>
      </c>
      <c r="R143" s="300">
        <v>231.0</v>
      </c>
    </row>
    <row r="144" ht="15.0" customHeight="1">
      <c r="A144" s="294" t="s">
        <v>3796</v>
      </c>
      <c r="B144" s="295">
        <v>2.0</v>
      </c>
      <c r="C144" s="294" t="s">
        <v>3267</v>
      </c>
      <c r="D144" s="294" t="s">
        <v>301</v>
      </c>
      <c r="E144" s="296" t="b">
        <v>1</v>
      </c>
      <c r="F144" s="294" t="s">
        <v>3370</v>
      </c>
      <c r="G144" s="294" t="s">
        <v>3288</v>
      </c>
      <c r="H144" s="294" t="s">
        <v>3797</v>
      </c>
      <c r="I144" s="294" t="s">
        <v>3290</v>
      </c>
      <c r="J144" s="298" t="s">
        <v>3798</v>
      </c>
      <c r="K144" s="294" t="s">
        <v>3332</v>
      </c>
      <c r="L144" s="294" t="s">
        <v>3446</v>
      </c>
      <c r="P144" s="296" t="b">
        <v>0</v>
      </c>
      <c r="Q144" s="299" t="s">
        <v>3296</v>
      </c>
      <c r="R144" s="300">
        <v>154.0</v>
      </c>
    </row>
    <row r="145" ht="15.0" customHeight="1">
      <c r="A145" s="301" t="s">
        <v>1669</v>
      </c>
      <c r="B145" s="302">
        <v>2.0</v>
      </c>
      <c r="C145" s="301" t="s">
        <v>3267</v>
      </c>
      <c r="D145" s="301" t="s">
        <v>304</v>
      </c>
      <c r="E145" s="303" t="b">
        <v>1</v>
      </c>
      <c r="F145" s="301" t="s">
        <v>3370</v>
      </c>
      <c r="G145" s="301" t="s">
        <v>3367</v>
      </c>
      <c r="H145" s="301" t="s">
        <v>3799</v>
      </c>
      <c r="I145" s="301" t="s">
        <v>3404</v>
      </c>
      <c r="J145" s="305" t="s">
        <v>3800</v>
      </c>
      <c r="K145" s="301" t="s">
        <v>3283</v>
      </c>
      <c r="L145" s="301" t="s">
        <v>3801</v>
      </c>
      <c r="N145" s="301" t="s">
        <v>3802</v>
      </c>
      <c r="P145" s="303" t="b">
        <v>0</v>
      </c>
      <c r="Q145" s="299" t="s">
        <v>3296</v>
      </c>
      <c r="R145" s="300">
        <v>154.0</v>
      </c>
    </row>
    <row r="146" ht="15.0" customHeight="1">
      <c r="A146" s="294" t="s">
        <v>3803</v>
      </c>
      <c r="B146" s="295">
        <v>2.0</v>
      </c>
      <c r="C146" s="294" t="s">
        <v>3267</v>
      </c>
      <c r="D146" s="294" t="s">
        <v>301</v>
      </c>
      <c r="E146" s="296" t="b">
        <v>1</v>
      </c>
      <c r="F146" s="294" t="s">
        <v>3370</v>
      </c>
      <c r="G146" s="294" t="s">
        <v>3288</v>
      </c>
      <c r="H146" s="294" t="s">
        <v>3804</v>
      </c>
      <c r="I146" s="294" t="s">
        <v>3290</v>
      </c>
      <c r="J146" s="298" t="s">
        <v>3805</v>
      </c>
      <c r="K146" s="294" t="s">
        <v>3319</v>
      </c>
      <c r="L146" s="294" t="s">
        <v>3446</v>
      </c>
      <c r="P146" s="296" t="b">
        <v>0</v>
      </c>
      <c r="Q146" s="299" t="s">
        <v>3296</v>
      </c>
      <c r="R146" s="300">
        <v>154.0</v>
      </c>
    </row>
    <row r="147" ht="15.0" customHeight="1">
      <c r="A147" s="301" t="s">
        <v>3806</v>
      </c>
      <c r="B147" s="302">
        <v>2.0</v>
      </c>
      <c r="C147" s="301" t="s">
        <v>3267</v>
      </c>
      <c r="D147" s="301" t="s">
        <v>303</v>
      </c>
      <c r="E147" s="303" t="b">
        <v>0</v>
      </c>
      <c r="F147" s="301" t="s">
        <v>3370</v>
      </c>
      <c r="G147" s="301" t="s">
        <v>3269</v>
      </c>
      <c r="H147" s="307"/>
      <c r="I147" s="301" t="s">
        <v>3290</v>
      </c>
      <c r="J147" s="305" t="s">
        <v>3807</v>
      </c>
      <c r="K147" s="301" t="s">
        <v>3808</v>
      </c>
      <c r="L147" s="301" t="s">
        <v>3809</v>
      </c>
      <c r="N147" s="301" t="s">
        <v>260</v>
      </c>
      <c r="O147" s="301" t="s">
        <v>3810</v>
      </c>
      <c r="P147" s="303" t="b">
        <v>0</v>
      </c>
      <c r="Q147" s="299" t="s">
        <v>2360</v>
      </c>
      <c r="R147" s="300">
        <v>237.0</v>
      </c>
    </row>
    <row r="148" ht="15.0" customHeight="1">
      <c r="A148" s="294" t="s">
        <v>2085</v>
      </c>
      <c r="B148" s="295">
        <v>2.0</v>
      </c>
      <c r="C148" s="294" t="s">
        <v>3267</v>
      </c>
      <c r="D148" s="294" t="s">
        <v>301</v>
      </c>
      <c r="E148" s="296" t="b">
        <v>1</v>
      </c>
      <c r="F148" s="294" t="s">
        <v>3370</v>
      </c>
      <c r="G148" s="294" t="s">
        <v>3288</v>
      </c>
      <c r="H148" s="294" t="s">
        <v>3811</v>
      </c>
      <c r="I148" s="294" t="s">
        <v>3290</v>
      </c>
      <c r="J148" s="298" t="s">
        <v>3812</v>
      </c>
      <c r="K148" s="294" t="s">
        <v>3813</v>
      </c>
      <c r="L148" s="294" t="s">
        <v>3814</v>
      </c>
      <c r="M148" s="294" t="s">
        <v>3558</v>
      </c>
      <c r="O148" s="294" t="s">
        <v>234</v>
      </c>
      <c r="P148" s="296" t="b">
        <v>0</v>
      </c>
      <c r="Q148" s="299" t="s">
        <v>2360</v>
      </c>
      <c r="R148" s="300">
        <v>237.0</v>
      </c>
    </row>
    <row r="149" ht="15.0" customHeight="1">
      <c r="A149" s="301" t="s">
        <v>3815</v>
      </c>
      <c r="B149" s="302">
        <v>2.0</v>
      </c>
      <c r="C149" s="301" t="s">
        <v>3290</v>
      </c>
      <c r="D149" s="301" t="s">
        <v>302</v>
      </c>
      <c r="E149" s="303" t="b">
        <v>0</v>
      </c>
      <c r="F149" s="301" t="s">
        <v>3370</v>
      </c>
      <c r="G149" s="301" t="s">
        <v>3288</v>
      </c>
      <c r="H149" s="301" t="s">
        <v>3816</v>
      </c>
      <c r="I149" s="301" t="s">
        <v>3337</v>
      </c>
      <c r="J149" s="305" t="s">
        <v>3817</v>
      </c>
      <c r="K149" s="307"/>
      <c r="L149" s="301" t="s">
        <v>3341</v>
      </c>
      <c r="O149" s="307"/>
      <c r="P149" s="303" t="b">
        <v>0</v>
      </c>
      <c r="Q149" s="299" t="s">
        <v>2360</v>
      </c>
      <c r="R149" s="300">
        <v>238.0</v>
      </c>
    </row>
    <row r="150" ht="15.0" customHeight="1">
      <c r="A150" s="294" t="s">
        <v>1674</v>
      </c>
      <c r="B150" s="295">
        <v>2.0</v>
      </c>
      <c r="C150" s="294" t="s">
        <v>3267</v>
      </c>
      <c r="D150" s="294" t="s">
        <v>304</v>
      </c>
      <c r="E150" s="296" t="b">
        <v>1</v>
      </c>
      <c r="F150" s="294" t="s">
        <v>3370</v>
      </c>
      <c r="G150" s="294" t="s">
        <v>3288</v>
      </c>
      <c r="H150" s="294" t="s">
        <v>3818</v>
      </c>
      <c r="I150" s="294" t="s">
        <v>3290</v>
      </c>
      <c r="J150" s="298" t="s">
        <v>3819</v>
      </c>
      <c r="K150" s="294" t="s">
        <v>3319</v>
      </c>
      <c r="L150" s="294" t="s">
        <v>3820</v>
      </c>
      <c r="M150" s="294" t="s">
        <v>3594</v>
      </c>
      <c r="N150" s="294" t="s">
        <v>3459</v>
      </c>
      <c r="P150" s="296" t="b">
        <v>0</v>
      </c>
      <c r="Q150" s="299" t="s">
        <v>2360</v>
      </c>
      <c r="R150" s="300">
        <v>240.0</v>
      </c>
    </row>
    <row r="151" ht="15.0" customHeight="1">
      <c r="A151" s="301" t="s">
        <v>3821</v>
      </c>
      <c r="B151" s="302">
        <v>2.0</v>
      </c>
      <c r="C151" s="301" t="s">
        <v>3418</v>
      </c>
      <c r="D151" s="301" t="s">
        <v>301</v>
      </c>
      <c r="E151" s="303" t="b">
        <v>1</v>
      </c>
      <c r="F151" s="301" t="s">
        <v>3370</v>
      </c>
      <c r="G151" s="301" t="s">
        <v>3269</v>
      </c>
      <c r="H151" s="304"/>
      <c r="I151" s="301" t="s">
        <v>3290</v>
      </c>
      <c r="J151" s="305" t="s">
        <v>3822</v>
      </c>
      <c r="K151" s="301" t="s">
        <v>3671</v>
      </c>
      <c r="M151" s="307"/>
      <c r="N151" s="307"/>
      <c r="O151" s="307"/>
      <c r="P151" s="303" t="b">
        <v>0</v>
      </c>
      <c r="Q151" s="299" t="s">
        <v>2360</v>
      </c>
      <c r="R151" s="300">
        <v>241.0</v>
      </c>
    </row>
    <row r="152" ht="15.0" customHeight="1">
      <c r="A152" s="294" t="s">
        <v>3823</v>
      </c>
      <c r="B152" s="295">
        <v>2.0</v>
      </c>
      <c r="C152" s="294" t="s">
        <v>3267</v>
      </c>
      <c r="D152" s="294" t="s">
        <v>310</v>
      </c>
      <c r="E152" s="296" t="b">
        <v>1</v>
      </c>
      <c r="F152" s="294" t="s">
        <v>3370</v>
      </c>
      <c r="G152" s="294" t="s">
        <v>3288</v>
      </c>
      <c r="H152" s="294" t="s">
        <v>3824</v>
      </c>
      <c r="I152" s="294" t="s">
        <v>3290</v>
      </c>
      <c r="J152" s="298" t="s">
        <v>3825</v>
      </c>
      <c r="K152" s="294" t="s">
        <v>3547</v>
      </c>
      <c r="L152" s="294" t="s">
        <v>3826</v>
      </c>
      <c r="O152" s="294" t="s">
        <v>198</v>
      </c>
      <c r="P152" s="296" t="b">
        <v>0</v>
      </c>
      <c r="Q152" s="299" t="s">
        <v>2360</v>
      </c>
      <c r="R152" s="300">
        <v>242.0</v>
      </c>
    </row>
    <row r="153" ht="15.0" customHeight="1">
      <c r="A153" s="301" t="s">
        <v>2088</v>
      </c>
      <c r="B153" s="302">
        <v>2.0</v>
      </c>
      <c r="C153" s="301" t="s">
        <v>3267</v>
      </c>
      <c r="D153" s="301" t="s">
        <v>303</v>
      </c>
      <c r="E153" s="303" t="b">
        <v>1</v>
      </c>
      <c r="F153" s="301" t="s">
        <v>3370</v>
      </c>
      <c r="G153" s="301" t="s">
        <v>3288</v>
      </c>
      <c r="H153" s="301" t="s">
        <v>3827</v>
      </c>
      <c r="I153" s="301" t="s">
        <v>3290</v>
      </c>
      <c r="J153" s="305" t="s">
        <v>3828</v>
      </c>
      <c r="K153" s="301" t="s">
        <v>3829</v>
      </c>
      <c r="L153" s="301" t="s">
        <v>3830</v>
      </c>
      <c r="O153" s="301" t="s">
        <v>28</v>
      </c>
      <c r="P153" s="303" t="b">
        <v>0</v>
      </c>
      <c r="Q153" s="299" t="s">
        <v>2360</v>
      </c>
      <c r="R153" s="300">
        <v>242.0</v>
      </c>
    </row>
    <row r="154" ht="15.0" customHeight="1">
      <c r="A154" s="294" t="s">
        <v>3831</v>
      </c>
      <c r="B154" s="295">
        <v>2.0</v>
      </c>
      <c r="C154" s="294" t="s">
        <v>3267</v>
      </c>
      <c r="D154" s="294" t="s">
        <v>303</v>
      </c>
      <c r="E154" s="296" t="b">
        <v>0</v>
      </c>
      <c r="F154" s="294" t="s">
        <v>3370</v>
      </c>
      <c r="G154" s="294" t="s">
        <v>3329</v>
      </c>
      <c r="H154" s="294" t="s">
        <v>3832</v>
      </c>
      <c r="I154" s="294" t="s">
        <v>3290</v>
      </c>
      <c r="J154" s="298" t="s">
        <v>3833</v>
      </c>
      <c r="K154" s="294" t="s">
        <v>69</v>
      </c>
      <c r="L154" s="294" t="s">
        <v>3446</v>
      </c>
      <c r="P154" s="296" t="b">
        <v>0</v>
      </c>
      <c r="Q154" s="299" t="s">
        <v>3392</v>
      </c>
      <c r="R154" s="300">
        <v>186.0</v>
      </c>
    </row>
    <row r="155" ht="15.0" customHeight="1">
      <c r="A155" s="301" t="s">
        <v>3834</v>
      </c>
      <c r="B155" s="302">
        <v>2.0</v>
      </c>
      <c r="C155" s="301" t="s">
        <v>3267</v>
      </c>
      <c r="D155" s="301" t="s">
        <v>310</v>
      </c>
      <c r="E155" s="303" t="b">
        <v>0</v>
      </c>
      <c r="F155" s="301" t="s">
        <v>3370</v>
      </c>
      <c r="G155" s="301" t="s">
        <v>3308</v>
      </c>
      <c r="H155" s="307"/>
      <c r="I155" s="301" t="s">
        <v>3270</v>
      </c>
      <c r="J155" s="305" t="s">
        <v>3835</v>
      </c>
      <c r="K155" s="301" t="s">
        <v>3583</v>
      </c>
      <c r="L155" s="301" t="s">
        <v>3446</v>
      </c>
      <c r="M155" s="301" t="s">
        <v>65</v>
      </c>
      <c r="N155" s="301" t="s">
        <v>58</v>
      </c>
      <c r="P155" s="303" t="b">
        <v>0</v>
      </c>
      <c r="Q155" s="299" t="s">
        <v>2360</v>
      </c>
      <c r="R155" s="300">
        <v>245.0</v>
      </c>
    </row>
    <row r="156" ht="15.0" customHeight="1">
      <c r="A156" s="294" t="s">
        <v>1678</v>
      </c>
      <c r="B156" s="295">
        <v>2.0</v>
      </c>
      <c r="C156" s="294" t="s">
        <v>3267</v>
      </c>
      <c r="D156" s="294" t="s">
        <v>310</v>
      </c>
      <c r="E156" s="296" t="b">
        <v>1</v>
      </c>
      <c r="F156" s="294" t="s">
        <v>3370</v>
      </c>
      <c r="G156" s="294" t="s">
        <v>3288</v>
      </c>
      <c r="H156" s="294" t="s">
        <v>3836</v>
      </c>
      <c r="I156" s="294" t="s">
        <v>3404</v>
      </c>
      <c r="J156" s="298" t="s">
        <v>3837</v>
      </c>
      <c r="K156" s="294" t="s">
        <v>3298</v>
      </c>
      <c r="L156" s="294" t="s">
        <v>3838</v>
      </c>
      <c r="N156" s="294" t="s">
        <v>3839</v>
      </c>
      <c r="P156" s="296" t="b">
        <v>0</v>
      </c>
      <c r="Q156" s="299" t="s">
        <v>2218</v>
      </c>
      <c r="R156" s="300">
        <v>76.0</v>
      </c>
    </row>
    <row r="157" ht="15.0" customHeight="1">
      <c r="A157" s="301" t="s">
        <v>3840</v>
      </c>
      <c r="B157" s="302">
        <v>2.0</v>
      </c>
      <c r="C157" s="301" t="s">
        <v>3267</v>
      </c>
      <c r="D157" s="301" t="s">
        <v>302</v>
      </c>
      <c r="E157" s="303" t="b">
        <v>1</v>
      </c>
      <c r="F157" s="301" t="s">
        <v>3370</v>
      </c>
      <c r="G157" s="301" t="s">
        <v>3336</v>
      </c>
      <c r="H157" s="304"/>
      <c r="I157" s="301" t="s">
        <v>3337</v>
      </c>
      <c r="J157" s="305" t="s">
        <v>3841</v>
      </c>
      <c r="K157" s="301" t="s">
        <v>3283</v>
      </c>
      <c r="L157" s="301" t="s">
        <v>3446</v>
      </c>
      <c r="M157" s="301" t="s">
        <v>23</v>
      </c>
      <c r="N157" s="307"/>
      <c r="O157" s="307"/>
      <c r="P157" s="303" t="b">
        <v>0</v>
      </c>
      <c r="Q157" s="299" t="s">
        <v>2360</v>
      </c>
      <c r="R157" s="300">
        <v>248.0</v>
      </c>
    </row>
    <row r="158" ht="15.0" customHeight="1">
      <c r="A158" s="294" t="s">
        <v>3842</v>
      </c>
      <c r="B158" s="295">
        <v>2.0</v>
      </c>
      <c r="C158" s="294" t="s">
        <v>3267</v>
      </c>
      <c r="D158" s="294" t="s">
        <v>305</v>
      </c>
      <c r="E158" s="296" t="b">
        <v>1</v>
      </c>
      <c r="F158" s="294" t="s">
        <v>3370</v>
      </c>
      <c r="G158" s="294" t="s">
        <v>3288</v>
      </c>
      <c r="H158" s="294" t="s">
        <v>3330</v>
      </c>
      <c r="I158" s="294" t="s">
        <v>3290</v>
      </c>
      <c r="J158" s="298" t="s">
        <v>3843</v>
      </c>
      <c r="K158" s="294" t="s">
        <v>3583</v>
      </c>
      <c r="L158" s="294" t="s">
        <v>3844</v>
      </c>
      <c r="P158" s="296" t="b">
        <v>0</v>
      </c>
      <c r="Q158" s="299" t="s">
        <v>3296</v>
      </c>
      <c r="R158" s="300">
        <v>157.0</v>
      </c>
    </row>
    <row r="159" ht="15.0" customHeight="1">
      <c r="A159" s="301" t="s">
        <v>3845</v>
      </c>
      <c r="B159" s="302">
        <v>2.0</v>
      </c>
      <c r="C159" s="301" t="s">
        <v>3267</v>
      </c>
      <c r="D159" s="301" t="s">
        <v>310</v>
      </c>
      <c r="E159" s="303" t="b">
        <v>0</v>
      </c>
      <c r="F159" s="301" t="s">
        <v>3370</v>
      </c>
      <c r="G159" s="301" t="s">
        <v>3269</v>
      </c>
      <c r="H159" s="304"/>
      <c r="I159" s="301" t="s">
        <v>3270</v>
      </c>
      <c r="J159" s="305" t="s">
        <v>3846</v>
      </c>
      <c r="K159" s="301" t="s">
        <v>3292</v>
      </c>
      <c r="L159" s="301" t="s">
        <v>3446</v>
      </c>
      <c r="P159" s="303" t="b">
        <v>0</v>
      </c>
      <c r="Q159" s="299" t="s">
        <v>2360</v>
      </c>
      <c r="R159" s="300">
        <v>250.0</v>
      </c>
    </row>
    <row r="160" ht="15.0" customHeight="1">
      <c r="A160" s="294" t="s">
        <v>3847</v>
      </c>
      <c r="B160" s="295">
        <v>2.0</v>
      </c>
      <c r="C160" s="294" t="s">
        <v>3267</v>
      </c>
      <c r="D160" s="294" t="s">
        <v>308</v>
      </c>
      <c r="E160" s="296" t="b">
        <v>1</v>
      </c>
      <c r="F160" s="294" t="s">
        <v>3370</v>
      </c>
      <c r="G160" s="294" t="s">
        <v>3269</v>
      </c>
      <c r="H160" s="306"/>
      <c r="I160" s="294" t="s">
        <v>3290</v>
      </c>
      <c r="J160" s="298" t="s">
        <v>3848</v>
      </c>
      <c r="K160" s="294" t="s">
        <v>3538</v>
      </c>
      <c r="L160" s="294" t="s">
        <v>3849</v>
      </c>
      <c r="O160" s="294" t="s">
        <v>3850</v>
      </c>
      <c r="P160" s="296" t="b">
        <v>0</v>
      </c>
      <c r="Q160" s="299" t="s">
        <v>2360</v>
      </c>
      <c r="R160" s="300">
        <v>251.0</v>
      </c>
    </row>
    <row r="161" ht="15.0" customHeight="1">
      <c r="A161" s="301" t="s">
        <v>1683</v>
      </c>
      <c r="B161" s="302">
        <v>2.0</v>
      </c>
      <c r="C161" s="301" t="s">
        <v>3267</v>
      </c>
      <c r="D161" s="301" t="s">
        <v>304</v>
      </c>
      <c r="E161" s="303" t="b">
        <v>0</v>
      </c>
      <c r="F161" s="301" t="s">
        <v>3370</v>
      </c>
      <c r="G161" s="301" t="s">
        <v>3288</v>
      </c>
      <c r="H161" s="301" t="s">
        <v>3851</v>
      </c>
      <c r="I161" s="301" t="s">
        <v>3270</v>
      </c>
      <c r="J161" s="305" t="s">
        <v>3852</v>
      </c>
      <c r="K161" s="301" t="s">
        <v>3332</v>
      </c>
      <c r="L161" s="301" t="s">
        <v>3853</v>
      </c>
      <c r="O161" s="301" t="s">
        <v>165</v>
      </c>
      <c r="P161" s="303" t="b">
        <v>0</v>
      </c>
      <c r="Q161" s="299" t="s">
        <v>3392</v>
      </c>
      <c r="R161" s="300">
        <v>187.0</v>
      </c>
    </row>
    <row r="162" ht="15.0" customHeight="1">
      <c r="A162" s="294" t="s">
        <v>3854</v>
      </c>
      <c r="B162" s="295">
        <v>2.0</v>
      </c>
      <c r="C162" s="294" t="s">
        <v>3418</v>
      </c>
      <c r="D162" s="294" t="s">
        <v>304</v>
      </c>
      <c r="E162" s="296" t="b">
        <v>0</v>
      </c>
      <c r="F162" s="294" t="s">
        <v>3370</v>
      </c>
      <c r="G162" s="294" t="s">
        <v>3269</v>
      </c>
      <c r="H162" s="297"/>
      <c r="I162" s="294" t="s">
        <v>3290</v>
      </c>
      <c r="J162" s="298" t="s">
        <v>3855</v>
      </c>
      <c r="K162" s="294" t="s">
        <v>29</v>
      </c>
      <c r="L162" s="294" t="s">
        <v>3856</v>
      </c>
      <c r="P162" s="296" t="b">
        <v>0</v>
      </c>
      <c r="Q162" s="299" t="s">
        <v>2360</v>
      </c>
      <c r="R162" s="300">
        <v>254.0</v>
      </c>
    </row>
    <row r="163" ht="15.0" customHeight="1">
      <c r="A163" s="301" t="s">
        <v>3857</v>
      </c>
      <c r="B163" s="302">
        <v>2.0</v>
      </c>
      <c r="C163" s="301" t="s">
        <v>3267</v>
      </c>
      <c r="D163" s="301" t="s">
        <v>301</v>
      </c>
      <c r="E163" s="303" t="b">
        <v>1</v>
      </c>
      <c r="F163" s="301" t="s">
        <v>3370</v>
      </c>
      <c r="G163" s="301" t="s">
        <v>3288</v>
      </c>
      <c r="H163" s="301" t="s">
        <v>3858</v>
      </c>
      <c r="I163" s="301" t="s">
        <v>3337</v>
      </c>
      <c r="J163" s="305" t="s">
        <v>3859</v>
      </c>
      <c r="K163" s="301" t="s">
        <v>3860</v>
      </c>
      <c r="L163" s="301" t="s">
        <v>3861</v>
      </c>
      <c r="N163" s="301" t="s">
        <v>257</v>
      </c>
      <c r="P163" s="303" t="b">
        <v>0</v>
      </c>
      <c r="Q163" s="299" t="s">
        <v>2218</v>
      </c>
      <c r="R163" s="300">
        <v>76.0</v>
      </c>
    </row>
    <row r="164" ht="15.0" customHeight="1">
      <c r="A164" s="294" t="s">
        <v>2070</v>
      </c>
      <c r="B164" s="295">
        <v>2.0</v>
      </c>
      <c r="C164" s="294" t="s">
        <v>3267</v>
      </c>
      <c r="D164" s="294" t="s">
        <v>303</v>
      </c>
      <c r="E164" s="296" t="b">
        <v>0</v>
      </c>
      <c r="F164" s="294" t="s">
        <v>3370</v>
      </c>
      <c r="G164" s="294" t="s">
        <v>3269</v>
      </c>
      <c r="H164" s="297"/>
      <c r="I164" s="294" t="s">
        <v>3404</v>
      </c>
      <c r="J164" s="298" t="s">
        <v>3862</v>
      </c>
      <c r="K164" s="294" t="s">
        <v>3863</v>
      </c>
      <c r="L164" s="294" t="s">
        <v>3864</v>
      </c>
      <c r="N164" s="294" t="s">
        <v>188</v>
      </c>
      <c r="O164" s="294" t="s">
        <v>219</v>
      </c>
      <c r="P164" s="296" t="b">
        <v>0</v>
      </c>
      <c r="Q164" s="299" t="s">
        <v>2360</v>
      </c>
      <c r="R164" s="300">
        <v>254.0</v>
      </c>
    </row>
    <row r="165" ht="15.0" customHeight="1">
      <c r="A165" s="301" t="s">
        <v>1679</v>
      </c>
      <c r="B165" s="302">
        <v>2.0</v>
      </c>
      <c r="C165" s="301" t="s">
        <v>3267</v>
      </c>
      <c r="D165" s="301" t="s">
        <v>304</v>
      </c>
      <c r="E165" s="303" t="b">
        <v>0</v>
      </c>
      <c r="F165" s="301" t="s">
        <v>3588</v>
      </c>
      <c r="G165" s="301" t="s">
        <v>3288</v>
      </c>
      <c r="H165" s="301" t="s">
        <v>3865</v>
      </c>
      <c r="I165" s="301" t="s">
        <v>3270</v>
      </c>
      <c r="J165" s="305" t="s">
        <v>3866</v>
      </c>
      <c r="K165" s="301" t="s">
        <v>69</v>
      </c>
      <c r="L165" s="301" t="s">
        <v>3867</v>
      </c>
      <c r="P165" s="303" t="b">
        <v>0</v>
      </c>
      <c r="Q165" s="299" t="s">
        <v>2360</v>
      </c>
      <c r="R165" s="300">
        <v>255.0</v>
      </c>
    </row>
    <row r="166" ht="15.0" customHeight="1">
      <c r="A166" s="294" t="s">
        <v>3868</v>
      </c>
      <c r="B166" s="295">
        <v>2.0</v>
      </c>
      <c r="C166" s="294" t="s">
        <v>3267</v>
      </c>
      <c r="D166" s="294" t="s">
        <v>304</v>
      </c>
      <c r="E166" s="296" t="b">
        <v>0</v>
      </c>
      <c r="F166" s="294" t="s">
        <v>3588</v>
      </c>
      <c r="G166" s="294" t="s">
        <v>3288</v>
      </c>
      <c r="H166" s="294" t="s">
        <v>3869</v>
      </c>
      <c r="I166" s="294" t="s">
        <v>3270</v>
      </c>
      <c r="J166" s="298" t="s">
        <v>3870</v>
      </c>
      <c r="K166" s="294" t="s">
        <v>3466</v>
      </c>
      <c r="L166" s="294" t="s">
        <v>3446</v>
      </c>
      <c r="P166" s="296" t="b">
        <v>0</v>
      </c>
      <c r="Q166" s="299" t="s">
        <v>2360</v>
      </c>
      <c r="R166" s="300">
        <v>255.0</v>
      </c>
    </row>
    <row r="167" ht="15.0" customHeight="1">
      <c r="A167" s="301" t="s">
        <v>3871</v>
      </c>
      <c r="B167" s="302">
        <v>2.0</v>
      </c>
      <c r="C167" s="301" t="s">
        <v>3267</v>
      </c>
      <c r="D167" s="301" t="s">
        <v>301</v>
      </c>
      <c r="E167" s="303" t="b">
        <v>1</v>
      </c>
      <c r="F167" s="301" t="s">
        <v>3588</v>
      </c>
      <c r="G167" s="301" t="s">
        <v>3288</v>
      </c>
      <c r="H167" s="301" t="s">
        <v>3872</v>
      </c>
      <c r="I167" s="301" t="s">
        <v>3337</v>
      </c>
      <c r="J167" s="305" t="s">
        <v>3873</v>
      </c>
      <c r="K167" s="307"/>
      <c r="L167" s="307"/>
      <c r="M167" s="301" t="s">
        <v>3671</v>
      </c>
      <c r="O167" s="307"/>
      <c r="P167" s="303" t="b">
        <v>0</v>
      </c>
      <c r="Q167" s="299" t="s">
        <v>2360</v>
      </c>
      <c r="R167" s="300">
        <v>256.0</v>
      </c>
    </row>
    <row r="168" ht="15.0" customHeight="1">
      <c r="A168" s="294" t="s">
        <v>3874</v>
      </c>
      <c r="B168" s="295">
        <v>2.0</v>
      </c>
      <c r="C168" s="294" t="s">
        <v>3267</v>
      </c>
      <c r="D168" s="294" t="s">
        <v>303</v>
      </c>
      <c r="E168" s="296" t="b">
        <v>0</v>
      </c>
      <c r="F168" s="294" t="s">
        <v>3588</v>
      </c>
      <c r="G168" s="294" t="s">
        <v>3308</v>
      </c>
      <c r="H168" s="297"/>
      <c r="I168" s="294" t="s">
        <v>3281</v>
      </c>
      <c r="J168" s="298" t="s">
        <v>3875</v>
      </c>
      <c r="K168" s="306"/>
      <c r="L168" s="306"/>
      <c r="M168" s="294" t="s">
        <v>3466</v>
      </c>
      <c r="O168" s="306"/>
      <c r="P168" s="296" t="b">
        <v>0</v>
      </c>
      <c r="Q168" s="299" t="s">
        <v>2360</v>
      </c>
      <c r="R168" s="300">
        <v>256.0</v>
      </c>
    </row>
    <row r="169" ht="15.0" customHeight="1">
      <c r="A169" s="301" t="s">
        <v>3876</v>
      </c>
      <c r="B169" s="302">
        <v>2.0</v>
      </c>
      <c r="C169" s="301" t="s">
        <v>3267</v>
      </c>
      <c r="D169" s="301" t="s">
        <v>310</v>
      </c>
      <c r="E169" s="303" t="b">
        <v>1</v>
      </c>
      <c r="F169" s="301" t="s">
        <v>3394</v>
      </c>
      <c r="G169" s="301" t="s">
        <v>3269</v>
      </c>
      <c r="H169" s="304"/>
      <c r="I169" s="301" t="s">
        <v>3337</v>
      </c>
      <c r="J169" s="305" t="s">
        <v>3877</v>
      </c>
      <c r="K169" s="301" t="s">
        <v>3645</v>
      </c>
      <c r="L169" s="301" t="s">
        <v>3878</v>
      </c>
      <c r="N169" s="301" t="s">
        <v>3354</v>
      </c>
      <c r="O169" s="301" t="s">
        <v>261</v>
      </c>
      <c r="P169" s="303" t="b">
        <v>0</v>
      </c>
      <c r="Q169" s="299" t="s">
        <v>2360</v>
      </c>
      <c r="R169" s="300">
        <v>257.0</v>
      </c>
    </row>
    <row r="170" ht="15.0" customHeight="1">
      <c r="A170" s="294" t="s">
        <v>3879</v>
      </c>
      <c r="B170" s="295">
        <v>2.0</v>
      </c>
      <c r="C170" s="294" t="s">
        <v>3290</v>
      </c>
      <c r="D170" s="294" t="s">
        <v>302</v>
      </c>
      <c r="E170" s="296" t="b">
        <v>0</v>
      </c>
      <c r="F170" s="294" t="s">
        <v>3394</v>
      </c>
      <c r="G170" s="294" t="s">
        <v>3288</v>
      </c>
      <c r="H170" s="294" t="s">
        <v>3880</v>
      </c>
      <c r="I170" s="294" t="s">
        <v>3270</v>
      </c>
      <c r="J170" s="298" t="s">
        <v>3881</v>
      </c>
      <c r="K170" s="294" t="s">
        <v>29</v>
      </c>
      <c r="L170" s="294" t="s">
        <v>3882</v>
      </c>
      <c r="M170" s="294" t="s">
        <v>3883</v>
      </c>
      <c r="P170" s="296" t="b">
        <v>1</v>
      </c>
      <c r="Q170" s="299" t="s">
        <v>2360</v>
      </c>
      <c r="R170" s="300">
        <v>257.0</v>
      </c>
    </row>
    <row r="171" ht="15.0" customHeight="1">
      <c r="A171" s="301" t="s">
        <v>1667</v>
      </c>
      <c r="B171" s="302">
        <v>2.0</v>
      </c>
      <c r="C171" s="301" t="s">
        <v>3267</v>
      </c>
      <c r="D171" s="301" t="s">
        <v>305</v>
      </c>
      <c r="E171" s="303" t="b">
        <v>1</v>
      </c>
      <c r="F171" s="301" t="s">
        <v>3394</v>
      </c>
      <c r="G171" s="301" t="s">
        <v>3308</v>
      </c>
      <c r="H171" s="307"/>
      <c r="I171" s="301" t="s">
        <v>3290</v>
      </c>
      <c r="J171" s="305" t="s">
        <v>3884</v>
      </c>
      <c r="K171" s="301" t="s">
        <v>3645</v>
      </c>
      <c r="L171" s="301" t="s">
        <v>3885</v>
      </c>
      <c r="P171" s="303" t="b">
        <v>0</v>
      </c>
      <c r="Q171" s="299" t="s">
        <v>3296</v>
      </c>
      <c r="R171" s="300">
        <v>161.0</v>
      </c>
    </row>
    <row r="172" ht="15.0" customHeight="1">
      <c r="A172" s="294" t="s">
        <v>3886</v>
      </c>
      <c r="B172" s="295">
        <v>2.0</v>
      </c>
      <c r="C172" s="294" t="s">
        <v>3418</v>
      </c>
      <c r="D172" s="294" t="s">
        <v>304</v>
      </c>
      <c r="E172" s="296" t="b">
        <v>1</v>
      </c>
      <c r="F172" s="294" t="s">
        <v>3394</v>
      </c>
      <c r="G172" s="294" t="s">
        <v>3308</v>
      </c>
      <c r="H172" s="306"/>
      <c r="I172" s="294" t="s">
        <v>3290</v>
      </c>
      <c r="J172" s="298" t="s">
        <v>3887</v>
      </c>
      <c r="K172" s="294" t="s">
        <v>48</v>
      </c>
      <c r="L172" s="294" t="s">
        <v>3888</v>
      </c>
      <c r="M172" s="294" t="s">
        <v>29</v>
      </c>
      <c r="N172" s="294" t="s">
        <v>3652</v>
      </c>
      <c r="P172" s="296" t="b">
        <v>0</v>
      </c>
      <c r="Q172" s="299" t="s">
        <v>2360</v>
      </c>
      <c r="R172" s="300">
        <v>259.0</v>
      </c>
    </row>
    <row r="173" ht="15.0" customHeight="1">
      <c r="A173" s="301" t="s">
        <v>3889</v>
      </c>
      <c r="B173" s="302">
        <v>2.0</v>
      </c>
      <c r="C173" s="301" t="s">
        <v>3267</v>
      </c>
      <c r="D173" s="301" t="s">
        <v>302</v>
      </c>
      <c r="E173" s="303" t="b">
        <v>1</v>
      </c>
      <c r="F173" s="301" t="s">
        <v>3394</v>
      </c>
      <c r="G173" s="301" t="s">
        <v>3288</v>
      </c>
      <c r="H173" s="301" t="s">
        <v>3890</v>
      </c>
      <c r="I173" s="301" t="s">
        <v>3290</v>
      </c>
      <c r="J173" s="305" t="s">
        <v>3891</v>
      </c>
      <c r="K173" s="301" t="s">
        <v>3583</v>
      </c>
      <c r="L173" s="301" t="s">
        <v>3892</v>
      </c>
      <c r="N173" s="301" t="s">
        <v>3893</v>
      </c>
      <c r="O173" s="301" t="s">
        <v>123</v>
      </c>
      <c r="P173" s="303" t="b">
        <v>0</v>
      </c>
      <c r="Q173" s="299" t="s">
        <v>3296</v>
      </c>
      <c r="R173" s="300">
        <v>162.0</v>
      </c>
    </row>
    <row r="174" ht="15.0" customHeight="1">
      <c r="A174" s="294" t="s">
        <v>3894</v>
      </c>
      <c r="B174" s="295">
        <v>2.0</v>
      </c>
      <c r="C174" s="294" t="s">
        <v>3418</v>
      </c>
      <c r="D174" s="294" t="s">
        <v>304</v>
      </c>
      <c r="E174" s="296" t="b">
        <v>1</v>
      </c>
      <c r="F174" s="294" t="s">
        <v>3394</v>
      </c>
      <c r="G174" s="294" t="s">
        <v>3288</v>
      </c>
      <c r="H174" s="294" t="s">
        <v>3895</v>
      </c>
      <c r="I174" s="294" t="s">
        <v>3404</v>
      </c>
      <c r="J174" s="298" t="s">
        <v>3896</v>
      </c>
      <c r="K174" s="294" t="s">
        <v>35</v>
      </c>
      <c r="L174" s="297"/>
      <c r="M174" s="294" t="s">
        <v>3558</v>
      </c>
      <c r="N174" s="294" t="s">
        <v>257</v>
      </c>
      <c r="P174" s="296" t="b">
        <v>0</v>
      </c>
      <c r="Q174" s="299" t="s">
        <v>2360</v>
      </c>
      <c r="R174" s="300">
        <v>260.0</v>
      </c>
    </row>
    <row r="175" ht="15.0" customHeight="1">
      <c r="A175" s="301" t="s">
        <v>3897</v>
      </c>
      <c r="B175" s="302">
        <v>2.0</v>
      </c>
      <c r="C175" s="301" t="s">
        <v>3551</v>
      </c>
      <c r="D175" s="301" t="s">
        <v>303</v>
      </c>
      <c r="E175" s="303" t="b">
        <v>0</v>
      </c>
      <c r="F175" s="301" t="s">
        <v>3394</v>
      </c>
      <c r="G175" s="301" t="s">
        <v>3269</v>
      </c>
      <c r="H175" s="307"/>
      <c r="I175" s="301" t="s">
        <v>3270</v>
      </c>
      <c r="J175" s="305" t="s">
        <v>3898</v>
      </c>
      <c r="K175" s="301" t="s">
        <v>3525</v>
      </c>
      <c r="L175" s="301" t="s">
        <v>3446</v>
      </c>
      <c r="P175" s="303" t="b">
        <v>0</v>
      </c>
      <c r="Q175" s="299" t="s">
        <v>2360</v>
      </c>
      <c r="R175" s="300">
        <v>260.0</v>
      </c>
    </row>
    <row r="176" ht="15.0" customHeight="1">
      <c r="A176" s="294" t="s">
        <v>3899</v>
      </c>
      <c r="B176" s="295">
        <v>2.0</v>
      </c>
      <c r="C176" s="294" t="s">
        <v>3267</v>
      </c>
      <c r="D176" s="294" t="s">
        <v>302</v>
      </c>
      <c r="E176" s="296" t="b">
        <v>0</v>
      </c>
      <c r="F176" s="294" t="s">
        <v>3394</v>
      </c>
      <c r="G176" s="294" t="s">
        <v>3288</v>
      </c>
      <c r="H176" s="294" t="s">
        <v>3900</v>
      </c>
      <c r="I176" s="294" t="s">
        <v>3270</v>
      </c>
      <c r="J176" s="298" t="s">
        <v>3901</v>
      </c>
      <c r="K176" s="294" t="s">
        <v>3489</v>
      </c>
      <c r="L176" s="294" t="s">
        <v>3902</v>
      </c>
      <c r="M176" s="306"/>
      <c r="N176" s="294" t="s">
        <v>3601</v>
      </c>
      <c r="P176" s="296" t="b">
        <v>1</v>
      </c>
      <c r="Q176" s="299" t="s">
        <v>2360</v>
      </c>
      <c r="R176" s="300">
        <v>261.0</v>
      </c>
    </row>
    <row r="177" ht="15.0" customHeight="1">
      <c r="A177" s="301" t="s">
        <v>3903</v>
      </c>
      <c r="B177" s="302">
        <v>2.0</v>
      </c>
      <c r="C177" s="301" t="s">
        <v>3267</v>
      </c>
      <c r="D177" s="301" t="s">
        <v>302</v>
      </c>
      <c r="E177" s="303" t="b">
        <v>1</v>
      </c>
      <c r="F177" s="301" t="s">
        <v>3394</v>
      </c>
      <c r="G177" s="301" t="s">
        <v>3288</v>
      </c>
      <c r="H177" s="301" t="s">
        <v>3904</v>
      </c>
      <c r="I177" s="301" t="s">
        <v>3404</v>
      </c>
      <c r="J177" s="305" t="s">
        <v>3905</v>
      </c>
      <c r="K177" s="301" t="s">
        <v>3906</v>
      </c>
      <c r="L177" s="301" t="s">
        <v>3907</v>
      </c>
      <c r="N177" s="301" t="s">
        <v>3601</v>
      </c>
      <c r="P177" s="303" t="b">
        <v>0</v>
      </c>
      <c r="Q177" s="299" t="s">
        <v>2360</v>
      </c>
      <c r="R177" s="300">
        <v>263.0</v>
      </c>
    </row>
    <row r="178" ht="15.0" customHeight="1">
      <c r="A178" s="294" t="s">
        <v>3908</v>
      </c>
      <c r="B178" s="295">
        <v>2.0</v>
      </c>
      <c r="C178" s="294" t="s">
        <v>3267</v>
      </c>
      <c r="D178" s="294" t="s">
        <v>305</v>
      </c>
      <c r="E178" s="296" t="b">
        <v>0</v>
      </c>
      <c r="F178" s="294" t="s">
        <v>3394</v>
      </c>
      <c r="G178" s="294" t="s">
        <v>3269</v>
      </c>
      <c r="H178" s="306"/>
      <c r="I178" s="294" t="s">
        <v>3290</v>
      </c>
      <c r="J178" s="298" t="s">
        <v>3909</v>
      </c>
      <c r="K178" s="294" t="s">
        <v>3283</v>
      </c>
      <c r="L178" s="294" t="s">
        <v>3910</v>
      </c>
      <c r="M178" s="294" t="s">
        <v>3474</v>
      </c>
      <c r="N178" s="294" t="s">
        <v>3354</v>
      </c>
      <c r="P178" s="296" t="b">
        <v>0</v>
      </c>
      <c r="Q178" s="299" t="s">
        <v>2360</v>
      </c>
      <c r="R178" s="300">
        <v>264.0</v>
      </c>
    </row>
    <row r="179" ht="15.0" customHeight="1">
      <c r="A179" s="301" t="s">
        <v>2065</v>
      </c>
      <c r="B179" s="302">
        <v>2.0</v>
      </c>
      <c r="C179" s="301" t="s">
        <v>3418</v>
      </c>
      <c r="D179" s="301" t="s">
        <v>301</v>
      </c>
      <c r="E179" s="303" t="b">
        <v>0</v>
      </c>
      <c r="F179" s="301" t="s">
        <v>3394</v>
      </c>
      <c r="G179" s="301" t="s">
        <v>3308</v>
      </c>
      <c r="H179" s="304"/>
      <c r="I179" s="301" t="s">
        <v>3270</v>
      </c>
      <c r="J179" s="305" t="s">
        <v>3911</v>
      </c>
      <c r="K179" s="301" t="s">
        <v>3283</v>
      </c>
      <c r="L179" s="301" t="s">
        <v>3912</v>
      </c>
      <c r="N179" s="301" t="s">
        <v>3913</v>
      </c>
      <c r="P179" s="303" t="b">
        <v>0</v>
      </c>
      <c r="Q179" s="299" t="s">
        <v>2360</v>
      </c>
      <c r="R179" s="300">
        <v>264.0</v>
      </c>
    </row>
    <row r="180" ht="15.0" customHeight="1">
      <c r="A180" s="294" t="s">
        <v>3914</v>
      </c>
      <c r="B180" s="295">
        <v>2.0</v>
      </c>
      <c r="C180" s="294" t="s">
        <v>3267</v>
      </c>
      <c r="D180" s="294" t="s">
        <v>299</v>
      </c>
      <c r="E180" s="296" t="b">
        <v>1</v>
      </c>
      <c r="F180" s="294" t="s">
        <v>3394</v>
      </c>
      <c r="G180" s="294" t="s">
        <v>3288</v>
      </c>
      <c r="H180" s="294" t="s">
        <v>3915</v>
      </c>
      <c r="I180" s="294" t="s">
        <v>3337</v>
      </c>
      <c r="J180" s="298" t="s">
        <v>3916</v>
      </c>
      <c r="K180" s="294" t="s">
        <v>3671</v>
      </c>
      <c r="L180" s="294" t="s">
        <v>3917</v>
      </c>
      <c r="N180" s="294" t="s">
        <v>3918</v>
      </c>
      <c r="O180" s="294" t="s">
        <v>123</v>
      </c>
      <c r="P180" s="296" t="b">
        <v>0</v>
      </c>
      <c r="Q180" s="299" t="s">
        <v>2360</v>
      </c>
      <c r="R180" s="300">
        <v>267.0</v>
      </c>
    </row>
    <row r="181" ht="15.0" customHeight="1">
      <c r="A181" s="301" t="s">
        <v>3919</v>
      </c>
      <c r="B181" s="302">
        <v>2.0</v>
      </c>
      <c r="C181" s="301" t="s">
        <v>3267</v>
      </c>
      <c r="D181" s="301" t="s">
        <v>302</v>
      </c>
      <c r="E181" s="303" t="b">
        <v>0</v>
      </c>
      <c r="F181" s="301" t="s">
        <v>3394</v>
      </c>
      <c r="G181" s="301" t="s">
        <v>3288</v>
      </c>
      <c r="H181" s="301" t="s">
        <v>3920</v>
      </c>
      <c r="I181" s="301" t="s">
        <v>3337</v>
      </c>
      <c r="J181" s="305" t="s">
        <v>3921</v>
      </c>
      <c r="K181" s="301" t="s">
        <v>3292</v>
      </c>
      <c r="L181" s="301" t="s">
        <v>3922</v>
      </c>
      <c r="N181" s="301" t="s">
        <v>137</v>
      </c>
      <c r="P181" s="303" t="b">
        <v>0</v>
      </c>
      <c r="Q181" s="299" t="s">
        <v>2360</v>
      </c>
      <c r="R181" s="300">
        <v>270.0</v>
      </c>
    </row>
    <row r="182" ht="15.0" customHeight="1">
      <c r="A182" s="294" t="s">
        <v>3923</v>
      </c>
      <c r="B182" s="295">
        <v>2.0</v>
      </c>
      <c r="C182" s="294" t="s">
        <v>3418</v>
      </c>
      <c r="D182" s="294" t="s">
        <v>305</v>
      </c>
      <c r="E182" s="296" t="b">
        <v>1</v>
      </c>
      <c r="F182" s="294" t="s">
        <v>3394</v>
      </c>
      <c r="G182" s="294" t="s">
        <v>3269</v>
      </c>
      <c r="H182" s="297"/>
      <c r="I182" s="294" t="s">
        <v>3290</v>
      </c>
      <c r="J182" s="298" t="s">
        <v>3924</v>
      </c>
      <c r="K182" s="294" t="s">
        <v>3283</v>
      </c>
      <c r="L182" s="294" t="s">
        <v>3446</v>
      </c>
      <c r="P182" s="296" t="b">
        <v>0</v>
      </c>
      <c r="Q182" s="299" t="s">
        <v>3296</v>
      </c>
      <c r="R182" s="300">
        <v>163.0</v>
      </c>
    </row>
    <row r="183" ht="15.0" customHeight="1">
      <c r="A183" s="301" t="s">
        <v>3925</v>
      </c>
      <c r="B183" s="302">
        <v>2.0</v>
      </c>
      <c r="C183" s="301" t="s">
        <v>3267</v>
      </c>
      <c r="D183" s="301" t="s">
        <v>304</v>
      </c>
      <c r="E183" s="303" t="b">
        <v>1</v>
      </c>
      <c r="F183" s="301" t="s">
        <v>3394</v>
      </c>
      <c r="G183" s="301" t="s">
        <v>3308</v>
      </c>
      <c r="H183" s="304"/>
      <c r="I183" s="301" t="s">
        <v>3404</v>
      </c>
      <c r="J183" s="305" t="s">
        <v>3926</v>
      </c>
      <c r="K183" s="301" t="s">
        <v>3445</v>
      </c>
      <c r="L183" s="301" t="s">
        <v>3446</v>
      </c>
      <c r="P183" s="303" t="b">
        <v>0</v>
      </c>
      <c r="Q183" s="299" t="s">
        <v>2360</v>
      </c>
      <c r="R183" s="300">
        <v>271.0</v>
      </c>
    </row>
    <row r="184" ht="15.0" customHeight="1">
      <c r="A184" s="294" t="s">
        <v>3927</v>
      </c>
      <c r="B184" s="295">
        <v>2.0</v>
      </c>
      <c r="C184" s="294" t="s">
        <v>3267</v>
      </c>
      <c r="D184" s="294" t="s">
        <v>301</v>
      </c>
      <c r="E184" s="296" t="b">
        <v>1</v>
      </c>
      <c r="F184" s="294" t="s">
        <v>3394</v>
      </c>
      <c r="G184" s="294" t="s">
        <v>3336</v>
      </c>
      <c r="H184" s="306"/>
      <c r="I184" s="294" t="s">
        <v>3337</v>
      </c>
      <c r="J184" s="298" t="s">
        <v>3928</v>
      </c>
      <c r="K184" s="306"/>
      <c r="L184" s="294" t="s">
        <v>3341</v>
      </c>
      <c r="O184" s="306"/>
      <c r="P184" s="296" t="b">
        <v>1</v>
      </c>
      <c r="Q184" s="299" t="s">
        <v>2360</v>
      </c>
      <c r="R184" s="300">
        <v>272.0</v>
      </c>
    </row>
    <row r="185" ht="15.0" customHeight="1">
      <c r="A185" s="301" t="s">
        <v>3929</v>
      </c>
      <c r="B185" s="302">
        <v>2.0</v>
      </c>
      <c r="C185" s="301" t="s">
        <v>3267</v>
      </c>
      <c r="D185" s="301" t="s">
        <v>310</v>
      </c>
      <c r="E185" s="303" t="b">
        <v>1</v>
      </c>
      <c r="F185" s="301" t="s">
        <v>3930</v>
      </c>
      <c r="G185" s="301" t="s">
        <v>3269</v>
      </c>
      <c r="H185" s="304"/>
      <c r="I185" s="301" t="s">
        <v>3337</v>
      </c>
      <c r="J185" s="305" t="s">
        <v>3931</v>
      </c>
      <c r="K185" s="301" t="s">
        <v>3932</v>
      </c>
      <c r="L185" s="301" t="s">
        <v>3446</v>
      </c>
      <c r="P185" s="303" t="b">
        <v>1</v>
      </c>
      <c r="Q185" s="299" t="s">
        <v>2360</v>
      </c>
      <c r="R185" s="300">
        <v>273.0</v>
      </c>
    </row>
    <row r="186" ht="15.0" customHeight="1">
      <c r="A186" s="294" t="s">
        <v>3933</v>
      </c>
      <c r="B186" s="295">
        <v>2.0</v>
      </c>
      <c r="C186" s="294" t="s">
        <v>3267</v>
      </c>
      <c r="D186" s="294" t="s">
        <v>299</v>
      </c>
      <c r="E186" s="296" t="b">
        <v>0</v>
      </c>
      <c r="F186" s="294" t="s">
        <v>3408</v>
      </c>
      <c r="G186" s="294" t="s">
        <v>3288</v>
      </c>
      <c r="H186" s="294" t="s">
        <v>3934</v>
      </c>
      <c r="I186" s="294" t="s">
        <v>3772</v>
      </c>
      <c r="J186" s="298" t="s">
        <v>3935</v>
      </c>
      <c r="K186" s="294" t="s">
        <v>3936</v>
      </c>
      <c r="L186" s="294" t="s">
        <v>3446</v>
      </c>
      <c r="N186" s="294" t="s">
        <v>3937</v>
      </c>
      <c r="O186" s="294" t="s">
        <v>28</v>
      </c>
      <c r="P186" s="296" t="b">
        <v>0</v>
      </c>
      <c r="Q186" s="299" t="s">
        <v>2360</v>
      </c>
      <c r="R186" s="300">
        <v>274.0</v>
      </c>
    </row>
    <row r="187" ht="15.0" customHeight="1">
      <c r="A187" s="301" t="s">
        <v>3938</v>
      </c>
      <c r="B187" s="302">
        <v>2.0</v>
      </c>
      <c r="C187" s="301" t="s">
        <v>3267</v>
      </c>
      <c r="D187" s="301" t="s">
        <v>310</v>
      </c>
      <c r="E187" s="303" t="b">
        <v>1</v>
      </c>
      <c r="F187" s="301" t="s">
        <v>3408</v>
      </c>
      <c r="G187" s="301" t="s">
        <v>3288</v>
      </c>
      <c r="H187" s="301" t="s">
        <v>3939</v>
      </c>
      <c r="I187" s="301" t="s">
        <v>3337</v>
      </c>
      <c r="J187" s="305" t="s">
        <v>3940</v>
      </c>
      <c r="K187" s="301" t="s">
        <v>3671</v>
      </c>
      <c r="L187" s="301" t="s">
        <v>3941</v>
      </c>
      <c r="N187" s="307"/>
      <c r="O187" s="307"/>
      <c r="P187" s="303" t="b">
        <v>0</v>
      </c>
      <c r="Q187" s="299" t="s">
        <v>3296</v>
      </c>
      <c r="R187" s="300">
        <v>164.0</v>
      </c>
    </row>
    <row r="188" ht="15.0" customHeight="1">
      <c r="A188" s="294" t="s">
        <v>3942</v>
      </c>
      <c r="B188" s="295">
        <v>2.0</v>
      </c>
      <c r="C188" s="294" t="s">
        <v>3267</v>
      </c>
      <c r="D188" s="294" t="s">
        <v>302</v>
      </c>
      <c r="E188" s="296" t="b">
        <v>1</v>
      </c>
      <c r="F188" s="294" t="s">
        <v>3408</v>
      </c>
      <c r="G188" s="294" t="s">
        <v>3336</v>
      </c>
      <c r="H188" s="306"/>
      <c r="I188" s="294" t="s">
        <v>3337</v>
      </c>
      <c r="J188" s="298" t="s">
        <v>3943</v>
      </c>
      <c r="K188" s="294" t="s">
        <v>3671</v>
      </c>
      <c r="L188" s="294" t="s">
        <v>49</v>
      </c>
      <c r="N188" s="294" t="s">
        <v>179</v>
      </c>
      <c r="O188" s="294" t="s">
        <v>165</v>
      </c>
      <c r="P188" s="296" t="b">
        <v>1</v>
      </c>
      <c r="Q188" s="299" t="s">
        <v>2360</v>
      </c>
      <c r="R188" s="300">
        <v>275.0</v>
      </c>
    </row>
    <row r="189" ht="15.0" customHeight="1">
      <c r="A189" s="301" t="s">
        <v>3944</v>
      </c>
      <c r="B189" s="302">
        <v>2.0</v>
      </c>
      <c r="C189" s="301" t="s">
        <v>3267</v>
      </c>
      <c r="D189" s="301" t="s">
        <v>304</v>
      </c>
      <c r="E189" s="303" t="b">
        <v>0</v>
      </c>
      <c r="F189" s="301" t="s">
        <v>3408</v>
      </c>
      <c r="G189" s="301" t="s">
        <v>3288</v>
      </c>
      <c r="H189" s="301" t="s">
        <v>3945</v>
      </c>
      <c r="I189" s="301" t="s">
        <v>3772</v>
      </c>
      <c r="J189" s="305" t="s">
        <v>3946</v>
      </c>
      <c r="K189" s="301" t="s">
        <v>3947</v>
      </c>
      <c r="L189" s="301" t="s">
        <v>3948</v>
      </c>
      <c r="M189" s="301" t="s">
        <v>3949</v>
      </c>
      <c r="N189" s="301" t="s">
        <v>182</v>
      </c>
      <c r="P189" s="303" t="b">
        <v>0</v>
      </c>
      <c r="Q189" s="299" t="s">
        <v>2360</v>
      </c>
      <c r="R189" s="300">
        <v>275.0</v>
      </c>
    </row>
    <row r="190" ht="15.0" customHeight="1">
      <c r="A190" s="294" t="s">
        <v>3950</v>
      </c>
      <c r="B190" s="295">
        <v>2.0</v>
      </c>
      <c r="C190" s="294" t="s">
        <v>3267</v>
      </c>
      <c r="D190" s="294" t="s">
        <v>310</v>
      </c>
      <c r="E190" s="296" t="b">
        <v>0</v>
      </c>
      <c r="F190" s="294" t="s">
        <v>3408</v>
      </c>
      <c r="G190" s="294" t="s">
        <v>3288</v>
      </c>
      <c r="H190" s="294" t="s">
        <v>3951</v>
      </c>
      <c r="I190" s="294" t="s">
        <v>3481</v>
      </c>
      <c r="J190" s="298" t="s">
        <v>3952</v>
      </c>
      <c r="K190" s="294" t="s">
        <v>3707</v>
      </c>
      <c r="L190" s="294" t="s">
        <v>3953</v>
      </c>
      <c r="P190" s="296" t="b">
        <v>0</v>
      </c>
      <c r="Q190" s="299" t="s">
        <v>3296</v>
      </c>
      <c r="R190" s="300">
        <v>165.0</v>
      </c>
    </row>
    <row r="191" ht="15.0" customHeight="1">
      <c r="A191" s="301" t="s">
        <v>3954</v>
      </c>
      <c r="B191" s="302">
        <v>2.0</v>
      </c>
      <c r="C191" s="301" t="s">
        <v>3418</v>
      </c>
      <c r="D191" s="301" t="s">
        <v>310</v>
      </c>
      <c r="E191" s="303" t="b">
        <v>1</v>
      </c>
      <c r="F191" s="301" t="s">
        <v>3408</v>
      </c>
      <c r="G191" s="301" t="s">
        <v>3288</v>
      </c>
      <c r="H191" s="301" t="s">
        <v>3955</v>
      </c>
      <c r="I191" s="301" t="s">
        <v>3290</v>
      </c>
      <c r="J191" s="305" t="s">
        <v>3956</v>
      </c>
      <c r="K191" s="301" t="s">
        <v>3466</v>
      </c>
      <c r="L191" s="301" t="s">
        <v>3446</v>
      </c>
      <c r="P191" s="303" t="b">
        <v>0</v>
      </c>
      <c r="Q191" s="299" t="s">
        <v>3296</v>
      </c>
      <c r="R191" s="300">
        <v>165.0</v>
      </c>
    </row>
    <row r="192" ht="15.0" customHeight="1">
      <c r="A192" s="294" t="s">
        <v>2074</v>
      </c>
      <c r="B192" s="295">
        <v>2.0</v>
      </c>
      <c r="C192" s="294" t="s">
        <v>3267</v>
      </c>
      <c r="D192" s="294" t="s">
        <v>310</v>
      </c>
      <c r="E192" s="296" t="b">
        <v>1</v>
      </c>
      <c r="F192" s="294" t="s">
        <v>3408</v>
      </c>
      <c r="G192" s="294" t="s">
        <v>3288</v>
      </c>
      <c r="H192" s="294" t="s">
        <v>3957</v>
      </c>
      <c r="I192" s="294" t="s">
        <v>3337</v>
      </c>
      <c r="J192" s="298" t="s">
        <v>3958</v>
      </c>
      <c r="K192" s="294" t="s">
        <v>3959</v>
      </c>
      <c r="L192" s="294" t="s">
        <v>3960</v>
      </c>
      <c r="M192" s="294" t="s">
        <v>3961</v>
      </c>
      <c r="O192" s="294" t="s">
        <v>261</v>
      </c>
      <c r="P192" s="296" t="b">
        <v>0</v>
      </c>
      <c r="Q192" s="299" t="s">
        <v>2360</v>
      </c>
      <c r="R192" s="300">
        <v>277.0</v>
      </c>
    </row>
    <row r="193" ht="15.0" customHeight="1">
      <c r="A193" s="301" t="s">
        <v>3962</v>
      </c>
      <c r="B193" s="302">
        <v>2.0</v>
      </c>
      <c r="C193" s="301" t="s">
        <v>3267</v>
      </c>
      <c r="D193" s="301" t="s">
        <v>308</v>
      </c>
      <c r="E193" s="303" t="b">
        <v>0</v>
      </c>
      <c r="F193" s="301" t="s">
        <v>3408</v>
      </c>
      <c r="G193" s="301" t="s">
        <v>3288</v>
      </c>
      <c r="H193" s="301" t="s">
        <v>3963</v>
      </c>
      <c r="I193" s="301" t="s">
        <v>3700</v>
      </c>
      <c r="J193" s="305" t="s">
        <v>3964</v>
      </c>
      <c r="K193" s="301" t="s">
        <v>3965</v>
      </c>
      <c r="L193" s="301" t="s">
        <v>3966</v>
      </c>
      <c r="M193" s="301" t="s">
        <v>3779</v>
      </c>
      <c r="O193" s="307"/>
      <c r="P193" s="303" t="b">
        <v>1</v>
      </c>
      <c r="Q193" s="299" t="s">
        <v>2360</v>
      </c>
      <c r="R193" s="300">
        <v>277.0</v>
      </c>
    </row>
    <row r="194" ht="15.0" customHeight="1">
      <c r="A194" s="294" t="s">
        <v>3967</v>
      </c>
      <c r="B194" s="295">
        <v>2.0</v>
      </c>
      <c r="C194" s="294" t="s">
        <v>3267</v>
      </c>
      <c r="D194" s="294" t="s">
        <v>310</v>
      </c>
      <c r="E194" s="296" t="b">
        <v>0</v>
      </c>
      <c r="F194" s="294" t="s">
        <v>3408</v>
      </c>
      <c r="G194" s="294" t="s">
        <v>3288</v>
      </c>
      <c r="H194" s="294" t="s">
        <v>3934</v>
      </c>
      <c r="I194" s="294" t="s">
        <v>3337</v>
      </c>
      <c r="J194" s="298" t="s">
        <v>3968</v>
      </c>
      <c r="K194" s="306"/>
      <c r="L194" s="294" t="s">
        <v>3570</v>
      </c>
      <c r="N194" s="306"/>
      <c r="O194" s="306"/>
      <c r="P194" s="296" t="b">
        <v>0</v>
      </c>
      <c r="Q194" s="299" t="s">
        <v>2360</v>
      </c>
      <c r="R194" s="300">
        <v>278.0</v>
      </c>
    </row>
    <row r="195" ht="15.0" customHeight="1">
      <c r="A195" s="301" t="s">
        <v>1676</v>
      </c>
      <c r="B195" s="302">
        <v>2.0</v>
      </c>
      <c r="C195" s="301" t="s">
        <v>3267</v>
      </c>
      <c r="D195" s="301" t="s">
        <v>305</v>
      </c>
      <c r="E195" s="303" t="b">
        <v>1</v>
      </c>
      <c r="F195" s="301" t="s">
        <v>3408</v>
      </c>
      <c r="G195" s="301" t="s">
        <v>3288</v>
      </c>
      <c r="H195" s="301" t="s">
        <v>3969</v>
      </c>
      <c r="I195" s="301" t="s">
        <v>3337</v>
      </c>
      <c r="J195" s="305" t="s">
        <v>3970</v>
      </c>
      <c r="K195" s="301" t="s">
        <v>3971</v>
      </c>
      <c r="L195" s="301" t="s">
        <v>3972</v>
      </c>
      <c r="N195" s="301" t="s">
        <v>3973</v>
      </c>
      <c r="P195" s="303" t="b">
        <v>0</v>
      </c>
      <c r="Q195" s="299" t="s">
        <v>2360</v>
      </c>
      <c r="R195" s="300">
        <v>279.0</v>
      </c>
    </row>
    <row r="196" ht="15.0" customHeight="1">
      <c r="A196" s="294" t="s">
        <v>3974</v>
      </c>
      <c r="B196" s="295">
        <v>2.0</v>
      </c>
      <c r="C196" s="294" t="s">
        <v>3267</v>
      </c>
      <c r="D196" s="294" t="s">
        <v>299</v>
      </c>
      <c r="E196" s="296" t="b">
        <v>0</v>
      </c>
      <c r="F196" s="294" t="s">
        <v>3408</v>
      </c>
      <c r="G196" s="294" t="s">
        <v>3269</v>
      </c>
      <c r="H196" s="306"/>
      <c r="I196" s="294" t="s">
        <v>3270</v>
      </c>
      <c r="J196" s="298" t="s">
        <v>3975</v>
      </c>
      <c r="K196" s="294" t="s">
        <v>3677</v>
      </c>
      <c r="L196" s="294" t="s">
        <v>3976</v>
      </c>
      <c r="N196" s="294" t="s">
        <v>3977</v>
      </c>
      <c r="P196" s="296" t="b">
        <v>0</v>
      </c>
      <c r="Q196" s="299" t="s">
        <v>3286</v>
      </c>
      <c r="R196" s="300">
        <v>109.0</v>
      </c>
    </row>
    <row r="197" ht="15.0" customHeight="1">
      <c r="A197" s="301" t="s">
        <v>3978</v>
      </c>
      <c r="B197" s="302">
        <v>2.0</v>
      </c>
      <c r="C197" s="301" t="s">
        <v>3418</v>
      </c>
      <c r="D197" s="301" t="s">
        <v>310</v>
      </c>
      <c r="E197" s="303" t="b">
        <v>1</v>
      </c>
      <c r="F197" s="301" t="s">
        <v>3408</v>
      </c>
      <c r="G197" s="301" t="s">
        <v>3269</v>
      </c>
      <c r="H197" s="307"/>
      <c r="I197" s="301" t="s">
        <v>3337</v>
      </c>
      <c r="J197" s="305" t="s">
        <v>3979</v>
      </c>
      <c r="K197" s="301" t="s">
        <v>3980</v>
      </c>
      <c r="L197" s="301" t="s">
        <v>3981</v>
      </c>
      <c r="M197" s="301" t="s">
        <v>3982</v>
      </c>
      <c r="N197" s="301" t="s">
        <v>182</v>
      </c>
      <c r="P197" s="303" t="b">
        <v>0</v>
      </c>
      <c r="Q197" s="299" t="s">
        <v>3286</v>
      </c>
      <c r="R197" s="300">
        <v>115.0</v>
      </c>
    </row>
    <row r="198" ht="15.0" customHeight="1">
      <c r="A198" s="294" t="s">
        <v>3983</v>
      </c>
      <c r="B198" s="295">
        <v>2.0</v>
      </c>
      <c r="C198" s="294" t="s">
        <v>3267</v>
      </c>
      <c r="D198" s="294" t="s">
        <v>305</v>
      </c>
      <c r="E198" s="296" t="b">
        <v>0</v>
      </c>
      <c r="F198" s="294" t="s">
        <v>3408</v>
      </c>
      <c r="G198" s="294" t="s">
        <v>3288</v>
      </c>
      <c r="H198" s="294" t="s">
        <v>3984</v>
      </c>
      <c r="I198" s="294" t="s">
        <v>3487</v>
      </c>
      <c r="J198" s="298" t="s">
        <v>3985</v>
      </c>
      <c r="K198" s="294" t="s">
        <v>69</v>
      </c>
      <c r="L198" s="294" t="s">
        <v>3986</v>
      </c>
      <c r="P198" s="296" t="b">
        <v>0</v>
      </c>
      <c r="Q198" s="299" t="s">
        <v>2360</v>
      </c>
      <c r="R198" s="300">
        <v>287.0</v>
      </c>
    </row>
    <row r="199" ht="15.0" customHeight="1">
      <c r="A199" s="301" t="s">
        <v>3987</v>
      </c>
      <c r="B199" s="302">
        <v>2.0</v>
      </c>
      <c r="C199" s="301" t="s">
        <v>3267</v>
      </c>
      <c r="D199" s="301" t="s">
        <v>299</v>
      </c>
      <c r="E199" s="303" t="b">
        <v>0</v>
      </c>
      <c r="F199" s="301" t="s">
        <v>3408</v>
      </c>
      <c r="G199" s="301" t="s">
        <v>3269</v>
      </c>
      <c r="H199" s="307"/>
      <c r="I199" s="301" t="s">
        <v>3337</v>
      </c>
      <c r="J199" s="305" t="s">
        <v>3988</v>
      </c>
      <c r="K199" s="301" t="s">
        <v>3989</v>
      </c>
      <c r="L199" s="301" t="s">
        <v>3990</v>
      </c>
      <c r="O199" s="301" t="s">
        <v>162</v>
      </c>
      <c r="P199" s="303" t="b">
        <v>0</v>
      </c>
      <c r="Q199" s="299" t="s">
        <v>3296</v>
      </c>
      <c r="R199" s="300">
        <v>170.0</v>
      </c>
    </row>
    <row r="200" ht="15.0" customHeight="1">
      <c r="A200" s="294" t="s">
        <v>2061</v>
      </c>
      <c r="B200" s="295">
        <v>2.0</v>
      </c>
      <c r="C200" s="294" t="s">
        <v>3267</v>
      </c>
      <c r="D200" s="294" t="s">
        <v>310</v>
      </c>
      <c r="E200" s="296" t="b">
        <v>0</v>
      </c>
      <c r="F200" s="294" t="s">
        <v>3408</v>
      </c>
      <c r="G200" s="294" t="s">
        <v>3288</v>
      </c>
      <c r="H200" s="294" t="s">
        <v>3991</v>
      </c>
      <c r="I200" s="294" t="s">
        <v>3337</v>
      </c>
      <c r="J200" s="298" t="s">
        <v>3992</v>
      </c>
      <c r="K200" s="294" t="s">
        <v>3936</v>
      </c>
      <c r="L200" s="294" t="s">
        <v>3993</v>
      </c>
      <c r="O200" s="294" t="s">
        <v>198</v>
      </c>
      <c r="P200" s="296" t="b">
        <v>0</v>
      </c>
      <c r="Q200" s="299" t="s">
        <v>2360</v>
      </c>
      <c r="R200" s="300">
        <v>287.0</v>
      </c>
    </row>
    <row r="201" ht="15.0" customHeight="1">
      <c r="A201" s="301" t="s">
        <v>3994</v>
      </c>
      <c r="B201" s="302">
        <v>2.0</v>
      </c>
      <c r="C201" s="301" t="s">
        <v>3267</v>
      </c>
      <c r="D201" s="301" t="s">
        <v>310</v>
      </c>
      <c r="E201" s="303" t="b">
        <v>1</v>
      </c>
      <c r="F201" s="301" t="s">
        <v>3408</v>
      </c>
      <c r="G201" s="301" t="s">
        <v>3288</v>
      </c>
      <c r="H201" s="301" t="s">
        <v>3995</v>
      </c>
      <c r="I201" s="301" t="s">
        <v>3337</v>
      </c>
      <c r="J201" s="305" t="s">
        <v>3996</v>
      </c>
      <c r="K201" s="301" t="s">
        <v>3641</v>
      </c>
      <c r="L201" s="301" t="s">
        <v>3997</v>
      </c>
      <c r="N201" s="301" t="s">
        <v>3354</v>
      </c>
      <c r="O201" s="301" t="s">
        <v>162</v>
      </c>
      <c r="P201" s="303" t="b">
        <v>0</v>
      </c>
      <c r="Q201" s="299" t="s">
        <v>3392</v>
      </c>
      <c r="R201" s="300">
        <v>190.0</v>
      </c>
    </row>
    <row r="202" ht="15.0" customHeight="1">
      <c r="A202" s="294" t="s">
        <v>3998</v>
      </c>
      <c r="B202" s="295">
        <v>2.0</v>
      </c>
      <c r="C202" s="294" t="s">
        <v>3267</v>
      </c>
      <c r="D202" s="294" t="s">
        <v>299</v>
      </c>
      <c r="E202" s="296" t="b">
        <v>0</v>
      </c>
      <c r="F202" s="294" t="s">
        <v>3408</v>
      </c>
      <c r="G202" s="294" t="s">
        <v>3288</v>
      </c>
      <c r="H202" s="294" t="s">
        <v>3999</v>
      </c>
      <c r="I202" s="294" t="s">
        <v>3337</v>
      </c>
      <c r="J202" s="298" t="s">
        <v>4000</v>
      </c>
      <c r="K202" s="294" t="s">
        <v>29</v>
      </c>
      <c r="L202" s="294" t="s">
        <v>4001</v>
      </c>
      <c r="M202" s="294" t="s">
        <v>4002</v>
      </c>
      <c r="N202" s="294" t="s">
        <v>188</v>
      </c>
      <c r="O202" s="294" t="s">
        <v>252</v>
      </c>
      <c r="P202" s="296" t="b">
        <v>0</v>
      </c>
      <c r="Q202" s="299" t="s">
        <v>2360</v>
      </c>
      <c r="R202" s="300">
        <v>289.0</v>
      </c>
    </row>
    <row r="203" ht="15.0" customHeight="1">
      <c r="A203" s="301" t="s">
        <v>4003</v>
      </c>
      <c r="B203" s="302">
        <v>3.0</v>
      </c>
      <c r="C203" s="301" t="s">
        <v>3404</v>
      </c>
      <c r="D203" s="301" t="s">
        <v>302</v>
      </c>
      <c r="E203" s="303" t="b">
        <v>1</v>
      </c>
      <c r="F203" s="301" t="s">
        <v>4004</v>
      </c>
      <c r="G203" s="301" t="s">
        <v>3288</v>
      </c>
      <c r="H203" s="301" t="s">
        <v>4005</v>
      </c>
      <c r="I203" s="301" t="s">
        <v>3404</v>
      </c>
      <c r="J203" s="305" t="s">
        <v>4006</v>
      </c>
      <c r="K203" s="301" t="s">
        <v>3761</v>
      </c>
      <c r="L203" s="301" t="s">
        <v>4007</v>
      </c>
      <c r="N203" s="301" t="s">
        <v>4008</v>
      </c>
      <c r="O203" s="301" t="s">
        <v>28</v>
      </c>
      <c r="P203" s="303" t="b">
        <v>0</v>
      </c>
      <c r="Q203" s="299" t="s">
        <v>2360</v>
      </c>
      <c r="R203" s="300">
        <v>212.0</v>
      </c>
    </row>
    <row r="204" ht="15.0" customHeight="1">
      <c r="A204" s="294" t="s">
        <v>4009</v>
      </c>
      <c r="B204" s="295">
        <v>3.0</v>
      </c>
      <c r="C204" s="294" t="s">
        <v>3290</v>
      </c>
      <c r="D204" s="294" t="s">
        <v>308</v>
      </c>
      <c r="E204" s="296" t="b">
        <v>0</v>
      </c>
      <c r="F204" s="294" t="s">
        <v>3268</v>
      </c>
      <c r="G204" s="294" t="s">
        <v>3288</v>
      </c>
      <c r="H204" s="294" t="s">
        <v>4010</v>
      </c>
      <c r="I204" s="294" t="s">
        <v>3270</v>
      </c>
      <c r="J204" s="298" t="s">
        <v>4011</v>
      </c>
      <c r="K204" s="294" t="s">
        <v>3965</v>
      </c>
      <c r="L204" s="294" t="s">
        <v>4012</v>
      </c>
      <c r="M204" s="294" t="s">
        <v>65</v>
      </c>
      <c r="N204" s="306"/>
      <c r="O204" s="294" t="s">
        <v>162</v>
      </c>
      <c r="P204" s="296" t="b">
        <v>0</v>
      </c>
      <c r="Q204" s="299" t="s">
        <v>2360</v>
      </c>
      <c r="R204" s="300">
        <v>216.0</v>
      </c>
    </row>
    <row r="205" ht="15.0" customHeight="1">
      <c r="A205" s="301" t="s">
        <v>4013</v>
      </c>
      <c r="B205" s="302">
        <v>3.0</v>
      </c>
      <c r="C205" s="301" t="s">
        <v>3290</v>
      </c>
      <c r="D205" s="301" t="s">
        <v>304</v>
      </c>
      <c r="E205" s="303" t="b">
        <v>0</v>
      </c>
      <c r="F205" s="301" t="s">
        <v>3268</v>
      </c>
      <c r="G205" s="301" t="s">
        <v>3288</v>
      </c>
      <c r="H205" s="301" t="s">
        <v>4014</v>
      </c>
      <c r="I205" s="301" t="s">
        <v>3481</v>
      </c>
      <c r="J205" s="305" t="s">
        <v>4015</v>
      </c>
      <c r="K205" s="301" t="s">
        <v>3525</v>
      </c>
      <c r="L205" s="301" t="s">
        <v>4016</v>
      </c>
      <c r="N205" s="301" t="s">
        <v>164</v>
      </c>
      <c r="P205" s="303" t="b">
        <v>1</v>
      </c>
      <c r="Q205" s="299" t="s">
        <v>2360</v>
      </c>
      <c r="R205" s="300">
        <v>217.0</v>
      </c>
    </row>
    <row r="206" ht="15.0" customHeight="1">
      <c r="A206" s="294" t="s">
        <v>2071</v>
      </c>
      <c r="B206" s="295">
        <v>3.0</v>
      </c>
      <c r="C206" s="294" t="s">
        <v>3290</v>
      </c>
      <c r="D206" s="294" t="s">
        <v>299</v>
      </c>
      <c r="E206" s="296" t="b">
        <v>0</v>
      </c>
      <c r="F206" s="294" t="s">
        <v>3268</v>
      </c>
      <c r="G206" s="294" t="s">
        <v>3288</v>
      </c>
      <c r="H206" s="294" t="s">
        <v>4017</v>
      </c>
      <c r="I206" s="294" t="s">
        <v>3337</v>
      </c>
      <c r="J206" s="298" t="s">
        <v>4018</v>
      </c>
      <c r="K206" s="294" t="s">
        <v>3719</v>
      </c>
      <c r="L206" s="294" t="s">
        <v>4019</v>
      </c>
      <c r="N206" s="294" t="s">
        <v>58</v>
      </c>
      <c r="P206" s="296" t="b">
        <v>0</v>
      </c>
      <c r="Q206" s="299" t="s">
        <v>2360</v>
      </c>
      <c r="R206" s="300">
        <v>218.0</v>
      </c>
    </row>
    <row r="207" ht="15.0" customHeight="1">
      <c r="A207" s="301" t="s">
        <v>4020</v>
      </c>
      <c r="B207" s="302">
        <v>3.0</v>
      </c>
      <c r="C207" s="301" t="s">
        <v>3267</v>
      </c>
      <c r="D207" s="301" t="s">
        <v>308</v>
      </c>
      <c r="E207" s="303" t="b">
        <v>0</v>
      </c>
      <c r="F207" s="301" t="s">
        <v>3268</v>
      </c>
      <c r="G207" s="301" t="s">
        <v>3288</v>
      </c>
      <c r="H207" s="301" t="s">
        <v>4021</v>
      </c>
      <c r="I207" s="301" t="s">
        <v>3404</v>
      </c>
      <c r="J207" s="305" t="s">
        <v>4022</v>
      </c>
      <c r="K207" s="301" t="s">
        <v>3494</v>
      </c>
      <c r="L207" s="301" t="s">
        <v>4023</v>
      </c>
      <c r="M207" s="301" t="s">
        <v>4024</v>
      </c>
      <c r="O207" s="301" t="s">
        <v>219</v>
      </c>
      <c r="P207" s="303" t="b">
        <v>0</v>
      </c>
      <c r="Q207" s="299" t="s">
        <v>2360</v>
      </c>
      <c r="R207" s="300">
        <v>219.0</v>
      </c>
    </row>
    <row r="208" ht="15.0" customHeight="1">
      <c r="A208" s="294" t="s">
        <v>1693</v>
      </c>
      <c r="B208" s="295">
        <v>3.0</v>
      </c>
      <c r="C208" s="294" t="s">
        <v>3267</v>
      </c>
      <c r="D208" s="294" t="s">
        <v>304</v>
      </c>
      <c r="E208" s="296" t="b">
        <v>0</v>
      </c>
      <c r="F208" s="294" t="s">
        <v>4025</v>
      </c>
      <c r="G208" s="294" t="s">
        <v>3288</v>
      </c>
      <c r="H208" s="294" t="s">
        <v>4026</v>
      </c>
      <c r="I208" s="294" t="s">
        <v>3270</v>
      </c>
      <c r="J208" s="298" t="s">
        <v>4027</v>
      </c>
      <c r="K208" s="294" t="s">
        <v>3466</v>
      </c>
      <c r="L208" s="294" t="s">
        <v>4028</v>
      </c>
      <c r="P208" s="296" t="b">
        <v>0</v>
      </c>
      <c r="Q208" s="299" t="s">
        <v>2360</v>
      </c>
      <c r="R208" s="300">
        <v>219.0</v>
      </c>
    </row>
    <row r="209" ht="15.0" customHeight="1">
      <c r="A209" s="301" t="s">
        <v>4029</v>
      </c>
      <c r="B209" s="302">
        <v>3.0</v>
      </c>
      <c r="C209" s="301" t="s">
        <v>3267</v>
      </c>
      <c r="D209" s="301" t="s">
        <v>301</v>
      </c>
      <c r="E209" s="303" t="b">
        <v>1</v>
      </c>
      <c r="F209" s="301" t="s">
        <v>3280</v>
      </c>
      <c r="G209" s="301" t="s">
        <v>3269</v>
      </c>
      <c r="H209" s="307"/>
      <c r="I209" s="301" t="s">
        <v>3404</v>
      </c>
      <c r="J209" s="305" t="s">
        <v>4030</v>
      </c>
      <c r="K209" s="301" t="s">
        <v>35</v>
      </c>
      <c r="L209" s="301" t="s">
        <v>4031</v>
      </c>
      <c r="O209" s="301" t="s">
        <v>198</v>
      </c>
      <c r="P209" s="303" t="b">
        <v>0</v>
      </c>
      <c r="Q209" s="299" t="s">
        <v>2360</v>
      </c>
      <c r="R209" s="300">
        <v>220.0</v>
      </c>
    </row>
    <row r="210" ht="15.0" customHeight="1">
      <c r="A210" s="294" t="s">
        <v>4032</v>
      </c>
      <c r="B210" s="295">
        <v>3.0</v>
      </c>
      <c r="C210" s="294" t="s">
        <v>3267</v>
      </c>
      <c r="D210" s="294" t="s">
        <v>299</v>
      </c>
      <c r="E210" s="296" t="b">
        <v>0</v>
      </c>
      <c r="F210" s="294" t="s">
        <v>3280</v>
      </c>
      <c r="G210" s="294" t="s">
        <v>3269</v>
      </c>
      <c r="H210" s="306"/>
      <c r="I210" s="294" t="s">
        <v>3270</v>
      </c>
      <c r="J210" s="298" t="s">
        <v>4033</v>
      </c>
      <c r="K210" s="294" t="s">
        <v>4034</v>
      </c>
      <c r="L210" s="294" t="s">
        <v>4035</v>
      </c>
      <c r="P210" s="296" t="b">
        <v>0</v>
      </c>
      <c r="Q210" s="299" t="s">
        <v>3296</v>
      </c>
      <c r="R210" s="300">
        <v>151.0</v>
      </c>
    </row>
    <row r="211" ht="15.0" customHeight="1">
      <c r="A211" s="301" t="s">
        <v>4036</v>
      </c>
      <c r="B211" s="302">
        <v>3.0</v>
      </c>
      <c r="C211" s="301" t="s">
        <v>3267</v>
      </c>
      <c r="D211" s="301" t="s">
        <v>303</v>
      </c>
      <c r="E211" s="303" t="b">
        <v>1</v>
      </c>
      <c r="F211" s="301" t="s">
        <v>3280</v>
      </c>
      <c r="G211" s="301" t="s">
        <v>3269</v>
      </c>
      <c r="H211" s="307"/>
      <c r="I211" s="301" t="s">
        <v>3290</v>
      </c>
      <c r="J211" s="305" t="s">
        <v>4037</v>
      </c>
      <c r="K211" s="301" t="s">
        <v>3332</v>
      </c>
      <c r="L211" s="301" t="s">
        <v>3446</v>
      </c>
      <c r="P211" s="303" t="b">
        <v>0</v>
      </c>
      <c r="Q211" s="299" t="s">
        <v>2360</v>
      </c>
      <c r="R211" s="300">
        <v>222.0</v>
      </c>
    </row>
    <row r="212" ht="15.0" customHeight="1">
      <c r="A212" s="294" t="s">
        <v>4038</v>
      </c>
      <c r="B212" s="295">
        <v>3.0</v>
      </c>
      <c r="C212" s="294" t="s">
        <v>3267</v>
      </c>
      <c r="D212" s="294" t="s">
        <v>310</v>
      </c>
      <c r="E212" s="296" t="b">
        <v>0</v>
      </c>
      <c r="F212" s="294" t="s">
        <v>3280</v>
      </c>
      <c r="G212" s="294" t="s">
        <v>3288</v>
      </c>
      <c r="H212" s="294" t="s">
        <v>4039</v>
      </c>
      <c r="I212" s="294" t="s">
        <v>3270</v>
      </c>
      <c r="J212" s="298" t="s">
        <v>4040</v>
      </c>
      <c r="K212" s="294" t="s">
        <v>3319</v>
      </c>
      <c r="L212" s="294" t="s">
        <v>3446</v>
      </c>
      <c r="P212" s="296" t="b">
        <v>0</v>
      </c>
      <c r="Q212" s="299" t="s">
        <v>2360</v>
      </c>
      <c r="R212" s="300">
        <v>225.0</v>
      </c>
    </row>
    <row r="213" ht="15.0" customHeight="1">
      <c r="A213" s="301" t="s">
        <v>4041</v>
      </c>
      <c r="B213" s="302">
        <v>3.0</v>
      </c>
      <c r="C213" s="301" t="s">
        <v>3267</v>
      </c>
      <c r="D213" s="301" t="s">
        <v>305</v>
      </c>
      <c r="E213" s="303" t="b">
        <v>1</v>
      </c>
      <c r="F213" s="301" t="s">
        <v>3280</v>
      </c>
      <c r="G213" s="301" t="s">
        <v>3329</v>
      </c>
      <c r="H213" s="301" t="s">
        <v>4042</v>
      </c>
      <c r="I213" s="301" t="s">
        <v>3290</v>
      </c>
      <c r="J213" s="305" t="s">
        <v>4043</v>
      </c>
      <c r="K213" s="301" t="s">
        <v>3332</v>
      </c>
      <c r="L213" s="301" t="s">
        <v>4044</v>
      </c>
      <c r="P213" s="303" t="b">
        <v>0</v>
      </c>
      <c r="Q213" s="299" t="s">
        <v>2360</v>
      </c>
      <c r="R213" s="300">
        <v>225.0</v>
      </c>
    </row>
    <row r="214" ht="15.0" customHeight="1">
      <c r="A214" s="294" t="s">
        <v>4045</v>
      </c>
      <c r="B214" s="295">
        <v>3.0</v>
      </c>
      <c r="C214" s="294" t="s">
        <v>3267</v>
      </c>
      <c r="D214" s="294" t="s">
        <v>305</v>
      </c>
      <c r="E214" s="296" t="b">
        <v>1</v>
      </c>
      <c r="F214" s="294" t="s">
        <v>3280</v>
      </c>
      <c r="G214" s="294" t="s">
        <v>3288</v>
      </c>
      <c r="H214" s="294" t="s">
        <v>3330</v>
      </c>
      <c r="I214" s="294" t="s">
        <v>3404</v>
      </c>
      <c r="J214" s="298" t="s">
        <v>4046</v>
      </c>
      <c r="K214" s="294" t="s">
        <v>3332</v>
      </c>
      <c r="L214" s="294" t="s">
        <v>3446</v>
      </c>
      <c r="N214" s="294" t="s">
        <v>77</v>
      </c>
      <c r="P214" s="296" t="b">
        <v>0</v>
      </c>
      <c r="Q214" s="299" t="s">
        <v>2360</v>
      </c>
      <c r="R214" s="300">
        <v>228.0</v>
      </c>
    </row>
    <row r="215" ht="15.0" customHeight="1">
      <c r="A215" s="301" t="s">
        <v>4047</v>
      </c>
      <c r="B215" s="302">
        <v>3.0</v>
      </c>
      <c r="C215" s="301" t="s">
        <v>3267</v>
      </c>
      <c r="D215" s="301" t="s">
        <v>310</v>
      </c>
      <c r="E215" s="303" t="b">
        <v>1</v>
      </c>
      <c r="F215" s="301" t="s">
        <v>3280</v>
      </c>
      <c r="G215" s="301" t="s">
        <v>3288</v>
      </c>
      <c r="H215" s="301" t="s">
        <v>4048</v>
      </c>
      <c r="I215" s="301" t="s">
        <v>3290</v>
      </c>
      <c r="J215" s="305" t="s">
        <v>4049</v>
      </c>
      <c r="K215" s="301" t="s">
        <v>3466</v>
      </c>
      <c r="L215" s="301" t="s">
        <v>4050</v>
      </c>
      <c r="M215" s="301" t="s">
        <v>3474</v>
      </c>
      <c r="O215" s="307"/>
      <c r="P215" s="303" t="b">
        <v>0</v>
      </c>
      <c r="Q215" s="299" t="s">
        <v>2360</v>
      </c>
      <c r="R215" s="300">
        <v>229.0</v>
      </c>
    </row>
    <row r="216" ht="15.0" customHeight="1">
      <c r="A216" s="294" t="s">
        <v>4051</v>
      </c>
      <c r="B216" s="295">
        <v>3.0</v>
      </c>
      <c r="C216" s="294" t="s">
        <v>3267</v>
      </c>
      <c r="D216" s="294" t="s">
        <v>301</v>
      </c>
      <c r="E216" s="296" t="b">
        <v>0</v>
      </c>
      <c r="F216" s="294" t="s">
        <v>3280</v>
      </c>
      <c r="G216" s="294" t="s">
        <v>3288</v>
      </c>
      <c r="H216" s="294" t="s">
        <v>4052</v>
      </c>
      <c r="I216" s="294" t="s">
        <v>3270</v>
      </c>
      <c r="J216" s="298" t="s">
        <v>4053</v>
      </c>
      <c r="K216" s="294" t="s">
        <v>3319</v>
      </c>
      <c r="L216" s="294" t="s">
        <v>3446</v>
      </c>
      <c r="P216" s="296" t="b">
        <v>0</v>
      </c>
      <c r="Q216" s="299" t="s">
        <v>2360</v>
      </c>
      <c r="R216" s="300">
        <v>230.0</v>
      </c>
    </row>
    <row r="217" ht="15.0" customHeight="1">
      <c r="A217" s="301" t="s">
        <v>4054</v>
      </c>
      <c r="B217" s="302">
        <v>3.0</v>
      </c>
      <c r="C217" s="301" t="s">
        <v>3267</v>
      </c>
      <c r="D217" s="301" t="s">
        <v>304</v>
      </c>
      <c r="E217" s="303" t="b">
        <v>1</v>
      </c>
      <c r="F217" s="301" t="s">
        <v>3280</v>
      </c>
      <c r="G217" s="301" t="s">
        <v>3288</v>
      </c>
      <c r="H217" s="301" t="s">
        <v>4055</v>
      </c>
      <c r="I217" s="301" t="s">
        <v>3290</v>
      </c>
      <c r="J217" s="305" t="s">
        <v>4056</v>
      </c>
      <c r="K217" s="301" t="s">
        <v>3671</v>
      </c>
      <c r="L217" s="301" t="s">
        <v>4057</v>
      </c>
      <c r="N217" s="301" t="s">
        <v>140</v>
      </c>
      <c r="O217" s="301" t="s">
        <v>261</v>
      </c>
      <c r="P217" s="303" t="b">
        <v>0</v>
      </c>
      <c r="Q217" s="299" t="s">
        <v>2360</v>
      </c>
      <c r="R217" s="300">
        <v>230.0</v>
      </c>
    </row>
    <row r="218" ht="15.0" customHeight="1">
      <c r="A218" s="294" t="s">
        <v>4058</v>
      </c>
      <c r="B218" s="295">
        <v>3.0</v>
      </c>
      <c r="C218" s="294" t="s">
        <v>3267</v>
      </c>
      <c r="D218" s="294" t="s">
        <v>301</v>
      </c>
      <c r="E218" s="296" t="b">
        <v>1</v>
      </c>
      <c r="F218" s="294" t="s">
        <v>3307</v>
      </c>
      <c r="G218" s="294" t="s">
        <v>3288</v>
      </c>
      <c r="H218" s="294" t="s">
        <v>3368</v>
      </c>
      <c r="I218" s="294" t="s">
        <v>3404</v>
      </c>
      <c r="J218" s="298" t="s">
        <v>4059</v>
      </c>
      <c r="K218" s="294" t="s">
        <v>29</v>
      </c>
      <c r="L218" s="294" t="s">
        <v>4060</v>
      </c>
      <c r="M218" s="294" t="s">
        <v>48</v>
      </c>
      <c r="N218" s="306"/>
      <c r="O218" s="294" t="s">
        <v>219</v>
      </c>
      <c r="P218" s="296" t="b">
        <v>0</v>
      </c>
      <c r="Q218" s="299" t="s">
        <v>2360</v>
      </c>
      <c r="R218" s="300">
        <v>234.0</v>
      </c>
    </row>
    <row r="219" ht="15.0" customHeight="1">
      <c r="A219" s="301" t="s">
        <v>1689</v>
      </c>
      <c r="B219" s="302">
        <v>3.0</v>
      </c>
      <c r="C219" s="301" t="s">
        <v>3267</v>
      </c>
      <c r="D219" s="301" t="s">
        <v>304</v>
      </c>
      <c r="E219" s="303" t="b">
        <v>0</v>
      </c>
      <c r="F219" s="301" t="s">
        <v>3743</v>
      </c>
      <c r="G219" s="301" t="s">
        <v>3288</v>
      </c>
      <c r="H219" s="301" t="s">
        <v>4061</v>
      </c>
      <c r="I219" s="301" t="s">
        <v>3270</v>
      </c>
      <c r="J219" s="305" t="s">
        <v>4062</v>
      </c>
      <c r="K219" s="301" t="s">
        <v>3466</v>
      </c>
      <c r="L219" s="301" t="s">
        <v>4063</v>
      </c>
      <c r="P219" s="303" t="b">
        <v>0</v>
      </c>
      <c r="Q219" s="299" t="s">
        <v>2360</v>
      </c>
      <c r="R219" s="300">
        <v>237.0</v>
      </c>
    </row>
    <row r="220" ht="15.0" customHeight="1">
      <c r="A220" s="294" t="s">
        <v>4064</v>
      </c>
      <c r="B220" s="295">
        <v>3.0</v>
      </c>
      <c r="C220" s="294" t="s">
        <v>3267</v>
      </c>
      <c r="D220" s="294" t="s">
        <v>301</v>
      </c>
      <c r="E220" s="296" t="b">
        <v>1</v>
      </c>
      <c r="F220" s="294" t="s">
        <v>3743</v>
      </c>
      <c r="G220" s="294" t="s">
        <v>3288</v>
      </c>
      <c r="H220" s="294" t="s">
        <v>4065</v>
      </c>
      <c r="I220" s="294" t="s">
        <v>3290</v>
      </c>
      <c r="J220" s="298" t="s">
        <v>4066</v>
      </c>
      <c r="K220" s="294" t="s">
        <v>65</v>
      </c>
      <c r="L220" s="294" t="s">
        <v>3380</v>
      </c>
      <c r="N220" s="306"/>
      <c r="O220" s="306"/>
      <c r="P220" s="296" t="b">
        <v>0</v>
      </c>
      <c r="Q220" s="299" t="s">
        <v>3296</v>
      </c>
      <c r="R220" s="300">
        <v>155.0</v>
      </c>
    </row>
    <row r="221" ht="15.0" customHeight="1">
      <c r="A221" s="301" t="s">
        <v>4067</v>
      </c>
      <c r="B221" s="302">
        <v>3.0</v>
      </c>
      <c r="C221" s="301" t="s">
        <v>4068</v>
      </c>
      <c r="D221" s="301" t="s">
        <v>310</v>
      </c>
      <c r="E221" s="303" t="b">
        <v>0</v>
      </c>
      <c r="F221" s="301" t="s">
        <v>3743</v>
      </c>
      <c r="G221" s="301" t="s">
        <v>3269</v>
      </c>
      <c r="H221" s="307"/>
      <c r="I221" s="301" t="s">
        <v>3270</v>
      </c>
      <c r="J221" s="305" t="s">
        <v>4069</v>
      </c>
      <c r="K221" s="301" t="s">
        <v>3489</v>
      </c>
      <c r="L221" s="301" t="s">
        <v>4070</v>
      </c>
      <c r="O221" s="301" t="s">
        <v>4071</v>
      </c>
      <c r="P221" s="303" t="b">
        <v>0</v>
      </c>
      <c r="Q221" s="299" t="s">
        <v>3296</v>
      </c>
      <c r="R221" s="300">
        <v>155.0</v>
      </c>
    </row>
    <row r="222" ht="15.0" customHeight="1">
      <c r="A222" s="294" t="s">
        <v>1694</v>
      </c>
      <c r="B222" s="295">
        <v>3.0</v>
      </c>
      <c r="C222" s="294" t="s">
        <v>3267</v>
      </c>
      <c r="D222" s="294" t="s">
        <v>301</v>
      </c>
      <c r="E222" s="296" t="b">
        <v>1</v>
      </c>
      <c r="F222" s="294" t="s">
        <v>3743</v>
      </c>
      <c r="G222" s="294" t="s">
        <v>3288</v>
      </c>
      <c r="H222" s="294" t="s">
        <v>4072</v>
      </c>
      <c r="I222" s="294" t="s">
        <v>3290</v>
      </c>
      <c r="J222" s="298" t="s">
        <v>4073</v>
      </c>
      <c r="K222" s="294" t="s">
        <v>3319</v>
      </c>
      <c r="L222" s="294" t="s">
        <v>4074</v>
      </c>
      <c r="N222" s="294" t="s">
        <v>140</v>
      </c>
      <c r="P222" s="296" t="b">
        <v>0</v>
      </c>
      <c r="Q222" s="299" t="s">
        <v>2218</v>
      </c>
      <c r="R222" s="300">
        <v>75.0</v>
      </c>
    </row>
    <row r="223" ht="15.0" customHeight="1">
      <c r="A223" s="301" t="s">
        <v>4075</v>
      </c>
      <c r="B223" s="302">
        <v>3.0</v>
      </c>
      <c r="C223" s="301" t="s">
        <v>3267</v>
      </c>
      <c r="D223" s="301" t="s">
        <v>304</v>
      </c>
      <c r="E223" s="303" t="b">
        <v>1</v>
      </c>
      <c r="F223" s="301" t="s">
        <v>3312</v>
      </c>
      <c r="G223" s="301" t="s">
        <v>3308</v>
      </c>
      <c r="H223" s="304"/>
      <c r="I223" s="301" t="s">
        <v>3290</v>
      </c>
      <c r="J223" s="305" t="s">
        <v>4076</v>
      </c>
      <c r="K223" s="301" t="s">
        <v>48</v>
      </c>
      <c r="L223" s="301" t="s">
        <v>4077</v>
      </c>
      <c r="M223" s="301" t="s">
        <v>4078</v>
      </c>
      <c r="N223" s="301" t="s">
        <v>161</v>
      </c>
      <c r="P223" s="303" t="b">
        <v>0</v>
      </c>
      <c r="Q223" s="299" t="s">
        <v>2360</v>
      </c>
      <c r="R223" s="300">
        <v>239.0</v>
      </c>
    </row>
    <row r="224" ht="15.0" customHeight="1">
      <c r="A224" s="294" t="s">
        <v>4079</v>
      </c>
      <c r="B224" s="295">
        <v>3.0</v>
      </c>
      <c r="C224" s="294" t="s">
        <v>3267</v>
      </c>
      <c r="D224" s="294" t="s">
        <v>299</v>
      </c>
      <c r="E224" s="296" t="b">
        <v>1</v>
      </c>
      <c r="F224" s="294" t="s">
        <v>3312</v>
      </c>
      <c r="G224" s="294" t="s">
        <v>3269</v>
      </c>
      <c r="H224" s="297"/>
      <c r="I224" s="294" t="s">
        <v>3290</v>
      </c>
      <c r="J224" s="298" t="s">
        <v>4080</v>
      </c>
      <c r="K224" s="294" t="s">
        <v>29</v>
      </c>
      <c r="L224" s="294" t="s">
        <v>4081</v>
      </c>
      <c r="N224" s="294" t="s">
        <v>179</v>
      </c>
      <c r="O224" s="294" t="s">
        <v>87</v>
      </c>
      <c r="P224" s="296" t="b">
        <v>0</v>
      </c>
      <c r="Q224" s="299" t="s">
        <v>2360</v>
      </c>
      <c r="R224" s="300">
        <v>240.0</v>
      </c>
    </row>
    <row r="225" ht="15.0" customHeight="1">
      <c r="A225" s="301" t="s">
        <v>4082</v>
      </c>
      <c r="B225" s="302">
        <v>3.0</v>
      </c>
      <c r="C225" s="301" t="s">
        <v>3267</v>
      </c>
      <c r="D225" s="301" t="s">
        <v>303</v>
      </c>
      <c r="E225" s="303" t="b">
        <v>0</v>
      </c>
      <c r="F225" s="301" t="s">
        <v>3312</v>
      </c>
      <c r="G225" s="301" t="s">
        <v>3329</v>
      </c>
      <c r="H225" s="301" t="s">
        <v>4083</v>
      </c>
      <c r="I225" s="301" t="s">
        <v>3404</v>
      </c>
      <c r="J225" s="305" t="s">
        <v>4084</v>
      </c>
      <c r="K225" s="301" t="s">
        <v>3292</v>
      </c>
      <c r="L225" s="301" t="s">
        <v>3446</v>
      </c>
      <c r="P225" s="303" t="b">
        <v>0</v>
      </c>
      <c r="Q225" s="299" t="s">
        <v>2360</v>
      </c>
      <c r="R225" s="300">
        <v>241.0</v>
      </c>
    </row>
    <row r="226" ht="15.0" customHeight="1">
      <c r="A226" s="294" t="s">
        <v>4085</v>
      </c>
      <c r="B226" s="295">
        <v>3.0</v>
      </c>
      <c r="C226" s="294" t="s">
        <v>3267</v>
      </c>
      <c r="D226" s="294" t="s">
        <v>301</v>
      </c>
      <c r="E226" s="296" t="b">
        <v>0</v>
      </c>
      <c r="F226" s="294" t="s">
        <v>3312</v>
      </c>
      <c r="G226" s="294" t="s">
        <v>3269</v>
      </c>
      <c r="H226" s="306"/>
      <c r="I226" s="294" t="s">
        <v>3270</v>
      </c>
      <c r="J226" s="298" t="s">
        <v>4086</v>
      </c>
      <c r="K226" s="294" t="s">
        <v>3578</v>
      </c>
      <c r="L226" s="294" t="s">
        <v>4087</v>
      </c>
      <c r="N226" s="294" t="s">
        <v>164</v>
      </c>
      <c r="P226" s="296" t="b">
        <v>0</v>
      </c>
      <c r="Q226" s="299" t="s">
        <v>3296</v>
      </c>
      <c r="R226" s="300">
        <v>156.0</v>
      </c>
    </row>
    <row r="227" ht="15.0" customHeight="1">
      <c r="A227" s="301" t="s">
        <v>4088</v>
      </c>
      <c r="B227" s="302">
        <v>3.0</v>
      </c>
      <c r="C227" s="301" t="s">
        <v>3267</v>
      </c>
      <c r="D227" s="301" t="s">
        <v>304</v>
      </c>
      <c r="E227" s="303" t="b">
        <v>1</v>
      </c>
      <c r="F227" s="301" t="s">
        <v>3312</v>
      </c>
      <c r="G227" s="301" t="s">
        <v>3308</v>
      </c>
      <c r="H227" s="307"/>
      <c r="I227" s="301" t="s">
        <v>3290</v>
      </c>
      <c r="J227" s="305" t="s">
        <v>4089</v>
      </c>
      <c r="K227" s="301" t="s">
        <v>48</v>
      </c>
      <c r="L227" s="301" t="s">
        <v>4090</v>
      </c>
      <c r="N227" s="307"/>
      <c r="O227" s="307"/>
      <c r="P227" s="303" t="b">
        <v>0</v>
      </c>
      <c r="Q227" s="299" t="s">
        <v>2360</v>
      </c>
      <c r="R227" s="300">
        <v>243.0</v>
      </c>
    </row>
    <row r="228" ht="15.0" customHeight="1">
      <c r="A228" s="294" t="s">
        <v>4091</v>
      </c>
      <c r="B228" s="295">
        <v>3.0</v>
      </c>
      <c r="C228" s="294" t="s">
        <v>3267</v>
      </c>
      <c r="D228" s="294" t="s">
        <v>303</v>
      </c>
      <c r="E228" s="296" t="b">
        <v>1</v>
      </c>
      <c r="F228" s="294" t="s">
        <v>3312</v>
      </c>
      <c r="G228" s="294" t="s">
        <v>3308</v>
      </c>
      <c r="H228" s="306"/>
      <c r="I228" s="294" t="s">
        <v>3337</v>
      </c>
      <c r="J228" s="298" t="s">
        <v>4092</v>
      </c>
      <c r="K228" s="294" t="s">
        <v>4093</v>
      </c>
      <c r="L228" s="294" t="s">
        <v>3948</v>
      </c>
      <c r="P228" s="296" t="b">
        <v>0</v>
      </c>
      <c r="Q228" s="299" t="s">
        <v>2360</v>
      </c>
      <c r="R228" s="300">
        <v>244.0</v>
      </c>
    </row>
    <row r="229" ht="15.0" customHeight="1">
      <c r="A229" s="301" t="s">
        <v>1687</v>
      </c>
      <c r="B229" s="302">
        <v>3.0</v>
      </c>
      <c r="C229" s="301" t="s">
        <v>3267</v>
      </c>
      <c r="D229" s="301" t="s">
        <v>305</v>
      </c>
      <c r="E229" s="303" t="b">
        <v>1</v>
      </c>
      <c r="F229" s="301" t="s">
        <v>3312</v>
      </c>
      <c r="G229" s="301" t="s">
        <v>3288</v>
      </c>
      <c r="H229" s="301" t="s">
        <v>4094</v>
      </c>
      <c r="I229" s="301" t="s">
        <v>3290</v>
      </c>
      <c r="J229" s="305" t="s">
        <v>4095</v>
      </c>
      <c r="K229" s="301" t="s">
        <v>3332</v>
      </c>
      <c r="L229" s="301" t="s">
        <v>4096</v>
      </c>
      <c r="O229" s="301" t="s">
        <v>234</v>
      </c>
      <c r="P229" s="303" t="b">
        <v>0</v>
      </c>
      <c r="Q229" s="299" t="s">
        <v>2360</v>
      </c>
      <c r="R229" s="300">
        <v>245.0</v>
      </c>
    </row>
    <row r="230" ht="15.0" customHeight="1">
      <c r="A230" s="294" t="s">
        <v>2066</v>
      </c>
      <c r="B230" s="295">
        <v>3.0</v>
      </c>
      <c r="C230" s="294" t="s">
        <v>3267</v>
      </c>
      <c r="D230" s="294" t="s">
        <v>310</v>
      </c>
      <c r="E230" s="296" t="b">
        <v>1</v>
      </c>
      <c r="F230" s="294" t="s">
        <v>3312</v>
      </c>
      <c r="G230" s="294" t="s">
        <v>3288</v>
      </c>
      <c r="H230" s="294" t="s">
        <v>4097</v>
      </c>
      <c r="I230" s="294" t="s">
        <v>3290</v>
      </c>
      <c r="J230" s="298" t="s">
        <v>4098</v>
      </c>
      <c r="K230" s="294" t="s">
        <v>3645</v>
      </c>
      <c r="L230" s="294" t="s">
        <v>4099</v>
      </c>
      <c r="O230" s="294" t="s">
        <v>234</v>
      </c>
      <c r="P230" s="296" t="b">
        <v>0</v>
      </c>
      <c r="Q230" s="299" t="s">
        <v>2360</v>
      </c>
      <c r="R230" s="300">
        <v>250.0</v>
      </c>
    </row>
    <row r="231" ht="15.0" customHeight="1">
      <c r="A231" s="301" t="s">
        <v>4100</v>
      </c>
      <c r="B231" s="302">
        <v>3.0</v>
      </c>
      <c r="C231" s="301" t="s">
        <v>3267</v>
      </c>
      <c r="D231" s="301" t="s">
        <v>303</v>
      </c>
      <c r="E231" s="303" t="b">
        <v>1</v>
      </c>
      <c r="F231" s="301" t="s">
        <v>3312</v>
      </c>
      <c r="G231" s="301" t="s">
        <v>3288</v>
      </c>
      <c r="H231" s="301" t="s">
        <v>4101</v>
      </c>
      <c r="I231" s="301" t="s">
        <v>3290</v>
      </c>
      <c r="J231" s="305" t="s">
        <v>4102</v>
      </c>
      <c r="K231" s="301" t="s">
        <v>4103</v>
      </c>
      <c r="L231" s="301" t="s">
        <v>3948</v>
      </c>
      <c r="P231" s="303" t="b">
        <v>0</v>
      </c>
      <c r="Q231" s="299" t="s">
        <v>2360</v>
      </c>
      <c r="R231" s="300">
        <v>251.0</v>
      </c>
    </row>
    <row r="232" ht="15.0" customHeight="1">
      <c r="A232" s="294" t="s">
        <v>4104</v>
      </c>
      <c r="B232" s="295">
        <v>3.0</v>
      </c>
      <c r="C232" s="294" t="s">
        <v>3267</v>
      </c>
      <c r="D232" s="294" t="s">
        <v>299</v>
      </c>
      <c r="E232" s="296" t="b">
        <v>1</v>
      </c>
      <c r="F232" s="294" t="s">
        <v>3312</v>
      </c>
      <c r="G232" s="294" t="s">
        <v>3308</v>
      </c>
      <c r="H232" s="306"/>
      <c r="I232" s="294" t="s">
        <v>3337</v>
      </c>
      <c r="J232" s="298" t="s">
        <v>4105</v>
      </c>
      <c r="K232" s="294" t="s">
        <v>12</v>
      </c>
      <c r="L232" s="306"/>
      <c r="M232" s="294" t="s">
        <v>3332</v>
      </c>
      <c r="P232" s="296" t="b">
        <v>0</v>
      </c>
      <c r="Q232" s="299" t="s">
        <v>2360</v>
      </c>
      <c r="R232" s="300">
        <v>252.0</v>
      </c>
    </row>
    <row r="233" ht="15.0" customHeight="1">
      <c r="A233" s="301" t="s">
        <v>4106</v>
      </c>
      <c r="B233" s="302">
        <v>3.0</v>
      </c>
      <c r="C233" s="301" t="s">
        <v>3267</v>
      </c>
      <c r="D233" s="301" t="s">
        <v>308</v>
      </c>
      <c r="E233" s="303" t="b">
        <v>0</v>
      </c>
      <c r="F233" s="301" t="s">
        <v>3312</v>
      </c>
      <c r="G233" s="301" t="s">
        <v>3269</v>
      </c>
      <c r="H233" s="304"/>
      <c r="I233" s="301" t="s">
        <v>3270</v>
      </c>
      <c r="J233" s="305" t="s">
        <v>4107</v>
      </c>
      <c r="K233" s="301" t="s">
        <v>3965</v>
      </c>
      <c r="L233" s="301" t="s">
        <v>3948</v>
      </c>
      <c r="M233" s="301" t="s">
        <v>4108</v>
      </c>
      <c r="O233" s="307"/>
      <c r="P233" s="303" t="b">
        <v>0</v>
      </c>
      <c r="Q233" s="299" t="s">
        <v>2218</v>
      </c>
      <c r="R233" s="300">
        <v>76.0</v>
      </c>
    </row>
    <row r="234" ht="15.0" customHeight="1">
      <c r="A234" s="294" t="s">
        <v>4109</v>
      </c>
      <c r="B234" s="295">
        <v>3.0</v>
      </c>
      <c r="C234" s="294" t="s">
        <v>3290</v>
      </c>
      <c r="D234" s="294" t="s">
        <v>305</v>
      </c>
      <c r="E234" s="296" t="b">
        <v>0</v>
      </c>
      <c r="F234" s="294" t="s">
        <v>3312</v>
      </c>
      <c r="G234" s="294" t="s">
        <v>3269</v>
      </c>
      <c r="H234" s="306"/>
      <c r="I234" s="294" t="s">
        <v>3337</v>
      </c>
      <c r="J234" s="298" t="s">
        <v>4110</v>
      </c>
      <c r="K234" s="294" t="s">
        <v>69</v>
      </c>
      <c r="L234" s="294" t="s">
        <v>4111</v>
      </c>
      <c r="N234" s="294" t="s">
        <v>185</v>
      </c>
      <c r="P234" s="296" t="b">
        <v>1</v>
      </c>
      <c r="Q234" s="299" t="s">
        <v>3286</v>
      </c>
      <c r="R234" s="300">
        <v>107.0</v>
      </c>
    </row>
    <row r="235" ht="15.0" customHeight="1">
      <c r="A235" s="301" t="s">
        <v>4112</v>
      </c>
      <c r="B235" s="302">
        <v>3.0</v>
      </c>
      <c r="C235" s="301" t="s">
        <v>3267</v>
      </c>
      <c r="D235" s="301" t="s">
        <v>304</v>
      </c>
      <c r="E235" s="303" t="b">
        <v>0</v>
      </c>
      <c r="F235" s="301" t="s">
        <v>3312</v>
      </c>
      <c r="G235" s="301" t="s">
        <v>3269</v>
      </c>
      <c r="H235" s="307"/>
      <c r="I235" s="301" t="s">
        <v>3270</v>
      </c>
      <c r="J235" s="305" t="s">
        <v>4113</v>
      </c>
      <c r="K235" s="307"/>
      <c r="L235" s="301" t="s">
        <v>3341</v>
      </c>
      <c r="O235" s="307"/>
      <c r="P235" s="303" t="b">
        <v>0</v>
      </c>
      <c r="Q235" s="299" t="s">
        <v>2360</v>
      </c>
      <c r="R235" s="300">
        <v>255.0</v>
      </c>
    </row>
    <row r="236" ht="15.0" customHeight="1">
      <c r="A236" s="294" t="s">
        <v>4114</v>
      </c>
      <c r="B236" s="295">
        <v>3.0</v>
      </c>
      <c r="C236" s="294" t="s">
        <v>3267</v>
      </c>
      <c r="D236" s="294" t="s">
        <v>310</v>
      </c>
      <c r="E236" s="296" t="b">
        <v>0</v>
      </c>
      <c r="F236" s="294" t="s">
        <v>3312</v>
      </c>
      <c r="G236" s="294" t="s">
        <v>3269</v>
      </c>
      <c r="H236" s="306"/>
      <c r="I236" s="294" t="s">
        <v>3404</v>
      </c>
      <c r="J236" s="298" t="s">
        <v>4115</v>
      </c>
      <c r="K236" s="294" t="s">
        <v>3489</v>
      </c>
      <c r="M236" s="306"/>
      <c r="N236" s="294" t="s">
        <v>3601</v>
      </c>
      <c r="O236" s="294" t="s">
        <v>252</v>
      </c>
      <c r="P236" s="296" t="b">
        <v>0</v>
      </c>
      <c r="Q236" s="299" t="s">
        <v>3296</v>
      </c>
      <c r="R236" s="300">
        <v>160.0</v>
      </c>
    </row>
    <row r="237" ht="15.0" customHeight="1">
      <c r="A237" s="301" t="s">
        <v>4116</v>
      </c>
      <c r="B237" s="302">
        <v>3.0</v>
      </c>
      <c r="C237" s="301" t="s">
        <v>3267</v>
      </c>
      <c r="D237" s="301" t="s">
        <v>310</v>
      </c>
      <c r="E237" s="303" t="b">
        <v>0</v>
      </c>
      <c r="F237" s="301" t="s">
        <v>3312</v>
      </c>
      <c r="G237" s="301" t="s">
        <v>3288</v>
      </c>
      <c r="H237" s="301" t="s">
        <v>4117</v>
      </c>
      <c r="I237" s="301" t="s">
        <v>3487</v>
      </c>
      <c r="J237" s="305" t="s">
        <v>4118</v>
      </c>
      <c r="K237" s="301" t="s">
        <v>3707</v>
      </c>
      <c r="L237" s="301" t="s">
        <v>4119</v>
      </c>
      <c r="O237" s="301" t="s">
        <v>261</v>
      </c>
      <c r="P237" s="303" t="b">
        <v>1</v>
      </c>
      <c r="Q237" s="299" t="s">
        <v>2360</v>
      </c>
      <c r="R237" s="300">
        <v>255.0</v>
      </c>
    </row>
    <row r="238" ht="15.0" customHeight="1">
      <c r="A238" s="294" t="s">
        <v>4120</v>
      </c>
      <c r="B238" s="295">
        <v>3.0</v>
      </c>
      <c r="C238" s="294" t="s">
        <v>3267</v>
      </c>
      <c r="D238" s="294" t="s">
        <v>310</v>
      </c>
      <c r="E238" s="296" t="b">
        <v>0</v>
      </c>
      <c r="F238" s="294" t="s">
        <v>3312</v>
      </c>
      <c r="G238" s="294" t="s">
        <v>3288</v>
      </c>
      <c r="H238" s="294" t="s">
        <v>4121</v>
      </c>
      <c r="I238" s="294" t="s">
        <v>3337</v>
      </c>
      <c r="J238" s="298" t="s">
        <v>4122</v>
      </c>
      <c r="K238" s="294" t="s">
        <v>4123</v>
      </c>
      <c r="L238" s="294" t="s">
        <v>4124</v>
      </c>
      <c r="P238" s="296" t="b">
        <v>1</v>
      </c>
      <c r="Q238" s="299" t="s">
        <v>2360</v>
      </c>
      <c r="R238" s="300">
        <v>255.0</v>
      </c>
    </row>
    <row r="239" ht="15.0" customHeight="1">
      <c r="A239" s="301" t="s">
        <v>2075</v>
      </c>
      <c r="B239" s="302">
        <v>3.0</v>
      </c>
      <c r="C239" s="301" t="s">
        <v>3267</v>
      </c>
      <c r="D239" s="301" t="s">
        <v>301</v>
      </c>
      <c r="E239" s="303" t="b">
        <v>1</v>
      </c>
      <c r="F239" s="301" t="s">
        <v>3370</v>
      </c>
      <c r="G239" s="301" t="s">
        <v>3269</v>
      </c>
      <c r="H239" s="307"/>
      <c r="I239" s="301" t="s">
        <v>3337</v>
      </c>
      <c r="J239" s="305" t="s">
        <v>4125</v>
      </c>
      <c r="K239" s="301" t="s">
        <v>3671</v>
      </c>
      <c r="L239" s="301" t="s">
        <v>4126</v>
      </c>
      <c r="N239" s="301" t="s">
        <v>179</v>
      </c>
      <c r="O239" s="301" t="s">
        <v>165</v>
      </c>
      <c r="P239" s="303" t="b">
        <v>0</v>
      </c>
      <c r="Q239" s="299" t="s">
        <v>2360</v>
      </c>
      <c r="R239" s="300">
        <v>256.0</v>
      </c>
    </row>
    <row r="240" ht="15.0" customHeight="1">
      <c r="A240" s="294" t="s">
        <v>4127</v>
      </c>
      <c r="B240" s="295">
        <v>3.0</v>
      </c>
      <c r="C240" s="294" t="s">
        <v>3267</v>
      </c>
      <c r="D240" s="294" t="s">
        <v>301</v>
      </c>
      <c r="E240" s="296" t="b">
        <v>0</v>
      </c>
      <c r="F240" s="294" t="s">
        <v>3370</v>
      </c>
      <c r="G240" s="294" t="s">
        <v>3288</v>
      </c>
      <c r="H240" s="294" t="s">
        <v>4128</v>
      </c>
      <c r="I240" s="294" t="s">
        <v>3270</v>
      </c>
      <c r="J240" s="298" t="s">
        <v>4129</v>
      </c>
      <c r="K240" s="294" t="s">
        <v>52</v>
      </c>
      <c r="L240" s="294" t="s">
        <v>26</v>
      </c>
      <c r="N240" s="294" t="s">
        <v>182</v>
      </c>
      <c r="O240" s="294" t="s">
        <v>165</v>
      </c>
      <c r="P240" s="296" t="b">
        <v>0</v>
      </c>
      <c r="Q240" s="299" t="s">
        <v>2360</v>
      </c>
      <c r="R240" s="300">
        <v>258.0</v>
      </c>
    </row>
    <row r="241" ht="15.0" customHeight="1">
      <c r="A241" s="301" t="s">
        <v>4130</v>
      </c>
      <c r="B241" s="302">
        <v>3.0</v>
      </c>
      <c r="C241" s="301" t="s">
        <v>3551</v>
      </c>
      <c r="D241" s="301" t="s">
        <v>299</v>
      </c>
      <c r="E241" s="303" t="b">
        <v>0</v>
      </c>
      <c r="F241" s="301" t="s">
        <v>3370</v>
      </c>
      <c r="G241" s="301" t="s">
        <v>3336</v>
      </c>
      <c r="H241" s="307"/>
      <c r="I241" s="301" t="s">
        <v>3270</v>
      </c>
      <c r="J241" s="305" t="s">
        <v>4131</v>
      </c>
      <c r="K241" s="301" t="s">
        <v>3283</v>
      </c>
      <c r="L241" s="301" t="s">
        <v>4132</v>
      </c>
      <c r="N241" s="301" t="s">
        <v>188</v>
      </c>
      <c r="O241" s="301" t="s">
        <v>28</v>
      </c>
      <c r="P241" s="303" t="b">
        <v>0</v>
      </c>
      <c r="Q241" s="299" t="s">
        <v>2360</v>
      </c>
      <c r="R241" s="300">
        <v>258.0</v>
      </c>
    </row>
    <row r="242" ht="15.0" customHeight="1">
      <c r="A242" s="294" t="s">
        <v>4133</v>
      </c>
      <c r="B242" s="295">
        <v>3.0</v>
      </c>
      <c r="C242" s="294" t="s">
        <v>3267</v>
      </c>
      <c r="D242" s="294" t="s">
        <v>304</v>
      </c>
      <c r="E242" s="296" t="b">
        <v>0</v>
      </c>
      <c r="F242" s="294" t="s">
        <v>3370</v>
      </c>
      <c r="G242" s="294" t="s">
        <v>3269</v>
      </c>
      <c r="H242" s="306"/>
      <c r="I242" s="294" t="s">
        <v>3337</v>
      </c>
      <c r="J242" s="298" t="s">
        <v>4134</v>
      </c>
      <c r="K242" s="294" t="s">
        <v>4135</v>
      </c>
      <c r="L242" s="294" t="s">
        <v>4136</v>
      </c>
      <c r="N242" s="294" t="s">
        <v>4137</v>
      </c>
      <c r="O242" s="306"/>
      <c r="P242" s="296" t="b">
        <v>0</v>
      </c>
      <c r="Q242" s="299" t="s">
        <v>2360</v>
      </c>
      <c r="R242" s="300">
        <v>259.0</v>
      </c>
    </row>
    <row r="243" ht="15.0" customHeight="1">
      <c r="A243" s="301" t="s">
        <v>4138</v>
      </c>
      <c r="B243" s="302">
        <v>3.0</v>
      </c>
      <c r="C243" s="301" t="s">
        <v>3418</v>
      </c>
      <c r="D243" s="301" t="s">
        <v>304</v>
      </c>
      <c r="E243" s="303" t="b">
        <v>0</v>
      </c>
      <c r="F243" s="301" t="s">
        <v>3370</v>
      </c>
      <c r="G243" s="301" t="s">
        <v>3308</v>
      </c>
      <c r="H243" s="307"/>
      <c r="I243" s="301" t="s">
        <v>3270</v>
      </c>
      <c r="J243" s="305" t="s">
        <v>4139</v>
      </c>
      <c r="K243" s="301" t="s">
        <v>29</v>
      </c>
      <c r="L243" s="301" t="s">
        <v>4140</v>
      </c>
      <c r="M243" s="301" t="s">
        <v>3474</v>
      </c>
      <c r="N243" s="301" t="s">
        <v>161</v>
      </c>
      <c r="P243" s="303" t="b">
        <v>0</v>
      </c>
      <c r="Q243" s="299" t="s">
        <v>3296</v>
      </c>
      <c r="R243" s="300">
        <v>161.0</v>
      </c>
    </row>
    <row r="244" ht="15.0" customHeight="1">
      <c r="A244" s="294" t="s">
        <v>4141</v>
      </c>
      <c r="B244" s="295">
        <v>3.0</v>
      </c>
      <c r="C244" s="294" t="s">
        <v>3290</v>
      </c>
      <c r="D244" s="294" t="s">
        <v>303</v>
      </c>
      <c r="E244" s="296" t="b">
        <v>0</v>
      </c>
      <c r="F244" s="294" t="s">
        <v>3370</v>
      </c>
      <c r="G244" s="294" t="s">
        <v>3308</v>
      </c>
      <c r="H244" s="297"/>
      <c r="I244" s="294" t="s">
        <v>3337</v>
      </c>
      <c r="J244" s="298" t="s">
        <v>4142</v>
      </c>
      <c r="K244" s="294" t="s">
        <v>3494</v>
      </c>
      <c r="L244" s="294" t="s">
        <v>3347</v>
      </c>
      <c r="P244" s="296" t="b">
        <v>0</v>
      </c>
      <c r="Q244" s="299" t="s">
        <v>2218</v>
      </c>
      <c r="R244" s="300">
        <v>77.0</v>
      </c>
    </row>
    <row r="245" ht="15.0" customHeight="1">
      <c r="A245" s="301" t="s">
        <v>4143</v>
      </c>
      <c r="B245" s="302">
        <v>3.0</v>
      </c>
      <c r="C245" s="301" t="s">
        <v>3267</v>
      </c>
      <c r="D245" s="301" t="s">
        <v>301</v>
      </c>
      <c r="E245" s="303" t="b">
        <v>1</v>
      </c>
      <c r="F245" s="301" t="s">
        <v>3370</v>
      </c>
      <c r="G245" s="301" t="s">
        <v>3288</v>
      </c>
      <c r="H245" s="301" t="s">
        <v>4144</v>
      </c>
      <c r="I245" s="301" t="s">
        <v>3337</v>
      </c>
      <c r="J245" s="305" t="s">
        <v>4145</v>
      </c>
      <c r="K245" s="301" t="s">
        <v>3538</v>
      </c>
      <c r="L245" s="301" t="s">
        <v>3446</v>
      </c>
      <c r="P245" s="303" t="b">
        <v>0</v>
      </c>
      <c r="Q245" s="299" t="s">
        <v>2360</v>
      </c>
      <c r="R245" s="300">
        <v>263.0</v>
      </c>
    </row>
    <row r="246" ht="15.0" customHeight="1">
      <c r="A246" s="294" t="s">
        <v>4146</v>
      </c>
      <c r="B246" s="295">
        <v>3.0</v>
      </c>
      <c r="C246" s="294" t="s">
        <v>3267</v>
      </c>
      <c r="D246" s="294" t="s">
        <v>304</v>
      </c>
      <c r="E246" s="296" t="b">
        <v>1</v>
      </c>
      <c r="F246" s="294" t="s">
        <v>3370</v>
      </c>
      <c r="G246" s="294" t="s">
        <v>3288</v>
      </c>
      <c r="H246" s="294" t="s">
        <v>4052</v>
      </c>
      <c r="I246" s="294" t="s">
        <v>3404</v>
      </c>
      <c r="J246" s="298" t="s">
        <v>4147</v>
      </c>
      <c r="K246" s="294" t="s">
        <v>3319</v>
      </c>
      <c r="L246" s="294" t="s">
        <v>3446</v>
      </c>
      <c r="N246" s="294" t="s">
        <v>265</v>
      </c>
      <c r="O246" s="306"/>
      <c r="P246" s="296" t="b">
        <v>0</v>
      </c>
      <c r="Q246" s="299" t="s">
        <v>2360</v>
      </c>
      <c r="R246" s="300">
        <v>265.0</v>
      </c>
    </row>
    <row r="247" ht="15.0" customHeight="1">
      <c r="A247" s="301" t="s">
        <v>1696</v>
      </c>
      <c r="B247" s="302">
        <v>3.0</v>
      </c>
      <c r="C247" s="301" t="s">
        <v>3267</v>
      </c>
      <c r="D247" s="301" t="s">
        <v>301</v>
      </c>
      <c r="E247" s="303" t="b">
        <v>1</v>
      </c>
      <c r="F247" s="301" t="s">
        <v>3588</v>
      </c>
      <c r="G247" s="301" t="s">
        <v>3288</v>
      </c>
      <c r="H247" s="301" t="s">
        <v>4148</v>
      </c>
      <c r="I247" s="301" t="s">
        <v>3290</v>
      </c>
      <c r="J247" s="305" t="s">
        <v>4149</v>
      </c>
      <c r="K247" s="301" t="s">
        <v>3583</v>
      </c>
      <c r="L247" s="301" t="s">
        <v>4150</v>
      </c>
      <c r="P247" s="303" t="b">
        <v>0</v>
      </c>
      <c r="Q247" s="299" t="s">
        <v>2360</v>
      </c>
      <c r="R247" s="300">
        <v>266.0</v>
      </c>
    </row>
    <row r="248" ht="15.0" customHeight="1">
      <c r="A248" s="294" t="s">
        <v>4151</v>
      </c>
      <c r="B248" s="295">
        <v>3.0</v>
      </c>
      <c r="C248" s="294" t="s">
        <v>3267</v>
      </c>
      <c r="D248" s="294" t="s">
        <v>301</v>
      </c>
      <c r="E248" s="296" t="b">
        <v>1</v>
      </c>
      <c r="F248" s="294" t="s">
        <v>3588</v>
      </c>
      <c r="G248" s="294" t="s">
        <v>3288</v>
      </c>
      <c r="H248" s="294" t="s">
        <v>4152</v>
      </c>
      <c r="I248" s="294" t="s">
        <v>3337</v>
      </c>
      <c r="J248" s="298" t="s">
        <v>4153</v>
      </c>
      <c r="K248" s="306"/>
      <c r="L248" s="306"/>
      <c r="M248" s="294" t="s">
        <v>4154</v>
      </c>
      <c r="P248" s="296" t="b">
        <v>0</v>
      </c>
      <c r="Q248" s="299" t="s">
        <v>2360</v>
      </c>
      <c r="R248" s="300">
        <v>270.0</v>
      </c>
    </row>
    <row r="249" ht="15.0" customHeight="1">
      <c r="A249" s="301" t="s">
        <v>4155</v>
      </c>
      <c r="B249" s="302">
        <v>3.0</v>
      </c>
      <c r="C249" s="301" t="s">
        <v>3267</v>
      </c>
      <c r="D249" s="301" t="s">
        <v>301</v>
      </c>
      <c r="E249" s="303" t="b">
        <v>1</v>
      </c>
      <c r="F249" s="301" t="s">
        <v>3588</v>
      </c>
      <c r="G249" s="301" t="s">
        <v>3288</v>
      </c>
      <c r="H249" s="301" t="s">
        <v>4156</v>
      </c>
      <c r="I249" s="301" t="s">
        <v>3337</v>
      </c>
      <c r="J249" s="305" t="s">
        <v>4157</v>
      </c>
      <c r="K249" s="307"/>
      <c r="L249" s="307"/>
      <c r="M249" s="301" t="s">
        <v>3538</v>
      </c>
      <c r="O249" s="307"/>
      <c r="P249" s="303" t="b">
        <v>0</v>
      </c>
      <c r="Q249" s="299" t="s">
        <v>3392</v>
      </c>
      <c r="R249" s="300">
        <v>188.0</v>
      </c>
    </row>
    <row r="250" ht="15.0" customHeight="1">
      <c r="A250" s="294" t="s">
        <v>4158</v>
      </c>
      <c r="B250" s="295">
        <v>3.0</v>
      </c>
      <c r="C250" s="294" t="s">
        <v>3267</v>
      </c>
      <c r="D250" s="294" t="s">
        <v>308</v>
      </c>
      <c r="E250" s="296" t="b">
        <v>1</v>
      </c>
      <c r="F250" s="294" t="s">
        <v>3588</v>
      </c>
      <c r="G250" s="294" t="s">
        <v>3288</v>
      </c>
      <c r="H250" s="294" t="s">
        <v>4159</v>
      </c>
      <c r="I250" s="294" t="s">
        <v>3337</v>
      </c>
      <c r="J250" s="298" t="s">
        <v>4160</v>
      </c>
      <c r="K250" s="306"/>
      <c r="L250" s="306"/>
      <c r="M250" s="294" t="s">
        <v>3538</v>
      </c>
      <c r="O250" s="306"/>
      <c r="P250" s="296" t="b">
        <v>0</v>
      </c>
      <c r="Q250" s="299" t="s">
        <v>2360</v>
      </c>
      <c r="R250" s="300">
        <v>271.0</v>
      </c>
    </row>
    <row r="251" ht="15.0" customHeight="1">
      <c r="A251" s="301" t="s">
        <v>4161</v>
      </c>
      <c r="B251" s="302">
        <v>3.0</v>
      </c>
      <c r="C251" s="301" t="s">
        <v>3267</v>
      </c>
      <c r="D251" s="301" t="s">
        <v>301</v>
      </c>
      <c r="E251" s="303" t="b">
        <v>0</v>
      </c>
      <c r="F251" s="301" t="s">
        <v>3588</v>
      </c>
      <c r="G251" s="301" t="s">
        <v>3308</v>
      </c>
      <c r="H251" s="304"/>
      <c r="I251" s="301" t="s">
        <v>3270</v>
      </c>
      <c r="J251" s="305" t="s">
        <v>4162</v>
      </c>
      <c r="K251" s="301" t="s">
        <v>3283</v>
      </c>
      <c r="L251" s="301" t="s">
        <v>3446</v>
      </c>
      <c r="M251" s="301" t="s">
        <v>35</v>
      </c>
      <c r="N251" s="307"/>
      <c r="O251" s="307"/>
      <c r="P251" s="303" t="b">
        <v>0</v>
      </c>
      <c r="Q251" s="299" t="s">
        <v>2360</v>
      </c>
      <c r="R251" s="300">
        <v>272.0</v>
      </c>
    </row>
    <row r="252" ht="15.0" customHeight="1">
      <c r="A252" s="294" t="s">
        <v>4163</v>
      </c>
      <c r="B252" s="295">
        <v>3.0</v>
      </c>
      <c r="C252" s="294" t="s">
        <v>3267</v>
      </c>
      <c r="D252" s="294" t="s">
        <v>304</v>
      </c>
      <c r="E252" s="296" t="b">
        <v>1</v>
      </c>
      <c r="F252" s="294" t="s">
        <v>3588</v>
      </c>
      <c r="G252" s="294" t="s">
        <v>3288</v>
      </c>
      <c r="H252" s="294" t="s">
        <v>4164</v>
      </c>
      <c r="I252" s="294" t="s">
        <v>3404</v>
      </c>
      <c r="J252" s="298" t="s">
        <v>4165</v>
      </c>
      <c r="K252" s="294" t="s">
        <v>69</v>
      </c>
      <c r="L252" s="294" t="s">
        <v>3446</v>
      </c>
      <c r="M252" s="294" t="s">
        <v>35</v>
      </c>
      <c r="N252" s="306"/>
      <c r="O252" s="306"/>
      <c r="P252" s="296" t="b">
        <v>0</v>
      </c>
      <c r="Q252" s="299" t="s">
        <v>2360</v>
      </c>
      <c r="R252" s="300">
        <v>274.0</v>
      </c>
    </row>
    <row r="253" ht="15.0" customHeight="1">
      <c r="A253" s="301" t="s">
        <v>4166</v>
      </c>
      <c r="B253" s="302">
        <v>3.0</v>
      </c>
      <c r="C253" s="301" t="s">
        <v>3418</v>
      </c>
      <c r="D253" s="301" t="s">
        <v>304</v>
      </c>
      <c r="E253" s="303" t="b">
        <v>1</v>
      </c>
      <c r="F253" s="301" t="s">
        <v>3394</v>
      </c>
      <c r="G253" s="301" t="s">
        <v>3308</v>
      </c>
      <c r="H253" s="307"/>
      <c r="I253" s="301" t="s">
        <v>3290</v>
      </c>
      <c r="J253" s="305" t="s">
        <v>4167</v>
      </c>
      <c r="K253" s="301" t="s">
        <v>48</v>
      </c>
      <c r="L253" s="301" t="s">
        <v>4168</v>
      </c>
      <c r="M253" s="301" t="s">
        <v>52</v>
      </c>
      <c r="N253" s="307"/>
      <c r="O253" s="301" t="s">
        <v>87</v>
      </c>
      <c r="P253" s="303" t="b">
        <v>0</v>
      </c>
      <c r="Q253" s="299" t="s">
        <v>2360</v>
      </c>
      <c r="R253" s="300">
        <v>276.0</v>
      </c>
    </row>
    <row r="254" ht="15.0" customHeight="1">
      <c r="A254" s="294" t="s">
        <v>1686</v>
      </c>
      <c r="B254" s="295">
        <v>3.0</v>
      </c>
      <c r="C254" s="294" t="s">
        <v>3267</v>
      </c>
      <c r="D254" s="294" t="s">
        <v>310</v>
      </c>
      <c r="E254" s="296" t="b">
        <v>0</v>
      </c>
      <c r="F254" s="294" t="s">
        <v>3394</v>
      </c>
      <c r="G254" s="294" t="s">
        <v>3269</v>
      </c>
      <c r="H254" s="306"/>
      <c r="I254" s="294" t="s">
        <v>3290</v>
      </c>
      <c r="J254" s="298" t="s">
        <v>4169</v>
      </c>
      <c r="K254" s="294" t="s">
        <v>3645</v>
      </c>
      <c r="L254" s="294" t="s">
        <v>4170</v>
      </c>
      <c r="N254" s="294" t="s">
        <v>185</v>
      </c>
      <c r="P254" s="296" t="b">
        <v>0</v>
      </c>
      <c r="Q254" s="299" t="s">
        <v>2360</v>
      </c>
      <c r="R254" s="300">
        <v>277.0</v>
      </c>
    </row>
    <row r="255" ht="15.0" customHeight="1">
      <c r="A255" s="301" t="s">
        <v>4171</v>
      </c>
      <c r="B255" s="302">
        <v>3.0</v>
      </c>
      <c r="C255" s="301" t="s">
        <v>3418</v>
      </c>
      <c r="D255" s="301" t="s">
        <v>310</v>
      </c>
      <c r="E255" s="303" t="b">
        <v>1</v>
      </c>
      <c r="F255" s="301" t="s">
        <v>3394</v>
      </c>
      <c r="G255" s="301" t="s">
        <v>3269</v>
      </c>
      <c r="H255" s="307"/>
      <c r="I255" s="301" t="s">
        <v>3290</v>
      </c>
      <c r="J255" s="305" t="s">
        <v>4172</v>
      </c>
      <c r="K255" s="301" t="s">
        <v>52</v>
      </c>
      <c r="L255" s="307"/>
      <c r="M255" s="307"/>
      <c r="N255" s="307"/>
      <c r="O255" s="307"/>
      <c r="P255" s="303" t="b">
        <v>0</v>
      </c>
      <c r="Q255" s="299" t="s">
        <v>2360</v>
      </c>
      <c r="R255" s="300">
        <v>277.0</v>
      </c>
    </row>
    <row r="256" ht="15.0" customHeight="1">
      <c r="A256" s="294" t="s">
        <v>4173</v>
      </c>
      <c r="B256" s="295">
        <v>3.0</v>
      </c>
      <c r="C256" s="294" t="s">
        <v>3267</v>
      </c>
      <c r="D256" s="294" t="s">
        <v>304</v>
      </c>
      <c r="E256" s="296" t="b">
        <v>1</v>
      </c>
      <c r="F256" s="294" t="s">
        <v>3394</v>
      </c>
      <c r="G256" s="294" t="s">
        <v>3288</v>
      </c>
      <c r="H256" s="294" t="s">
        <v>4174</v>
      </c>
      <c r="I256" s="294" t="s">
        <v>3404</v>
      </c>
      <c r="J256" s="298" t="s">
        <v>4175</v>
      </c>
      <c r="K256" s="294" t="s">
        <v>3466</v>
      </c>
      <c r="L256" s="294" t="s">
        <v>3446</v>
      </c>
      <c r="P256" s="296" t="b">
        <v>0</v>
      </c>
      <c r="Q256" s="299" t="s">
        <v>2360</v>
      </c>
      <c r="R256" s="300">
        <v>277.0</v>
      </c>
    </row>
    <row r="257" ht="15.0" customHeight="1">
      <c r="A257" s="301" t="s">
        <v>4176</v>
      </c>
      <c r="B257" s="302">
        <v>3.0</v>
      </c>
      <c r="C257" s="301" t="s">
        <v>3418</v>
      </c>
      <c r="D257" s="301" t="s">
        <v>308</v>
      </c>
      <c r="E257" s="303" t="b">
        <v>1</v>
      </c>
      <c r="F257" s="301" t="s">
        <v>3394</v>
      </c>
      <c r="G257" s="301" t="s">
        <v>3269</v>
      </c>
      <c r="H257" s="307"/>
      <c r="I257" s="301" t="s">
        <v>3290</v>
      </c>
      <c r="J257" s="305" t="s">
        <v>4177</v>
      </c>
      <c r="K257" s="307"/>
      <c r="L257" s="307"/>
      <c r="M257" s="301" t="s">
        <v>3719</v>
      </c>
      <c r="P257" s="303" t="b">
        <v>0</v>
      </c>
      <c r="Q257" s="299" t="s">
        <v>2360</v>
      </c>
      <c r="R257" s="300">
        <v>278.0</v>
      </c>
    </row>
    <row r="258" ht="15.0" customHeight="1">
      <c r="A258" s="294" t="s">
        <v>4178</v>
      </c>
      <c r="B258" s="295">
        <v>3.0</v>
      </c>
      <c r="C258" s="294" t="s">
        <v>3267</v>
      </c>
      <c r="D258" s="294" t="s">
        <v>308</v>
      </c>
      <c r="E258" s="296" t="b">
        <v>1</v>
      </c>
      <c r="F258" s="294" t="s">
        <v>3394</v>
      </c>
      <c r="G258" s="294" t="s">
        <v>3269</v>
      </c>
      <c r="H258" s="306"/>
      <c r="I258" s="294" t="s">
        <v>3290</v>
      </c>
      <c r="J258" s="298" t="s">
        <v>4179</v>
      </c>
      <c r="K258" s="294" t="s">
        <v>3538</v>
      </c>
      <c r="L258" s="294" t="s">
        <v>4180</v>
      </c>
      <c r="M258" s="294" t="s">
        <v>3558</v>
      </c>
      <c r="O258" s="306"/>
      <c r="P258" s="296" t="b">
        <v>0</v>
      </c>
      <c r="Q258" s="299" t="s">
        <v>3286</v>
      </c>
      <c r="R258" s="300">
        <v>108.0</v>
      </c>
    </row>
    <row r="259" ht="15.0" customHeight="1">
      <c r="A259" s="301" t="s">
        <v>4181</v>
      </c>
      <c r="B259" s="302">
        <v>3.0</v>
      </c>
      <c r="C259" s="301" t="s">
        <v>3267</v>
      </c>
      <c r="D259" s="301" t="s">
        <v>308</v>
      </c>
      <c r="E259" s="303" t="b">
        <v>1</v>
      </c>
      <c r="F259" s="301" t="s">
        <v>3408</v>
      </c>
      <c r="G259" s="301" t="s">
        <v>3269</v>
      </c>
      <c r="H259" s="307"/>
      <c r="I259" s="301" t="s">
        <v>3290</v>
      </c>
      <c r="J259" s="305" t="s">
        <v>4182</v>
      </c>
      <c r="K259" s="301" t="s">
        <v>4093</v>
      </c>
      <c r="L259" s="301" t="s">
        <v>4183</v>
      </c>
      <c r="O259" s="301" t="s">
        <v>219</v>
      </c>
      <c r="P259" s="303" t="b">
        <v>0</v>
      </c>
      <c r="Q259" s="299" t="s">
        <v>2360</v>
      </c>
      <c r="R259" s="300">
        <v>278.0</v>
      </c>
    </row>
    <row r="260" ht="15.0" customHeight="1">
      <c r="A260" s="294" t="s">
        <v>4184</v>
      </c>
      <c r="B260" s="295">
        <v>3.0</v>
      </c>
      <c r="C260" s="294" t="s">
        <v>3267</v>
      </c>
      <c r="D260" s="294" t="s">
        <v>310</v>
      </c>
      <c r="E260" s="296" t="b">
        <v>1</v>
      </c>
      <c r="F260" s="294" t="s">
        <v>3408</v>
      </c>
      <c r="G260" s="294" t="s">
        <v>3269</v>
      </c>
      <c r="H260" s="306"/>
      <c r="I260" s="294" t="s">
        <v>3337</v>
      </c>
      <c r="J260" s="298" t="s">
        <v>4185</v>
      </c>
      <c r="K260" s="294" t="s">
        <v>4186</v>
      </c>
      <c r="L260" s="294" t="s">
        <v>4187</v>
      </c>
      <c r="M260" s="294" t="s">
        <v>4188</v>
      </c>
      <c r="N260" s="294" t="s">
        <v>182</v>
      </c>
      <c r="O260" s="294" t="s">
        <v>198</v>
      </c>
      <c r="P260" s="296" t="b">
        <v>0</v>
      </c>
      <c r="Q260" s="299" t="s">
        <v>3286</v>
      </c>
      <c r="R260" s="300">
        <v>112.0</v>
      </c>
    </row>
    <row r="261" ht="15.0" customHeight="1">
      <c r="A261" s="301" t="s">
        <v>1688</v>
      </c>
      <c r="B261" s="302">
        <v>3.0</v>
      </c>
      <c r="C261" s="301" t="s">
        <v>3267</v>
      </c>
      <c r="D261" s="301" t="s">
        <v>308</v>
      </c>
      <c r="E261" s="303" t="b">
        <v>0</v>
      </c>
      <c r="F261" s="301" t="s">
        <v>3408</v>
      </c>
      <c r="G261" s="301" t="s">
        <v>3288</v>
      </c>
      <c r="H261" s="301" t="s">
        <v>4189</v>
      </c>
      <c r="I261" s="301" t="s">
        <v>3337</v>
      </c>
      <c r="J261" s="305" t="s">
        <v>4190</v>
      </c>
      <c r="K261" s="301" t="s">
        <v>4191</v>
      </c>
      <c r="L261" s="301" t="s">
        <v>4192</v>
      </c>
      <c r="P261" s="303" t="b">
        <v>1</v>
      </c>
      <c r="Q261" s="299" t="s">
        <v>3296</v>
      </c>
      <c r="R261" s="300">
        <v>167.0</v>
      </c>
    </row>
    <row r="262" ht="15.0" customHeight="1">
      <c r="A262" s="294" t="s">
        <v>4193</v>
      </c>
      <c r="B262" s="295">
        <v>3.0</v>
      </c>
      <c r="C262" s="294" t="s">
        <v>3267</v>
      </c>
      <c r="D262" s="294" t="s">
        <v>310</v>
      </c>
      <c r="E262" s="296" t="b">
        <v>1</v>
      </c>
      <c r="F262" s="294" t="s">
        <v>3408</v>
      </c>
      <c r="G262" s="294" t="s">
        <v>3269</v>
      </c>
      <c r="H262" s="306"/>
      <c r="I262" s="294" t="s">
        <v>3337</v>
      </c>
      <c r="J262" s="298" t="s">
        <v>4194</v>
      </c>
      <c r="K262" s="294" t="s">
        <v>3608</v>
      </c>
      <c r="L262" s="294" t="s">
        <v>3446</v>
      </c>
      <c r="P262" s="296" t="b">
        <v>0</v>
      </c>
      <c r="Q262" s="299" t="s">
        <v>3286</v>
      </c>
      <c r="R262" s="300">
        <v>113.0</v>
      </c>
    </row>
    <row r="263" ht="15.0" customHeight="1">
      <c r="A263" s="301" t="s">
        <v>1691</v>
      </c>
      <c r="B263" s="302">
        <v>3.0</v>
      </c>
      <c r="C263" s="301" t="s">
        <v>3267</v>
      </c>
      <c r="D263" s="301" t="s">
        <v>310</v>
      </c>
      <c r="E263" s="303" t="b">
        <v>1</v>
      </c>
      <c r="F263" s="301" t="s">
        <v>3408</v>
      </c>
      <c r="G263" s="301" t="s">
        <v>3288</v>
      </c>
      <c r="H263" s="301" t="s">
        <v>4195</v>
      </c>
      <c r="I263" s="301" t="s">
        <v>3404</v>
      </c>
      <c r="J263" s="305" t="s">
        <v>4196</v>
      </c>
      <c r="K263" s="301" t="s">
        <v>3641</v>
      </c>
      <c r="L263" s="301" t="s">
        <v>4197</v>
      </c>
      <c r="P263" s="303" t="b">
        <v>0</v>
      </c>
      <c r="Q263" s="299" t="s">
        <v>3286</v>
      </c>
      <c r="R263" s="300">
        <v>114.0</v>
      </c>
    </row>
    <row r="264" ht="15.0" customHeight="1">
      <c r="A264" s="294" t="s">
        <v>1692</v>
      </c>
      <c r="B264" s="295">
        <v>3.0</v>
      </c>
      <c r="C264" s="294" t="s">
        <v>3267</v>
      </c>
      <c r="D264" s="294" t="s">
        <v>310</v>
      </c>
      <c r="E264" s="296" t="b">
        <v>1</v>
      </c>
      <c r="F264" s="294" t="s">
        <v>3408</v>
      </c>
      <c r="G264" s="294" t="s">
        <v>3288</v>
      </c>
      <c r="H264" s="294" t="s">
        <v>4198</v>
      </c>
      <c r="I264" s="294" t="s">
        <v>3337</v>
      </c>
      <c r="J264" s="298" t="s">
        <v>4199</v>
      </c>
      <c r="K264" s="294" t="s">
        <v>4200</v>
      </c>
      <c r="L264" s="294" t="s">
        <v>4201</v>
      </c>
      <c r="O264" s="294" t="s">
        <v>4202</v>
      </c>
      <c r="P264" s="296" t="b">
        <v>0</v>
      </c>
      <c r="Q264" s="299" t="s">
        <v>3296</v>
      </c>
      <c r="R264" s="300">
        <v>168.0</v>
      </c>
    </row>
    <row r="265" ht="15.0" customHeight="1">
      <c r="A265" s="301" t="s">
        <v>4203</v>
      </c>
      <c r="B265" s="302">
        <v>3.0</v>
      </c>
      <c r="C265" s="301" t="s">
        <v>3337</v>
      </c>
      <c r="D265" s="301" t="s">
        <v>299</v>
      </c>
      <c r="E265" s="303" t="b">
        <v>0</v>
      </c>
      <c r="F265" s="301" t="s">
        <v>3408</v>
      </c>
      <c r="G265" s="301" t="s">
        <v>3288</v>
      </c>
      <c r="H265" s="301" t="s">
        <v>4204</v>
      </c>
      <c r="I265" s="301" t="s">
        <v>4205</v>
      </c>
      <c r="J265" s="305" t="s">
        <v>4206</v>
      </c>
      <c r="K265" s="301" t="s">
        <v>4207</v>
      </c>
      <c r="L265" s="301" t="s">
        <v>4208</v>
      </c>
      <c r="N265" s="301" t="s">
        <v>58</v>
      </c>
      <c r="O265" s="301" t="s">
        <v>198</v>
      </c>
      <c r="P265" s="303" t="b">
        <v>0</v>
      </c>
      <c r="Q265" s="299" t="s">
        <v>3296</v>
      </c>
      <c r="R265" s="300">
        <v>168.0</v>
      </c>
    </row>
    <row r="266" ht="15.0" customHeight="1">
      <c r="A266" s="294" t="s">
        <v>4209</v>
      </c>
      <c r="B266" s="295">
        <v>3.0</v>
      </c>
      <c r="C266" s="294" t="s">
        <v>3267</v>
      </c>
      <c r="D266" s="294" t="s">
        <v>310</v>
      </c>
      <c r="E266" s="296" t="b">
        <v>0</v>
      </c>
      <c r="F266" s="294" t="s">
        <v>3408</v>
      </c>
      <c r="G266" s="294" t="s">
        <v>3269</v>
      </c>
      <c r="H266" s="306"/>
      <c r="I266" s="294" t="s">
        <v>3481</v>
      </c>
      <c r="J266" s="298" t="s">
        <v>4210</v>
      </c>
      <c r="K266" s="294" t="s">
        <v>3512</v>
      </c>
      <c r="L266" s="294" t="s">
        <v>4211</v>
      </c>
      <c r="M266" s="294" t="s">
        <v>3594</v>
      </c>
      <c r="O266" s="294" t="s">
        <v>123</v>
      </c>
      <c r="P266" s="296" t="b">
        <v>1</v>
      </c>
      <c r="Q266" s="299" t="s">
        <v>3296</v>
      </c>
      <c r="R266" s="300">
        <v>168.0</v>
      </c>
    </row>
    <row r="267" ht="15.0" customHeight="1">
      <c r="A267" s="301" t="s">
        <v>4212</v>
      </c>
      <c r="B267" s="302">
        <v>3.0</v>
      </c>
      <c r="C267" s="301" t="s">
        <v>3267</v>
      </c>
      <c r="D267" s="301" t="s">
        <v>299</v>
      </c>
      <c r="E267" s="303" t="b">
        <v>0</v>
      </c>
      <c r="F267" s="301" t="s">
        <v>3408</v>
      </c>
      <c r="G267" s="301" t="s">
        <v>3288</v>
      </c>
      <c r="H267" s="301" t="s">
        <v>4213</v>
      </c>
      <c r="I267" s="301" t="s">
        <v>3481</v>
      </c>
      <c r="J267" s="305" t="s">
        <v>4214</v>
      </c>
      <c r="K267" s="301" t="s">
        <v>4215</v>
      </c>
      <c r="L267" s="301" t="s">
        <v>4216</v>
      </c>
      <c r="N267" s="301" t="s">
        <v>137</v>
      </c>
      <c r="O267" s="301" t="s">
        <v>123</v>
      </c>
      <c r="P267" s="303" t="b">
        <v>0</v>
      </c>
      <c r="Q267" s="299" t="s">
        <v>2360</v>
      </c>
      <c r="R267" s="300">
        <v>283.0</v>
      </c>
    </row>
    <row r="268" ht="15.0" customHeight="1">
      <c r="A268" s="294" t="s">
        <v>4217</v>
      </c>
      <c r="B268" s="295">
        <v>3.0</v>
      </c>
      <c r="C268" s="294" t="s">
        <v>3267</v>
      </c>
      <c r="D268" s="294" t="s">
        <v>299</v>
      </c>
      <c r="E268" s="296" t="b">
        <v>1</v>
      </c>
      <c r="F268" s="294" t="s">
        <v>3408</v>
      </c>
      <c r="G268" s="294" t="s">
        <v>3269</v>
      </c>
      <c r="H268" s="306"/>
      <c r="I268" s="294" t="s">
        <v>3337</v>
      </c>
      <c r="J268" s="298" t="s">
        <v>4218</v>
      </c>
      <c r="K268" s="294" t="s">
        <v>4219</v>
      </c>
      <c r="L268" s="294" t="s">
        <v>4220</v>
      </c>
      <c r="N268" s="294" t="s">
        <v>188</v>
      </c>
      <c r="P268" s="296" t="b">
        <v>0</v>
      </c>
      <c r="Q268" s="299" t="s">
        <v>2360</v>
      </c>
      <c r="R268" s="300">
        <v>285.0</v>
      </c>
    </row>
    <row r="269" ht="15.0" customHeight="1">
      <c r="A269" s="301" t="s">
        <v>4221</v>
      </c>
      <c r="B269" s="302">
        <v>3.0</v>
      </c>
      <c r="C269" s="301" t="s">
        <v>3267</v>
      </c>
      <c r="D269" s="301" t="s">
        <v>299</v>
      </c>
      <c r="E269" s="303" t="b">
        <v>0</v>
      </c>
      <c r="F269" s="301" t="s">
        <v>3408</v>
      </c>
      <c r="G269" s="301" t="s">
        <v>3269</v>
      </c>
      <c r="H269" s="307"/>
      <c r="I269" s="301" t="s">
        <v>3270</v>
      </c>
      <c r="J269" s="305" t="s">
        <v>4222</v>
      </c>
      <c r="K269" s="301" t="s">
        <v>3719</v>
      </c>
      <c r="L269" s="301" t="s">
        <v>3948</v>
      </c>
      <c r="P269" s="303" t="b">
        <v>0</v>
      </c>
      <c r="Q269" s="299" t="s">
        <v>3296</v>
      </c>
      <c r="R269" s="300">
        <v>170.0</v>
      </c>
    </row>
    <row r="270" ht="15.0" customHeight="1">
      <c r="A270" s="294" t="s">
        <v>4223</v>
      </c>
      <c r="B270" s="295">
        <v>3.0</v>
      </c>
      <c r="C270" s="294" t="s">
        <v>3267</v>
      </c>
      <c r="D270" s="294" t="s">
        <v>308</v>
      </c>
      <c r="E270" s="296" t="b">
        <v>0</v>
      </c>
      <c r="F270" s="294" t="s">
        <v>3408</v>
      </c>
      <c r="G270" s="294" t="s">
        <v>3288</v>
      </c>
      <c r="H270" s="294" t="s">
        <v>4224</v>
      </c>
      <c r="I270" s="294" t="s">
        <v>3270</v>
      </c>
      <c r="J270" s="298" t="s">
        <v>4225</v>
      </c>
      <c r="K270" s="294" t="s">
        <v>3753</v>
      </c>
      <c r="L270" s="294" t="s">
        <v>4226</v>
      </c>
      <c r="M270" s="294" t="s">
        <v>4227</v>
      </c>
      <c r="P270" s="296" t="b">
        <v>0</v>
      </c>
      <c r="Q270" s="299" t="s">
        <v>3296</v>
      </c>
      <c r="R270" s="300">
        <v>170.0</v>
      </c>
    </row>
    <row r="271" ht="15.0" customHeight="1">
      <c r="A271" s="301" t="s">
        <v>4228</v>
      </c>
      <c r="B271" s="302">
        <v>3.0</v>
      </c>
      <c r="C271" s="301" t="s">
        <v>3290</v>
      </c>
      <c r="D271" s="301" t="s">
        <v>310</v>
      </c>
      <c r="E271" s="303" t="b">
        <v>0</v>
      </c>
      <c r="F271" s="301" t="s">
        <v>3408</v>
      </c>
      <c r="G271" s="301" t="s">
        <v>3269</v>
      </c>
      <c r="H271" s="307"/>
      <c r="I271" s="301" t="s">
        <v>3481</v>
      </c>
      <c r="J271" s="305" t="s">
        <v>4229</v>
      </c>
      <c r="K271" s="301" t="s">
        <v>3557</v>
      </c>
      <c r="L271" s="301" t="s">
        <v>3446</v>
      </c>
      <c r="M271" s="301" t="s">
        <v>23</v>
      </c>
      <c r="N271" s="307"/>
      <c r="O271" s="307"/>
      <c r="P271" s="303" t="b">
        <v>0</v>
      </c>
      <c r="Q271" s="299" t="s">
        <v>2360</v>
      </c>
      <c r="R271" s="300">
        <v>287.0</v>
      </c>
    </row>
    <row r="272" ht="15.0" customHeight="1">
      <c r="A272" s="294" t="s">
        <v>4230</v>
      </c>
      <c r="B272" s="295">
        <v>3.0</v>
      </c>
      <c r="C272" s="294" t="s">
        <v>3267</v>
      </c>
      <c r="D272" s="294" t="s">
        <v>302</v>
      </c>
      <c r="E272" s="296" t="b">
        <v>0</v>
      </c>
      <c r="F272" s="294" t="s">
        <v>3408</v>
      </c>
      <c r="G272" s="294" t="s">
        <v>3367</v>
      </c>
      <c r="H272" s="294" t="s">
        <v>4231</v>
      </c>
      <c r="I272" s="294" t="s">
        <v>3337</v>
      </c>
      <c r="J272" s="298" t="s">
        <v>4232</v>
      </c>
      <c r="K272" s="294" t="s">
        <v>4233</v>
      </c>
      <c r="L272" s="294" t="s">
        <v>4234</v>
      </c>
      <c r="M272" s="294" t="s">
        <v>52</v>
      </c>
      <c r="N272" s="294" t="s">
        <v>116</v>
      </c>
      <c r="P272" s="296" t="b">
        <v>0</v>
      </c>
      <c r="Q272" s="299" t="s">
        <v>2360</v>
      </c>
      <c r="R272" s="300">
        <v>287.0</v>
      </c>
    </row>
    <row r="273" ht="15.0" customHeight="1">
      <c r="A273" s="301" t="s">
        <v>4235</v>
      </c>
      <c r="B273" s="302">
        <v>3.0</v>
      </c>
      <c r="C273" s="301" t="s">
        <v>3267</v>
      </c>
      <c r="D273" s="301" t="s">
        <v>304</v>
      </c>
      <c r="E273" s="303" t="b">
        <v>0</v>
      </c>
      <c r="F273" s="301" t="s">
        <v>4236</v>
      </c>
      <c r="G273" s="301" t="s">
        <v>3288</v>
      </c>
      <c r="H273" s="301" t="s">
        <v>4237</v>
      </c>
      <c r="I273" s="301" t="s">
        <v>3281</v>
      </c>
      <c r="J273" s="305" t="s">
        <v>4238</v>
      </c>
      <c r="K273" s="301" t="s">
        <v>4093</v>
      </c>
      <c r="L273" s="301" t="s">
        <v>4239</v>
      </c>
      <c r="N273" s="301" t="s">
        <v>116</v>
      </c>
      <c r="P273" s="303" t="b">
        <v>0</v>
      </c>
      <c r="Q273" s="299" t="s">
        <v>2360</v>
      </c>
      <c r="R273" s="300">
        <v>288.0</v>
      </c>
    </row>
    <row r="274" ht="15.0" customHeight="1">
      <c r="A274" s="294" t="s">
        <v>4240</v>
      </c>
      <c r="B274" s="295">
        <v>4.0</v>
      </c>
      <c r="C274" s="294" t="s">
        <v>3404</v>
      </c>
      <c r="D274" s="294" t="s">
        <v>310</v>
      </c>
      <c r="E274" s="296" t="b">
        <v>0</v>
      </c>
      <c r="F274" s="294" t="s">
        <v>3280</v>
      </c>
      <c r="G274" s="294" t="s">
        <v>3269</v>
      </c>
      <c r="H274" s="306"/>
      <c r="I274" s="294" t="s">
        <v>3270</v>
      </c>
      <c r="J274" s="298" t="s">
        <v>4241</v>
      </c>
      <c r="K274" s="294" t="s">
        <v>3936</v>
      </c>
      <c r="L274" s="294" t="s">
        <v>4242</v>
      </c>
      <c r="N274" s="294" t="s">
        <v>182</v>
      </c>
      <c r="P274" s="296" t="b">
        <v>0</v>
      </c>
      <c r="Q274" s="299" t="s">
        <v>2360</v>
      </c>
      <c r="R274" s="300">
        <v>214.0</v>
      </c>
    </row>
    <row r="275" ht="15.0" customHeight="1">
      <c r="A275" s="301" t="s">
        <v>4243</v>
      </c>
      <c r="B275" s="302">
        <v>4.0</v>
      </c>
      <c r="C275" s="301" t="s">
        <v>3267</v>
      </c>
      <c r="D275" s="301" t="s">
        <v>304</v>
      </c>
      <c r="E275" s="303" t="b">
        <v>0</v>
      </c>
      <c r="F275" s="301" t="s">
        <v>3280</v>
      </c>
      <c r="G275" s="301" t="s">
        <v>3288</v>
      </c>
      <c r="H275" s="301" t="s">
        <v>4244</v>
      </c>
      <c r="I275" s="301" t="s">
        <v>3270</v>
      </c>
      <c r="J275" s="305" t="s">
        <v>4245</v>
      </c>
      <c r="K275" s="307"/>
      <c r="L275" s="301" t="s">
        <v>3570</v>
      </c>
      <c r="N275" s="307"/>
      <c r="O275" s="307"/>
      <c r="P275" s="303" t="b">
        <v>0</v>
      </c>
      <c r="Q275" s="299" t="s">
        <v>2360</v>
      </c>
      <c r="R275" s="300">
        <v>216.0</v>
      </c>
    </row>
    <row r="276" ht="15.0" customHeight="1">
      <c r="A276" s="294" t="s">
        <v>4246</v>
      </c>
      <c r="B276" s="295">
        <v>4.0</v>
      </c>
      <c r="C276" s="294" t="s">
        <v>3404</v>
      </c>
      <c r="D276" s="294" t="s">
        <v>299</v>
      </c>
      <c r="E276" s="296" t="b">
        <v>0</v>
      </c>
      <c r="F276" s="294" t="s">
        <v>3280</v>
      </c>
      <c r="G276" s="294" t="s">
        <v>3288</v>
      </c>
      <c r="H276" s="294" t="s">
        <v>4247</v>
      </c>
      <c r="I276" s="294" t="s">
        <v>3487</v>
      </c>
      <c r="J276" s="298" t="s">
        <v>4248</v>
      </c>
      <c r="K276" s="294" t="s">
        <v>3936</v>
      </c>
      <c r="L276" s="294" t="s">
        <v>3446</v>
      </c>
      <c r="N276" s="294" t="s">
        <v>164</v>
      </c>
      <c r="P276" s="296" t="b">
        <v>0</v>
      </c>
      <c r="Q276" s="299" t="s">
        <v>2360</v>
      </c>
      <c r="R276" s="300">
        <v>216.0</v>
      </c>
    </row>
    <row r="277" ht="15.0" customHeight="1">
      <c r="A277" s="301" t="s">
        <v>1708</v>
      </c>
      <c r="B277" s="302">
        <v>4.0</v>
      </c>
      <c r="C277" s="301" t="s">
        <v>3267</v>
      </c>
      <c r="D277" s="301" t="s">
        <v>305</v>
      </c>
      <c r="E277" s="303" t="b">
        <v>1</v>
      </c>
      <c r="F277" s="301" t="s">
        <v>3280</v>
      </c>
      <c r="G277" s="301" t="s">
        <v>3269</v>
      </c>
      <c r="H277" s="304"/>
      <c r="I277" s="301" t="s">
        <v>3290</v>
      </c>
      <c r="J277" s="305" t="s">
        <v>4249</v>
      </c>
      <c r="K277" s="301" t="s">
        <v>69</v>
      </c>
      <c r="L277" s="301" t="s">
        <v>4250</v>
      </c>
      <c r="M277" s="301" t="s">
        <v>3474</v>
      </c>
      <c r="O277" s="307"/>
      <c r="P277" s="303" t="b">
        <v>0</v>
      </c>
      <c r="Q277" s="299" t="s">
        <v>2360</v>
      </c>
      <c r="R277" s="300">
        <v>217.0</v>
      </c>
    </row>
    <row r="278" ht="15.0" customHeight="1">
      <c r="A278" s="294" t="s">
        <v>4251</v>
      </c>
      <c r="B278" s="295">
        <v>4.0</v>
      </c>
      <c r="C278" s="294" t="s">
        <v>3267</v>
      </c>
      <c r="D278" s="294" t="s">
        <v>304</v>
      </c>
      <c r="E278" s="296" t="b">
        <v>1</v>
      </c>
      <c r="F278" s="294" t="s">
        <v>3280</v>
      </c>
      <c r="G278" s="294" t="s">
        <v>3269</v>
      </c>
      <c r="H278" s="297"/>
      <c r="I278" s="294" t="s">
        <v>3404</v>
      </c>
      <c r="J278" s="298" t="s">
        <v>4252</v>
      </c>
      <c r="K278" s="294" t="s">
        <v>3283</v>
      </c>
      <c r="L278" s="294" t="s">
        <v>3446</v>
      </c>
      <c r="P278" s="296" t="b">
        <v>0</v>
      </c>
      <c r="Q278" s="299" t="s">
        <v>2360</v>
      </c>
      <c r="R278" s="300">
        <v>219.0</v>
      </c>
    </row>
    <row r="279" ht="15.0" customHeight="1">
      <c r="A279" s="301" t="s">
        <v>1711</v>
      </c>
      <c r="B279" s="302">
        <v>4.0</v>
      </c>
      <c r="C279" s="301" t="s">
        <v>3267</v>
      </c>
      <c r="D279" s="301" t="s">
        <v>304</v>
      </c>
      <c r="E279" s="303" t="b">
        <v>1</v>
      </c>
      <c r="F279" s="301" t="s">
        <v>3280</v>
      </c>
      <c r="G279" s="301" t="s">
        <v>3288</v>
      </c>
      <c r="H279" s="301" t="s">
        <v>4253</v>
      </c>
      <c r="I279" s="301" t="s">
        <v>3290</v>
      </c>
      <c r="J279" s="305" t="s">
        <v>4254</v>
      </c>
      <c r="K279" s="301" t="s">
        <v>3319</v>
      </c>
      <c r="L279" s="301" t="s">
        <v>4255</v>
      </c>
      <c r="O279" s="301" t="s">
        <v>4256</v>
      </c>
      <c r="P279" s="303" t="b">
        <v>0</v>
      </c>
      <c r="Q279" s="299" t="s">
        <v>3296</v>
      </c>
      <c r="R279" s="300">
        <v>151.0</v>
      </c>
    </row>
    <row r="280" ht="15.0" customHeight="1">
      <c r="A280" s="294" t="s">
        <v>4257</v>
      </c>
      <c r="B280" s="295">
        <v>4.0</v>
      </c>
      <c r="C280" s="294" t="s">
        <v>3267</v>
      </c>
      <c r="D280" s="294" t="s">
        <v>304</v>
      </c>
      <c r="E280" s="296" t="b">
        <v>1</v>
      </c>
      <c r="F280" s="294" t="s">
        <v>3743</v>
      </c>
      <c r="G280" s="294" t="s">
        <v>3269</v>
      </c>
      <c r="H280" s="297"/>
      <c r="I280" s="294" t="s">
        <v>3290</v>
      </c>
      <c r="J280" s="298" t="s">
        <v>4258</v>
      </c>
      <c r="K280" s="294" t="s">
        <v>3466</v>
      </c>
      <c r="L280" s="294" t="s">
        <v>3446</v>
      </c>
      <c r="P280" s="296" t="b">
        <v>0</v>
      </c>
      <c r="Q280" s="299" t="s">
        <v>2360</v>
      </c>
      <c r="R280" s="300">
        <v>224.0</v>
      </c>
    </row>
    <row r="281" ht="15.0" customHeight="1">
      <c r="A281" s="301" t="s">
        <v>4259</v>
      </c>
      <c r="B281" s="302">
        <v>4.0</v>
      </c>
      <c r="C281" s="301" t="s">
        <v>3267</v>
      </c>
      <c r="D281" s="301" t="s">
        <v>304</v>
      </c>
      <c r="E281" s="303" t="b">
        <v>0</v>
      </c>
      <c r="F281" s="301" t="s">
        <v>3743</v>
      </c>
      <c r="G281" s="301" t="s">
        <v>3288</v>
      </c>
      <c r="H281" s="301" t="s">
        <v>4260</v>
      </c>
      <c r="I281" s="301" t="s">
        <v>3270</v>
      </c>
      <c r="J281" s="305" t="s">
        <v>4261</v>
      </c>
      <c r="K281" s="301" t="s">
        <v>3860</v>
      </c>
      <c r="L281" s="301" t="s">
        <v>3446</v>
      </c>
      <c r="P281" s="303" t="b">
        <v>0</v>
      </c>
      <c r="Q281" s="299" t="s">
        <v>2360</v>
      </c>
      <c r="R281" s="300">
        <v>224.0</v>
      </c>
    </row>
    <row r="282" ht="15.0" customHeight="1">
      <c r="A282" s="294" t="s">
        <v>4262</v>
      </c>
      <c r="B282" s="295">
        <v>4.0</v>
      </c>
      <c r="C282" s="294" t="s">
        <v>3267</v>
      </c>
      <c r="D282" s="294" t="s">
        <v>302</v>
      </c>
      <c r="E282" s="296" t="b">
        <v>1</v>
      </c>
      <c r="F282" s="294" t="s">
        <v>3312</v>
      </c>
      <c r="G282" s="294" t="s">
        <v>3288</v>
      </c>
      <c r="H282" s="294" t="s">
        <v>4263</v>
      </c>
      <c r="I282" s="294" t="s">
        <v>3337</v>
      </c>
      <c r="J282" s="298" t="s">
        <v>4264</v>
      </c>
      <c r="K282" s="294" t="s">
        <v>3936</v>
      </c>
      <c r="L282" s="294" t="s">
        <v>4265</v>
      </c>
      <c r="N282" s="294" t="s">
        <v>4266</v>
      </c>
      <c r="O282" s="294" t="s">
        <v>123</v>
      </c>
      <c r="P282" s="296" t="b">
        <v>0</v>
      </c>
      <c r="Q282" s="299" t="s">
        <v>2360</v>
      </c>
      <c r="R282" s="300">
        <v>226.0</v>
      </c>
    </row>
    <row r="283" ht="15.0" customHeight="1">
      <c r="A283" s="301" t="s">
        <v>4267</v>
      </c>
      <c r="B283" s="302">
        <v>4.0</v>
      </c>
      <c r="C283" s="301" t="s">
        <v>3267</v>
      </c>
      <c r="D283" s="301" t="s">
        <v>299</v>
      </c>
      <c r="E283" s="303" t="b">
        <v>1</v>
      </c>
      <c r="F283" s="301" t="s">
        <v>3312</v>
      </c>
      <c r="G283" s="301" t="s">
        <v>3308</v>
      </c>
      <c r="H283" s="304"/>
      <c r="I283" s="301" t="s">
        <v>3404</v>
      </c>
      <c r="J283" s="305" t="s">
        <v>4268</v>
      </c>
      <c r="K283" s="301" t="s">
        <v>48</v>
      </c>
      <c r="L283" s="301" t="s">
        <v>4269</v>
      </c>
      <c r="M283" s="301" t="s">
        <v>4270</v>
      </c>
      <c r="N283" s="301" t="s">
        <v>4271</v>
      </c>
      <c r="O283" s="301" t="s">
        <v>252</v>
      </c>
      <c r="P283" s="303" t="b">
        <v>0</v>
      </c>
      <c r="Q283" s="299" t="s">
        <v>2360</v>
      </c>
      <c r="R283" s="300">
        <v>226.0</v>
      </c>
    </row>
    <row r="284" ht="15.0" customHeight="1">
      <c r="A284" s="294" t="s">
        <v>4272</v>
      </c>
      <c r="B284" s="295">
        <v>4.0</v>
      </c>
      <c r="C284" s="294" t="s">
        <v>3267</v>
      </c>
      <c r="D284" s="294" t="s">
        <v>299</v>
      </c>
      <c r="E284" s="296" t="b">
        <v>1</v>
      </c>
      <c r="F284" s="294" t="s">
        <v>3312</v>
      </c>
      <c r="G284" s="294" t="s">
        <v>3308</v>
      </c>
      <c r="H284" s="306"/>
      <c r="I284" s="294" t="s">
        <v>3404</v>
      </c>
      <c r="J284" s="298" t="s">
        <v>4273</v>
      </c>
      <c r="K284" s="294" t="s">
        <v>48</v>
      </c>
      <c r="L284" s="294" t="s">
        <v>4274</v>
      </c>
      <c r="M284" s="294" t="s">
        <v>4270</v>
      </c>
      <c r="N284" s="294" t="s">
        <v>4275</v>
      </c>
      <c r="P284" s="296" t="b">
        <v>0</v>
      </c>
      <c r="Q284" s="299" t="s">
        <v>2360</v>
      </c>
      <c r="R284" s="300">
        <v>227.0</v>
      </c>
    </row>
    <row r="285" ht="15.0" customHeight="1">
      <c r="A285" s="301" t="s">
        <v>1699</v>
      </c>
      <c r="B285" s="302">
        <v>4.0</v>
      </c>
      <c r="C285" s="301" t="s">
        <v>3267</v>
      </c>
      <c r="D285" s="301" t="s">
        <v>308</v>
      </c>
      <c r="E285" s="303" t="b">
        <v>0</v>
      </c>
      <c r="F285" s="301" t="s">
        <v>3312</v>
      </c>
      <c r="G285" s="301" t="s">
        <v>3269</v>
      </c>
      <c r="H285" s="307"/>
      <c r="I285" s="301" t="s">
        <v>3270</v>
      </c>
      <c r="J285" s="305" t="s">
        <v>4276</v>
      </c>
      <c r="K285" s="301" t="s">
        <v>3323</v>
      </c>
      <c r="L285" s="301" t="s">
        <v>4277</v>
      </c>
      <c r="O285" s="301" t="s">
        <v>219</v>
      </c>
      <c r="P285" s="303" t="b">
        <v>0</v>
      </c>
      <c r="Q285" s="299" t="s">
        <v>2360</v>
      </c>
      <c r="R285" s="300">
        <v>230.0</v>
      </c>
    </row>
    <row r="286" ht="15.0" customHeight="1">
      <c r="A286" s="294" t="s">
        <v>4278</v>
      </c>
      <c r="B286" s="295">
        <v>4.0</v>
      </c>
      <c r="C286" s="294" t="s">
        <v>3267</v>
      </c>
      <c r="D286" s="294" t="s">
        <v>303</v>
      </c>
      <c r="E286" s="296" t="b">
        <v>0</v>
      </c>
      <c r="F286" s="294" t="s">
        <v>3312</v>
      </c>
      <c r="G286" s="294" t="s">
        <v>3269</v>
      </c>
      <c r="H286" s="306"/>
      <c r="I286" s="294" t="s">
        <v>3337</v>
      </c>
      <c r="J286" s="298" t="s">
        <v>4279</v>
      </c>
      <c r="K286" s="294" t="s">
        <v>3503</v>
      </c>
      <c r="L286" s="294" t="s">
        <v>4280</v>
      </c>
      <c r="P286" s="296" t="b">
        <v>0</v>
      </c>
      <c r="Q286" s="299" t="s">
        <v>2360</v>
      </c>
      <c r="R286" s="300">
        <v>233.0</v>
      </c>
    </row>
    <row r="287" ht="15.0" customHeight="1">
      <c r="A287" s="301" t="s">
        <v>4281</v>
      </c>
      <c r="B287" s="302">
        <v>4.0</v>
      </c>
      <c r="C287" s="301" t="s">
        <v>3267</v>
      </c>
      <c r="D287" s="301" t="s">
        <v>303</v>
      </c>
      <c r="E287" s="303" t="b">
        <v>1</v>
      </c>
      <c r="F287" s="301" t="s">
        <v>3312</v>
      </c>
      <c r="G287" s="301" t="s">
        <v>3269</v>
      </c>
      <c r="H287" s="307"/>
      <c r="I287" s="301" t="s">
        <v>3290</v>
      </c>
      <c r="J287" s="305" t="s">
        <v>4282</v>
      </c>
      <c r="K287" s="301" t="s">
        <v>23</v>
      </c>
      <c r="L287" s="301" t="s">
        <v>4283</v>
      </c>
      <c r="O287" s="301" t="s">
        <v>28</v>
      </c>
      <c r="P287" s="303" t="b">
        <v>0</v>
      </c>
      <c r="Q287" s="299" t="s">
        <v>2360</v>
      </c>
      <c r="R287" s="300">
        <v>234.0</v>
      </c>
    </row>
    <row r="288" ht="15.0" customHeight="1">
      <c r="A288" s="294" t="s">
        <v>4284</v>
      </c>
      <c r="B288" s="295">
        <v>4.0</v>
      </c>
      <c r="C288" s="294" t="s">
        <v>3404</v>
      </c>
      <c r="D288" s="294" t="s">
        <v>301</v>
      </c>
      <c r="E288" s="296" t="b">
        <v>0</v>
      </c>
      <c r="F288" s="294" t="s">
        <v>3312</v>
      </c>
      <c r="G288" s="294" t="s">
        <v>3269</v>
      </c>
      <c r="H288" s="306"/>
      <c r="I288" s="294" t="s">
        <v>3270</v>
      </c>
      <c r="J288" s="298" t="s">
        <v>4285</v>
      </c>
      <c r="K288" s="294" t="s">
        <v>48</v>
      </c>
      <c r="L288" s="306"/>
      <c r="M288" s="306"/>
      <c r="N288" s="306"/>
      <c r="O288" s="306"/>
      <c r="P288" s="296" t="b">
        <v>0</v>
      </c>
      <c r="Q288" s="299" t="s">
        <v>2360</v>
      </c>
      <c r="R288" s="300">
        <v>234.0</v>
      </c>
    </row>
    <row r="289" ht="15.0" customHeight="1">
      <c r="A289" s="301" t="s">
        <v>2076</v>
      </c>
      <c r="B289" s="302">
        <v>4.0</v>
      </c>
      <c r="C289" s="301" t="s">
        <v>3267</v>
      </c>
      <c r="D289" s="301" t="s">
        <v>310</v>
      </c>
      <c r="E289" s="303" t="b">
        <v>1</v>
      </c>
      <c r="F289" s="301" t="s">
        <v>3312</v>
      </c>
      <c r="G289" s="301" t="s">
        <v>3269</v>
      </c>
      <c r="H289" s="304"/>
      <c r="I289" s="301" t="s">
        <v>3404</v>
      </c>
      <c r="J289" s="305" t="s">
        <v>4286</v>
      </c>
      <c r="K289" s="301" t="s">
        <v>35</v>
      </c>
      <c r="L289" s="301" t="s">
        <v>4287</v>
      </c>
      <c r="O289" s="301" t="s">
        <v>162</v>
      </c>
      <c r="P289" s="303" t="b">
        <v>0</v>
      </c>
      <c r="Q289" s="299" t="s">
        <v>3296</v>
      </c>
      <c r="R289" s="300">
        <v>155.0</v>
      </c>
    </row>
    <row r="290" ht="15.0" customHeight="1">
      <c r="A290" s="294" t="s">
        <v>4288</v>
      </c>
      <c r="B290" s="295">
        <v>4.0</v>
      </c>
      <c r="C290" s="294" t="s">
        <v>3418</v>
      </c>
      <c r="D290" s="294" t="s">
        <v>301</v>
      </c>
      <c r="E290" s="296" t="b">
        <v>1</v>
      </c>
      <c r="F290" s="294" t="s">
        <v>3312</v>
      </c>
      <c r="G290" s="294" t="s">
        <v>3269</v>
      </c>
      <c r="H290" s="306"/>
      <c r="I290" s="294" t="s">
        <v>3290</v>
      </c>
      <c r="J290" s="298" t="s">
        <v>4289</v>
      </c>
      <c r="K290" s="294" t="s">
        <v>3671</v>
      </c>
      <c r="L290" s="294" t="s">
        <v>103</v>
      </c>
      <c r="M290" s="306"/>
      <c r="N290" s="306"/>
      <c r="O290" s="294" t="s">
        <v>162</v>
      </c>
      <c r="P290" s="296" t="b">
        <v>0</v>
      </c>
      <c r="Q290" s="299" t="s">
        <v>2360</v>
      </c>
      <c r="R290" s="300">
        <v>238.0</v>
      </c>
    </row>
    <row r="291" ht="15.0" customHeight="1">
      <c r="A291" s="301" t="s">
        <v>4290</v>
      </c>
      <c r="B291" s="302">
        <v>4.0</v>
      </c>
      <c r="C291" s="301" t="s">
        <v>3267</v>
      </c>
      <c r="D291" s="301" t="s">
        <v>301</v>
      </c>
      <c r="E291" s="303" t="b">
        <v>0</v>
      </c>
      <c r="F291" s="301" t="s">
        <v>3312</v>
      </c>
      <c r="G291" s="301" t="s">
        <v>3308</v>
      </c>
      <c r="H291" s="307"/>
      <c r="I291" s="301" t="s">
        <v>3481</v>
      </c>
      <c r="J291" s="305" t="s">
        <v>4291</v>
      </c>
      <c r="K291" s="301" t="s">
        <v>29</v>
      </c>
      <c r="L291" s="301" t="s">
        <v>4292</v>
      </c>
      <c r="N291" s="301" t="s">
        <v>188</v>
      </c>
      <c r="P291" s="303" t="b">
        <v>0</v>
      </c>
      <c r="Q291" s="299" t="s">
        <v>2360</v>
      </c>
      <c r="R291" s="300">
        <v>239.0</v>
      </c>
    </row>
    <row r="292" ht="15.0" customHeight="1">
      <c r="A292" s="294" t="s">
        <v>4293</v>
      </c>
      <c r="B292" s="295">
        <v>4.0</v>
      </c>
      <c r="C292" s="294" t="s">
        <v>3267</v>
      </c>
      <c r="D292" s="294" t="s">
        <v>301</v>
      </c>
      <c r="E292" s="296" t="b">
        <v>0</v>
      </c>
      <c r="F292" s="294" t="s">
        <v>3312</v>
      </c>
      <c r="G292" s="294" t="s">
        <v>3288</v>
      </c>
      <c r="H292" s="294" t="s">
        <v>4294</v>
      </c>
      <c r="I292" s="294" t="s">
        <v>3481</v>
      </c>
      <c r="J292" s="298" t="s">
        <v>4295</v>
      </c>
      <c r="K292" s="294" t="s">
        <v>3936</v>
      </c>
      <c r="L292" s="294" t="s">
        <v>3446</v>
      </c>
      <c r="N292" s="294" t="s">
        <v>58</v>
      </c>
      <c r="P292" s="296" t="b">
        <v>0</v>
      </c>
      <c r="Q292" s="299" t="s">
        <v>3296</v>
      </c>
      <c r="R292" s="300">
        <v>156.0</v>
      </c>
    </row>
    <row r="293" ht="15.0" customHeight="1">
      <c r="A293" s="301" t="s">
        <v>4296</v>
      </c>
      <c r="B293" s="302">
        <v>4.0</v>
      </c>
      <c r="C293" s="301" t="s">
        <v>3267</v>
      </c>
      <c r="D293" s="301" t="s">
        <v>304</v>
      </c>
      <c r="E293" s="303" t="b">
        <v>1</v>
      </c>
      <c r="F293" s="301" t="s">
        <v>3312</v>
      </c>
      <c r="G293" s="301" t="s">
        <v>3288</v>
      </c>
      <c r="H293" s="301" t="s">
        <v>4297</v>
      </c>
      <c r="I293" s="301" t="s">
        <v>3290</v>
      </c>
      <c r="J293" s="305" t="s">
        <v>4298</v>
      </c>
      <c r="K293" s="301" t="s">
        <v>3936</v>
      </c>
      <c r="L293" s="301" t="s">
        <v>4299</v>
      </c>
      <c r="O293" s="301" t="s">
        <v>198</v>
      </c>
      <c r="P293" s="303" t="b">
        <v>0</v>
      </c>
      <c r="Q293" s="299" t="s">
        <v>2360</v>
      </c>
      <c r="R293" s="300">
        <v>242.0</v>
      </c>
    </row>
    <row r="294" ht="15.0" customHeight="1">
      <c r="A294" s="294" t="s">
        <v>4300</v>
      </c>
      <c r="B294" s="295">
        <v>4.0</v>
      </c>
      <c r="C294" s="294" t="s">
        <v>3267</v>
      </c>
      <c r="D294" s="294" t="s">
        <v>310</v>
      </c>
      <c r="E294" s="296" t="b">
        <v>1</v>
      </c>
      <c r="F294" s="294" t="s">
        <v>3786</v>
      </c>
      <c r="G294" s="294" t="s">
        <v>3288</v>
      </c>
      <c r="H294" s="294" t="s">
        <v>4301</v>
      </c>
      <c r="I294" s="294" t="s">
        <v>3404</v>
      </c>
      <c r="J294" s="298" t="s">
        <v>4302</v>
      </c>
      <c r="K294" s="294" t="s">
        <v>4303</v>
      </c>
      <c r="L294" s="294" t="s">
        <v>4304</v>
      </c>
      <c r="N294" s="294" t="s">
        <v>140</v>
      </c>
      <c r="P294" s="296" t="b">
        <v>0</v>
      </c>
      <c r="Q294" s="299" t="s">
        <v>2360</v>
      </c>
      <c r="R294" s="300">
        <v>244.0</v>
      </c>
    </row>
    <row r="295" ht="15.0" customHeight="1">
      <c r="A295" s="301" t="s">
        <v>4305</v>
      </c>
      <c r="B295" s="302">
        <v>4.0</v>
      </c>
      <c r="C295" s="301" t="s">
        <v>3404</v>
      </c>
      <c r="D295" s="301" t="s">
        <v>305</v>
      </c>
      <c r="E295" s="303" t="b">
        <v>0</v>
      </c>
      <c r="F295" s="301" t="s">
        <v>3786</v>
      </c>
      <c r="G295" s="301" t="s">
        <v>3288</v>
      </c>
      <c r="H295" s="301" t="s">
        <v>4306</v>
      </c>
      <c r="I295" s="301" t="s">
        <v>3487</v>
      </c>
      <c r="J295" s="305" t="s">
        <v>4307</v>
      </c>
      <c r="K295" s="301" t="s">
        <v>4308</v>
      </c>
      <c r="L295" s="301" t="s">
        <v>3997</v>
      </c>
      <c r="N295" s="301" t="s">
        <v>77</v>
      </c>
      <c r="P295" s="303" t="b">
        <v>0</v>
      </c>
      <c r="Q295" s="299" t="s">
        <v>2360</v>
      </c>
      <c r="R295" s="300">
        <v>245.0</v>
      </c>
    </row>
    <row r="296" ht="15.0" customHeight="1">
      <c r="A296" s="294" t="s">
        <v>1707</v>
      </c>
      <c r="B296" s="295">
        <v>4.0</v>
      </c>
      <c r="C296" s="294" t="s">
        <v>3267</v>
      </c>
      <c r="D296" s="294" t="s">
        <v>304</v>
      </c>
      <c r="E296" s="296" t="b">
        <v>0</v>
      </c>
      <c r="F296" s="294" t="s">
        <v>3786</v>
      </c>
      <c r="G296" s="294" t="s">
        <v>3288</v>
      </c>
      <c r="H296" s="294" t="s">
        <v>4072</v>
      </c>
      <c r="I296" s="294" t="s">
        <v>3270</v>
      </c>
      <c r="J296" s="298" t="s">
        <v>4309</v>
      </c>
      <c r="K296" s="294" t="s">
        <v>3319</v>
      </c>
      <c r="L296" s="294" t="s">
        <v>4310</v>
      </c>
      <c r="P296" s="296" t="b">
        <v>0</v>
      </c>
      <c r="Q296" s="299" t="s">
        <v>2360</v>
      </c>
      <c r="R296" s="300">
        <v>246.0</v>
      </c>
    </row>
    <row r="297" ht="15.0" customHeight="1">
      <c r="A297" s="301" t="s">
        <v>4311</v>
      </c>
      <c r="B297" s="302">
        <v>4.0</v>
      </c>
      <c r="C297" s="301" t="s">
        <v>3267</v>
      </c>
      <c r="D297" s="301" t="s">
        <v>301</v>
      </c>
      <c r="E297" s="303" t="b">
        <v>0</v>
      </c>
      <c r="F297" s="301" t="s">
        <v>4312</v>
      </c>
      <c r="G297" s="301" t="s">
        <v>3308</v>
      </c>
      <c r="H297" s="307"/>
      <c r="I297" s="301" t="s">
        <v>3270</v>
      </c>
      <c r="J297" s="305" t="s">
        <v>4313</v>
      </c>
      <c r="K297" s="301" t="s">
        <v>3332</v>
      </c>
      <c r="L297" s="301" t="s">
        <v>4314</v>
      </c>
      <c r="N297" s="301" t="s">
        <v>185</v>
      </c>
      <c r="P297" s="303" t="b">
        <v>0</v>
      </c>
      <c r="Q297" s="299" t="s">
        <v>3392</v>
      </c>
      <c r="R297" s="300">
        <v>187.0</v>
      </c>
    </row>
    <row r="298" ht="15.0" customHeight="1">
      <c r="A298" s="294" t="s">
        <v>2067</v>
      </c>
      <c r="B298" s="295">
        <v>4.0</v>
      </c>
      <c r="C298" s="294" t="s">
        <v>3267</v>
      </c>
      <c r="D298" s="294" t="s">
        <v>299</v>
      </c>
      <c r="E298" s="296" t="b">
        <v>1</v>
      </c>
      <c r="F298" s="294" t="s">
        <v>3370</v>
      </c>
      <c r="G298" s="294" t="s">
        <v>3288</v>
      </c>
      <c r="H298" s="294" t="s">
        <v>4315</v>
      </c>
      <c r="I298" s="294" t="s">
        <v>3290</v>
      </c>
      <c r="J298" s="298" t="s">
        <v>4316</v>
      </c>
      <c r="K298" s="294" t="s">
        <v>4317</v>
      </c>
      <c r="L298" s="294" t="s">
        <v>4318</v>
      </c>
      <c r="P298" s="296" t="b">
        <v>0</v>
      </c>
      <c r="Q298" s="299" t="s">
        <v>2360</v>
      </c>
      <c r="R298" s="300">
        <v>246.0</v>
      </c>
    </row>
    <row r="299" ht="15.0" customHeight="1">
      <c r="A299" s="301" t="s">
        <v>4319</v>
      </c>
      <c r="B299" s="302">
        <v>4.0</v>
      </c>
      <c r="C299" s="301" t="s">
        <v>3267</v>
      </c>
      <c r="D299" s="301" t="s">
        <v>301</v>
      </c>
      <c r="E299" s="303" t="b">
        <v>1</v>
      </c>
      <c r="F299" s="301" t="s">
        <v>3370</v>
      </c>
      <c r="G299" s="301" t="s">
        <v>3288</v>
      </c>
      <c r="H299" s="301" t="s">
        <v>4320</v>
      </c>
      <c r="I299" s="301" t="s">
        <v>3337</v>
      </c>
      <c r="J299" s="305" t="s">
        <v>4321</v>
      </c>
      <c r="K299" s="301" t="s">
        <v>3671</v>
      </c>
      <c r="M299" s="307"/>
      <c r="N299" s="307"/>
      <c r="O299" s="307"/>
      <c r="P299" s="303" t="b">
        <v>0</v>
      </c>
      <c r="Q299" s="299" t="s">
        <v>2360</v>
      </c>
      <c r="R299" s="300">
        <v>246.0</v>
      </c>
    </row>
    <row r="300" ht="15.0" customHeight="1">
      <c r="A300" s="294" t="s">
        <v>4322</v>
      </c>
      <c r="B300" s="295">
        <v>4.0</v>
      </c>
      <c r="C300" s="294" t="s">
        <v>3267</v>
      </c>
      <c r="D300" s="294" t="s">
        <v>303</v>
      </c>
      <c r="E300" s="296" t="b">
        <v>1</v>
      </c>
      <c r="F300" s="294" t="s">
        <v>3370</v>
      </c>
      <c r="G300" s="294" t="s">
        <v>3269</v>
      </c>
      <c r="H300" s="306"/>
      <c r="I300" s="294" t="s">
        <v>3290</v>
      </c>
      <c r="J300" s="298" t="s">
        <v>4323</v>
      </c>
      <c r="K300" s="294" t="s">
        <v>4324</v>
      </c>
      <c r="L300" s="294" t="s">
        <v>4325</v>
      </c>
      <c r="M300" s="294" t="s">
        <v>3594</v>
      </c>
      <c r="N300" s="294" t="s">
        <v>179</v>
      </c>
      <c r="O300" s="294" t="s">
        <v>165</v>
      </c>
      <c r="P300" s="296" t="b">
        <v>0</v>
      </c>
      <c r="Q300" s="299" t="s">
        <v>3296</v>
      </c>
      <c r="R300" s="300">
        <v>157.0</v>
      </c>
    </row>
    <row r="301" ht="15.0" customHeight="1">
      <c r="A301" s="301" t="s">
        <v>4326</v>
      </c>
      <c r="B301" s="302">
        <v>4.0</v>
      </c>
      <c r="C301" s="301" t="s">
        <v>3267</v>
      </c>
      <c r="D301" s="301" t="s">
        <v>310</v>
      </c>
      <c r="E301" s="303" t="b">
        <v>1</v>
      </c>
      <c r="F301" s="301" t="s">
        <v>3370</v>
      </c>
      <c r="G301" s="301" t="s">
        <v>3288</v>
      </c>
      <c r="H301" s="301" t="s">
        <v>4327</v>
      </c>
      <c r="I301" s="301" t="s">
        <v>3337</v>
      </c>
      <c r="J301" s="305" t="s">
        <v>4328</v>
      </c>
      <c r="K301" s="301" t="s">
        <v>3445</v>
      </c>
      <c r="L301" s="301" t="s">
        <v>4329</v>
      </c>
      <c r="O301" s="301" t="s">
        <v>261</v>
      </c>
      <c r="P301" s="303" t="b">
        <v>0</v>
      </c>
      <c r="Q301" s="299" t="s">
        <v>2360</v>
      </c>
      <c r="R301" s="300">
        <v>249.0</v>
      </c>
    </row>
    <row r="302" ht="15.0" customHeight="1">
      <c r="A302" s="294" t="s">
        <v>4330</v>
      </c>
      <c r="B302" s="295">
        <v>4.0</v>
      </c>
      <c r="C302" s="294" t="s">
        <v>3267</v>
      </c>
      <c r="D302" s="294" t="s">
        <v>301</v>
      </c>
      <c r="E302" s="296" t="b">
        <v>1</v>
      </c>
      <c r="F302" s="294" t="s">
        <v>3370</v>
      </c>
      <c r="G302" s="294" t="s">
        <v>3288</v>
      </c>
      <c r="H302" s="294" t="s">
        <v>4144</v>
      </c>
      <c r="I302" s="294" t="s">
        <v>3337</v>
      </c>
      <c r="J302" s="298" t="s">
        <v>4331</v>
      </c>
      <c r="K302" s="294" t="s">
        <v>3538</v>
      </c>
      <c r="L302" s="294" t="s">
        <v>3446</v>
      </c>
      <c r="P302" s="296" t="b">
        <v>0</v>
      </c>
      <c r="Q302" s="299" t="s">
        <v>2360</v>
      </c>
      <c r="R302" s="300">
        <v>252.0</v>
      </c>
    </row>
    <row r="303" ht="15.0" customHeight="1">
      <c r="A303" s="301" t="s">
        <v>1700</v>
      </c>
      <c r="B303" s="302">
        <v>4.0</v>
      </c>
      <c r="C303" s="301" t="s">
        <v>3267</v>
      </c>
      <c r="D303" s="301" t="s">
        <v>303</v>
      </c>
      <c r="E303" s="303" t="b">
        <v>1</v>
      </c>
      <c r="F303" s="301" t="s">
        <v>3588</v>
      </c>
      <c r="G303" s="301" t="s">
        <v>3288</v>
      </c>
      <c r="H303" s="301" t="s">
        <v>4332</v>
      </c>
      <c r="I303" s="301" t="s">
        <v>3290</v>
      </c>
      <c r="J303" s="305" t="s">
        <v>4333</v>
      </c>
      <c r="K303" s="301" t="s">
        <v>3445</v>
      </c>
      <c r="L303" s="301" t="s">
        <v>4334</v>
      </c>
      <c r="N303" s="301" t="s">
        <v>116</v>
      </c>
      <c r="O303" s="301" t="s">
        <v>234</v>
      </c>
      <c r="P303" s="303" t="b">
        <v>0</v>
      </c>
      <c r="Q303" s="299" t="s">
        <v>2360</v>
      </c>
      <c r="R303" s="300">
        <v>254.0</v>
      </c>
    </row>
    <row r="304" ht="15.0" customHeight="1">
      <c r="A304" s="294" t="s">
        <v>4335</v>
      </c>
      <c r="B304" s="295">
        <v>4.0</v>
      </c>
      <c r="C304" s="294" t="s">
        <v>3290</v>
      </c>
      <c r="D304" s="294" t="s">
        <v>301</v>
      </c>
      <c r="E304" s="296" t="b">
        <v>1</v>
      </c>
      <c r="F304" s="294" t="s">
        <v>3588</v>
      </c>
      <c r="G304" s="294" t="s">
        <v>3269</v>
      </c>
      <c r="H304" s="306"/>
      <c r="I304" s="294" t="s">
        <v>3337</v>
      </c>
      <c r="J304" s="298" t="s">
        <v>4336</v>
      </c>
      <c r="K304" s="294" t="s">
        <v>3813</v>
      </c>
      <c r="L304" s="294" t="s">
        <v>4337</v>
      </c>
      <c r="N304" s="294" t="s">
        <v>140</v>
      </c>
      <c r="O304" s="294" t="s">
        <v>4338</v>
      </c>
      <c r="P304" s="296" t="b">
        <v>0</v>
      </c>
      <c r="Q304" s="299" t="s">
        <v>2360</v>
      </c>
      <c r="R304" s="300">
        <v>256.0</v>
      </c>
    </row>
    <row r="305" ht="15.0" customHeight="1">
      <c r="A305" s="301" t="s">
        <v>4339</v>
      </c>
      <c r="B305" s="302">
        <v>4.0</v>
      </c>
      <c r="C305" s="301" t="s">
        <v>3267</v>
      </c>
      <c r="D305" s="301" t="s">
        <v>310</v>
      </c>
      <c r="E305" s="303" t="b">
        <v>1</v>
      </c>
      <c r="F305" s="301" t="s">
        <v>3588</v>
      </c>
      <c r="G305" s="301" t="s">
        <v>3269</v>
      </c>
      <c r="H305" s="307"/>
      <c r="I305" s="301" t="s">
        <v>3290</v>
      </c>
      <c r="J305" s="305" t="s">
        <v>4340</v>
      </c>
      <c r="K305" s="301" t="s">
        <v>4341</v>
      </c>
      <c r="L305" s="301" t="s">
        <v>3446</v>
      </c>
      <c r="P305" s="303" t="b">
        <v>0</v>
      </c>
      <c r="Q305" s="299" t="s">
        <v>2360</v>
      </c>
      <c r="R305" s="300">
        <v>261.0</v>
      </c>
    </row>
    <row r="306" ht="15.0" customHeight="1">
      <c r="A306" s="294" t="s">
        <v>1702</v>
      </c>
      <c r="B306" s="295">
        <v>4.0</v>
      </c>
      <c r="C306" s="294" t="s">
        <v>3267</v>
      </c>
      <c r="D306" s="294" t="s">
        <v>301</v>
      </c>
      <c r="E306" s="296" t="b">
        <v>1</v>
      </c>
      <c r="F306" s="294" t="s">
        <v>3588</v>
      </c>
      <c r="G306" s="294" t="s">
        <v>3288</v>
      </c>
      <c r="H306" s="294" t="s">
        <v>4342</v>
      </c>
      <c r="I306" s="294" t="s">
        <v>3290</v>
      </c>
      <c r="J306" s="298" t="s">
        <v>4343</v>
      </c>
      <c r="K306" s="294" t="s">
        <v>69</v>
      </c>
      <c r="L306" s="294" t="s">
        <v>4344</v>
      </c>
      <c r="P306" s="296" t="b">
        <v>0</v>
      </c>
      <c r="Q306" s="299" t="s">
        <v>2360</v>
      </c>
      <c r="R306" s="300">
        <v>262.0</v>
      </c>
    </row>
    <row r="307" ht="15.0" customHeight="1">
      <c r="A307" s="301" t="s">
        <v>4345</v>
      </c>
      <c r="B307" s="302">
        <v>4.0</v>
      </c>
      <c r="C307" s="301" t="s">
        <v>3267</v>
      </c>
      <c r="D307" s="301" t="s">
        <v>301</v>
      </c>
      <c r="E307" s="303" t="b">
        <v>1</v>
      </c>
      <c r="F307" s="301" t="s">
        <v>3588</v>
      </c>
      <c r="G307" s="301" t="s">
        <v>3288</v>
      </c>
      <c r="H307" s="301" t="s">
        <v>4346</v>
      </c>
      <c r="I307" s="301" t="s">
        <v>3337</v>
      </c>
      <c r="J307" s="305" t="s">
        <v>4347</v>
      </c>
      <c r="K307" s="307"/>
      <c r="L307" s="301" t="s">
        <v>3380</v>
      </c>
      <c r="M307" s="301" t="s">
        <v>3538</v>
      </c>
      <c r="O307" s="307"/>
      <c r="P307" s="303" t="b">
        <v>0</v>
      </c>
      <c r="Q307" s="299" t="s">
        <v>2360</v>
      </c>
      <c r="R307" s="300">
        <v>264.0</v>
      </c>
    </row>
    <row r="308" ht="15.0" customHeight="1">
      <c r="A308" s="294" t="s">
        <v>4348</v>
      </c>
      <c r="B308" s="295">
        <v>4.0</v>
      </c>
      <c r="C308" s="294" t="s">
        <v>3267</v>
      </c>
      <c r="D308" s="294" t="s">
        <v>301</v>
      </c>
      <c r="E308" s="296" t="b">
        <v>1</v>
      </c>
      <c r="F308" s="294" t="s">
        <v>3588</v>
      </c>
      <c r="G308" s="294" t="s">
        <v>3288</v>
      </c>
      <c r="H308" s="294" t="s">
        <v>4349</v>
      </c>
      <c r="I308" s="294" t="s">
        <v>3337</v>
      </c>
      <c r="J308" s="298" t="s">
        <v>4350</v>
      </c>
      <c r="K308" s="294" t="s">
        <v>12</v>
      </c>
      <c r="L308" s="294" t="s">
        <v>4351</v>
      </c>
      <c r="M308" s="294" t="s">
        <v>69</v>
      </c>
      <c r="N308" s="306"/>
      <c r="O308" s="306"/>
      <c r="P308" s="296" t="b">
        <v>0</v>
      </c>
      <c r="Q308" s="299" t="s">
        <v>2360</v>
      </c>
      <c r="R308" s="300">
        <v>265.0</v>
      </c>
    </row>
    <row r="309" ht="15.0" customHeight="1">
      <c r="A309" s="301" t="s">
        <v>4352</v>
      </c>
      <c r="B309" s="302">
        <v>4.0</v>
      </c>
      <c r="C309" s="301" t="s">
        <v>3267</v>
      </c>
      <c r="D309" s="301" t="s">
        <v>301</v>
      </c>
      <c r="E309" s="303" t="b">
        <v>1</v>
      </c>
      <c r="F309" s="301" t="s">
        <v>3588</v>
      </c>
      <c r="G309" s="301" t="s">
        <v>3288</v>
      </c>
      <c r="H309" s="301" t="s">
        <v>4353</v>
      </c>
      <c r="I309" s="301" t="s">
        <v>3337</v>
      </c>
      <c r="J309" s="305" t="s">
        <v>4354</v>
      </c>
      <c r="K309" s="307"/>
      <c r="L309" s="301" t="s">
        <v>4355</v>
      </c>
      <c r="M309" s="301" t="s">
        <v>4356</v>
      </c>
      <c r="P309" s="303" t="b">
        <v>0</v>
      </c>
      <c r="Q309" s="299" t="s">
        <v>2360</v>
      </c>
      <c r="R309" s="300">
        <v>266.0</v>
      </c>
    </row>
    <row r="310" ht="15.0" customHeight="1">
      <c r="A310" s="294" t="s">
        <v>4357</v>
      </c>
      <c r="B310" s="295">
        <v>4.0</v>
      </c>
      <c r="C310" s="294" t="s">
        <v>3267</v>
      </c>
      <c r="D310" s="294" t="s">
        <v>301</v>
      </c>
      <c r="E310" s="296" t="b">
        <v>1</v>
      </c>
      <c r="F310" s="294" t="s">
        <v>3588</v>
      </c>
      <c r="G310" s="294" t="s">
        <v>3288</v>
      </c>
      <c r="H310" s="294" t="s">
        <v>4358</v>
      </c>
      <c r="I310" s="294" t="s">
        <v>3290</v>
      </c>
      <c r="J310" s="298" t="s">
        <v>4359</v>
      </c>
      <c r="K310" s="294" t="s">
        <v>3319</v>
      </c>
      <c r="L310" s="294" t="s">
        <v>3446</v>
      </c>
      <c r="P310" s="296" t="b">
        <v>0</v>
      </c>
      <c r="Q310" s="299" t="s">
        <v>3296</v>
      </c>
      <c r="R310" s="300">
        <v>164.0</v>
      </c>
    </row>
    <row r="311" ht="15.0" customHeight="1">
      <c r="A311" s="301" t="s">
        <v>302</v>
      </c>
      <c r="B311" s="302">
        <v>4.0</v>
      </c>
      <c r="C311" s="301" t="s">
        <v>3267</v>
      </c>
      <c r="D311" s="301" t="s">
        <v>302</v>
      </c>
      <c r="E311" s="303" t="b">
        <v>0</v>
      </c>
      <c r="F311" s="301" t="s">
        <v>3394</v>
      </c>
      <c r="G311" s="301" t="s">
        <v>3288</v>
      </c>
      <c r="H311" s="301" t="s">
        <v>4360</v>
      </c>
      <c r="I311" s="301" t="s">
        <v>3270</v>
      </c>
      <c r="J311" s="305" t="s">
        <v>4361</v>
      </c>
      <c r="K311" s="301" t="s">
        <v>29</v>
      </c>
      <c r="L311" s="301" t="s">
        <v>4124</v>
      </c>
      <c r="M311" s="301" t="s">
        <v>3883</v>
      </c>
      <c r="N311" s="301" t="s">
        <v>4362</v>
      </c>
      <c r="O311" s="301" t="s">
        <v>4363</v>
      </c>
      <c r="P311" s="303" t="b">
        <v>1</v>
      </c>
      <c r="Q311" s="299" t="s">
        <v>3296</v>
      </c>
      <c r="R311" s="300">
        <v>164.0</v>
      </c>
    </row>
    <row r="312" ht="15.0" customHeight="1">
      <c r="A312" s="294" t="s">
        <v>1703</v>
      </c>
      <c r="B312" s="295">
        <v>4.0</v>
      </c>
      <c r="C312" s="294" t="s">
        <v>3267</v>
      </c>
      <c r="D312" s="294" t="s">
        <v>304</v>
      </c>
      <c r="E312" s="296" t="b">
        <v>0</v>
      </c>
      <c r="F312" s="294" t="s">
        <v>3394</v>
      </c>
      <c r="G312" s="294" t="s">
        <v>3288</v>
      </c>
      <c r="H312" s="294" t="s">
        <v>4364</v>
      </c>
      <c r="I312" s="294" t="s">
        <v>3404</v>
      </c>
      <c r="J312" s="298" t="s">
        <v>4365</v>
      </c>
      <c r="K312" s="294" t="s">
        <v>69</v>
      </c>
      <c r="L312" s="294" t="s">
        <v>4366</v>
      </c>
      <c r="M312" s="294" t="s">
        <v>4367</v>
      </c>
      <c r="P312" s="296" t="b">
        <v>0</v>
      </c>
      <c r="Q312" s="299" t="s">
        <v>2360</v>
      </c>
      <c r="R312" s="300">
        <v>278.0</v>
      </c>
    </row>
    <row r="313" ht="15.0" customHeight="1">
      <c r="A313" s="301" t="s">
        <v>4368</v>
      </c>
      <c r="B313" s="302">
        <v>4.0</v>
      </c>
      <c r="C313" s="301" t="s">
        <v>3418</v>
      </c>
      <c r="D313" s="301" t="s">
        <v>310</v>
      </c>
      <c r="E313" s="303" t="b">
        <v>1</v>
      </c>
      <c r="F313" s="301" t="s">
        <v>3394</v>
      </c>
      <c r="G313" s="301" t="s">
        <v>3308</v>
      </c>
      <c r="H313" s="307"/>
      <c r="I313" s="301" t="s">
        <v>3290</v>
      </c>
      <c r="J313" s="305" t="s">
        <v>4369</v>
      </c>
      <c r="K313" s="301" t="s">
        <v>3671</v>
      </c>
      <c r="M313" s="307"/>
      <c r="N313" s="307"/>
      <c r="O313" s="307"/>
      <c r="P313" s="303" t="b">
        <v>0</v>
      </c>
      <c r="Q313" s="299" t="s">
        <v>2360</v>
      </c>
      <c r="R313" s="300">
        <v>278.0</v>
      </c>
    </row>
    <row r="314" ht="15.0" customHeight="1">
      <c r="A314" s="294" t="s">
        <v>4370</v>
      </c>
      <c r="B314" s="295">
        <v>4.0</v>
      </c>
      <c r="C314" s="294" t="s">
        <v>3267</v>
      </c>
      <c r="D314" s="294" t="s">
        <v>302</v>
      </c>
      <c r="E314" s="296" t="b">
        <v>1</v>
      </c>
      <c r="F314" s="294" t="s">
        <v>3394</v>
      </c>
      <c r="G314" s="294" t="s">
        <v>3288</v>
      </c>
      <c r="H314" s="294" t="s">
        <v>3900</v>
      </c>
      <c r="I314" s="294" t="s">
        <v>3337</v>
      </c>
      <c r="J314" s="298" t="s">
        <v>4371</v>
      </c>
      <c r="K314" s="294" t="s">
        <v>3906</v>
      </c>
      <c r="L314" s="294" t="s">
        <v>4372</v>
      </c>
      <c r="N314" s="294" t="s">
        <v>3601</v>
      </c>
      <c r="P314" s="296" t="b">
        <v>0</v>
      </c>
      <c r="Q314" s="299" t="s">
        <v>2360</v>
      </c>
      <c r="R314" s="300">
        <v>278.0</v>
      </c>
    </row>
    <row r="315" ht="15.0" customHeight="1">
      <c r="A315" s="301" t="s">
        <v>4373</v>
      </c>
      <c r="B315" s="302">
        <v>4.0</v>
      </c>
      <c r="C315" s="301" t="s">
        <v>3267</v>
      </c>
      <c r="D315" s="301" t="s">
        <v>308</v>
      </c>
      <c r="E315" s="303" t="b">
        <v>1</v>
      </c>
      <c r="F315" s="301" t="s">
        <v>3394</v>
      </c>
      <c r="G315" s="301" t="s">
        <v>3288</v>
      </c>
      <c r="H315" s="301" t="s">
        <v>4374</v>
      </c>
      <c r="I315" s="301" t="s">
        <v>3290</v>
      </c>
      <c r="J315" s="305" t="s">
        <v>4375</v>
      </c>
      <c r="K315" s="301" t="s">
        <v>65</v>
      </c>
      <c r="L315" s="307"/>
      <c r="M315" s="307"/>
      <c r="N315" s="307"/>
      <c r="O315" s="307"/>
      <c r="P315" s="303" t="b">
        <v>0</v>
      </c>
      <c r="Q315" s="299" t="s">
        <v>3296</v>
      </c>
      <c r="R315" s="300">
        <v>166.0</v>
      </c>
    </row>
    <row r="316" ht="15.0" customHeight="1">
      <c r="A316" s="294" t="s">
        <v>4376</v>
      </c>
      <c r="B316" s="295">
        <v>4.0</v>
      </c>
      <c r="C316" s="294" t="s">
        <v>3418</v>
      </c>
      <c r="D316" s="294" t="s">
        <v>304</v>
      </c>
      <c r="E316" s="296" t="b">
        <v>1</v>
      </c>
      <c r="F316" s="294" t="s">
        <v>3394</v>
      </c>
      <c r="G316" s="294" t="s">
        <v>3308</v>
      </c>
      <c r="H316" s="306"/>
      <c r="I316" s="294" t="s">
        <v>3290</v>
      </c>
      <c r="J316" s="298" t="s">
        <v>4377</v>
      </c>
      <c r="K316" s="294" t="s">
        <v>48</v>
      </c>
      <c r="L316" s="294" t="s">
        <v>4378</v>
      </c>
      <c r="P316" s="296" t="b">
        <v>0</v>
      </c>
      <c r="Q316" s="299" t="s">
        <v>3286</v>
      </c>
      <c r="R316" s="300">
        <v>109.0</v>
      </c>
    </row>
    <row r="317" ht="15.0" customHeight="1">
      <c r="A317" s="301" t="s">
        <v>4379</v>
      </c>
      <c r="B317" s="302">
        <v>4.0</v>
      </c>
      <c r="C317" s="301" t="s">
        <v>3267</v>
      </c>
      <c r="D317" s="301" t="s">
        <v>299</v>
      </c>
      <c r="E317" s="303" t="b">
        <v>0</v>
      </c>
      <c r="F317" s="301" t="s">
        <v>3408</v>
      </c>
      <c r="G317" s="301" t="s">
        <v>3269</v>
      </c>
      <c r="H317" s="307"/>
      <c r="I317" s="301" t="s">
        <v>3481</v>
      </c>
      <c r="J317" s="305" t="s">
        <v>4380</v>
      </c>
      <c r="K317" s="301" t="s">
        <v>3578</v>
      </c>
      <c r="L317" s="301" t="s">
        <v>4381</v>
      </c>
      <c r="M317" s="301" t="s">
        <v>52</v>
      </c>
      <c r="N317" s="301" t="s">
        <v>188</v>
      </c>
      <c r="O317" s="301" t="s">
        <v>4382</v>
      </c>
      <c r="P317" s="303" t="b">
        <v>0</v>
      </c>
      <c r="Q317" s="299" t="s">
        <v>3286</v>
      </c>
      <c r="R317" s="300">
        <v>111.0</v>
      </c>
    </row>
    <row r="318" ht="15.0" customHeight="1">
      <c r="A318" s="294" t="s">
        <v>4383</v>
      </c>
      <c r="B318" s="295">
        <v>4.0</v>
      </c>
      <c r="C318" s="294" t="s">
        <v>3267</v>
      </c>
      <c r="D318" s="294" t="s">
        <v>299</v>
      </c>
      <c r="E318" s="296" t="b">
        <v>0</v>
      </c>
      <c r="F318" s="294" t="s">
        <v>3408</v>
      </c>
      <c r="G318" s="294" t="s">
        <v>3288</v>
      </c>
      <c r="H318" s="294" t="s">
        <v>4384</v>
      </c>
      <c r="I318" s="294" t="s">
        <v>3337</v>
      </c>
      <c r="J318" s="298" t="s">
        <v>4385</v>
      </c>
      <c r="K318" s="294" t="s">
        <v>4386</v>
      </c>
      <c r="L318" s="294" t="s">
        <v>4387</v>
      </c>
      <c r="N318" s="294" t="s">
        <v>185</v>
      </c>
      <c r="O318" s="294" t="s">
        <v>4202</v>
      </c>
      <c r="P318" s="296" t="b">
        <v>0</v>
      </c>
      <c r="Q318" s="299" t="s">
        <v>3286</v>
      </c>
      <c r="R318" s="300">
        <v>111.0</v>
      </c>
    </row>
    <row r="319" ht="15.0" customHeight="1">
      <c r="A319" s="301" t="s">
        <v>1705</v>
      </c>
      <c r="B319" s="302">
        <v>4.0</v>
      </c>
      <c r="C319" s="301" t="s">
        <v>3267</v>
      </c>
      <c r="D319" s="301" t="s">
        <v>305</v>
      </c>
      <c r="E319" s="303" t="b">
        <v>1</v>
      </c>
      <c r="F319" s="301" t="s">
        <v>3408</v>
      </c>
      <c r="G319" s="301" t="s">
        <v>3269</v>
      </c>
      <c r="H319" s="304"/>
      <c r="I319" s="301" t="s">
        <v>3290</v>
      </c>
      <c r="J319" s="305" t="s">
        <v>4388</v>
      </c>
      <c r="K319" s="301" t="s">
        <v>3583</v>
      </c>
      <c r="L319" s="301" t="s">
        <v>4389</v>
      </c>
      <c r="N319" s="301" t="s">
        <v>77</v>
      </c>
      <c r="P319" s="303" t="b">
        <v>0</v>
      </c>
      <c r="Q319" s="299" t="s">
        <v>3296</v>
      </c>
      <c r="R319" s="300">
        <v>166.0</v>
      </c>
    </row>
    <row r="320" ht="15.0" customHeight="1">
      <c r="A320" s="294" t="s">
        <v>4390</v>
      </c>
      <c r="B320" s="295">
        <v>4.0</v>
      </c>
      <c r="C320" s="294" t="s">
        <v>3267</v>
      </c>
      <c r="D320" s="294" t="s">
        <v>301</v>
      </c>
      <c r="E320" s="296" t="b">
        <v>0</v>
      </c>
      <c r="F320" s="294" t="s">
        <v>3408</v>
      </c>
      <c r="G320" s="294" t="s">
        <v>3288</v>
      </c>
      <c r="H320" s="294" t="s">
        <v>4391</v>
      </c>
      <c r="I320" s="294" t="s">
        <v>3270</v>
      </c>
      <c r="J320" s="298" t="s">
        <v>4392</v>
      </c>
      <c r="K320" s="294" t="s">
        <v>3936</v>
      </c>
      <c r="L320" s="294" t="s">
        <v>3986</v>
      </c>
      <c r="N320" s="294" t="s">
        <v>58</v>
      </c>
      <c r="O320" s="294" t="s">
        <v>219</v>
      </c>
      <c r="P320" s="296" t="b">
        <v>0</v>
      </c>
      <c r="Q320" s="299" t="s">
        <v>3296</v>
      </c>
      <c r="R320" s="300">
        <v>170.0</v>
      </c>
    </row>
    <row r="321" ht="15.0" customHeight="1">
      <c r="A321" s="301" t="s">
        <v>4393</v>
      </c>
      <c r="B321" s="302">
        <v>4.0</v>
      </c>
      <c r="C321" s="301" t="s">
        <v>3267</v>
      </c>
      <c r="D321" s="301" t="s">
        <v>310</v>
      </c>
      <c r="E321" s="303" t="b">
        <v>0</v>
      </c>
      <c r="F321" s="301" t="s">
        <v>3408</v>
      </c>
      <c r="G321" s="301" t="s">
        <v>3288</v>
      </c>
      <c r="H321" s="301" t="s">
        <v>4394</v>
      </c>
      <c r="I321" s="301" t="s">
        <v>3270</v>
      </c>
      <c r="J321" s="305" t="s">
        <v>4395</v>
      </c>
      <c r="K321" s="301" t="s">
        <v>4396</v>
      </c>
      <c r="L321" s="301" t="s">
        <v>4397</v>
      </c>
      <c r="N321" s="301" t="s">
        <v>182</v>
      </c>
      <c r="P321" s="303" t="b">
        <v>0</v>
      </c>
      <c r="Q321" s="299" t="s">
        <v>2360</v>
      </c>
      <c r="R321" s="300">
        <v>285.0</v>
      </c>
    </row>
    <row r="322" ht="15.0" customHeight="1">
      <c r="A322" s="294" t="s">
        <v>1709</v>
      </c>
      <c r="B322" s="295">
        <v>4.0</v>
      </c>
      <c r="C322" s="294" t="s">
        <v>3267</v>
      </c>
      <c r="D322" s="294" t="s">
        <v>299</v>
      </c>
      <c r="E322" s="296" t="b">
        <v>1</v>
      </c>
      <c r="F322" s="294" t="s">
        <v>3408</v>
      </c>
      <c r="G322" s="294" t="s">
        <v>3288</v>
      </c>
      <c r="H322" s="294" t="s">
        <v>4398</v>
      </c>
      <c r="I322" s="294" t="s">
        <v>3337</v>
      </c>
      <c r="J322" s="298" t="s">
        <v>4399</v>
      </c>
      <c r="K322" s="294" t="s">
        <v>3707</v>
      </c>
      <c r="L322" s="294" t="s">
        <v>4400</v>
      </c>
      <c r="O322" s="294" t="s">
        <v>165</v>
      </c>
      <c r="P322" s="296" t="b">
        <v>0</v>
      </c>
      <c r="Q322" s="299" t="s">
        <v>3296</v>
      </c>
      <c r="R322" s="300">
        <v>170.0</v>
      </c>
    </row>
    <row r="323" ht="15.0" customHeight="1">
      <c r="A323" s="301" t="s">
        <v>4401</v>
      </c>
      <c r="B323" s="302">
        <v>5.0</v>
      </c>
      <c r="C323" s="301" t="s">
        <v>3267</v>
      </c>
      <c r="D323" s="301" t="s">
        <v>299</v>
      </c>
      <c r="E323" s="303" t="b">
        <v>1</v>
      </c>
      <c r="F323" s="301" t="s">
        <v>3268</v>
      </c>
      <c r="G323" s="301" t="s">
        <v>3269</v>
      </c>
      <c r="H323" s="307"/>
      <c r="I323" s="301" t="s">
        <v>3337</v>
      </c>
      <c r="J323" s="305" t="s">
        <v>4402</v>
      </c>
      <c r="K323" s="301" t="s">
        <v>35</v>
      </c>
      <c r="L323" s="301" t="s">
        <v>4403</v>
      </c>
      <c r="N323" s="301" t="s">
        <v>58</v>
      </c>
      <c r="P323" s="303" t="b">
        <v>0</v>
      </c>
      <c r="Q323" s="299" t="s">
        <v>2360</v>
      </c>
      <c r="R323" s="300">
        <v>213.0</v>
      </c>
    </row>
    <row r="324" ht="15.0" customHeight="1">
      <c r="A324" s="294" t="s">
        <v>2068</v>
      </c>
      <c r="B324" s="295">
        <v>5.0</v>
      </c>
      <c r="C324" s="294" t="s">
        <v>3290</v>
      </c>
      <c r="D324" s="294" t="s">
        <v>301</v>
      </c>
      <c r="E324" s="296" t="b">
        <v>0</v>
      </c>
      <c r="F324" s="294" t="s">
        <v>3268</v>
      </c>
      <c r="G324" s="294" t="s">
        <v>3367</v>
      </c>
      <c r="H324" s="294" t="s">
        <v>4404</v>
      </c>
      <c r="I324" s="294" t="s">
        <v>3281</v>
      </c>
      <c r="J324" s="298" t="s">
        <v>4405</v>
      </c>
      <c r="K324" s="294" t="s">
        <v>3583</v>
      </c>
      <c r="L324" s="294" t="s">
        <v>4406</v>
      </c>
      <c r="M324" s="294" t="s">
        <v>4407</v>
      </c>
      <c r="N324" s="294" t="s">
        <v>185</v>
      </c>
      <c r="P324" s="296" t="b">
        <v>0</v>
      </c>
      <c r="Q324" s="299" t="s">
        <v>2360</v>
      </c>
      <c r="R324" s="300">
        <v>213.0</v>
      </c>
    </row>
    <row r="325" ht="15.0" customHeight="1">
      <c r="A325" s="301" t="s">
        <v>4408</v>
      </c>
      <c r="B325" s="302">
        <v>5.0</v>
      </c>
      <c r="C325" s="301" t="s">
        <v>3267</v>
      </c>
      <c r="D325" s="301" t="s">
        <v>310</v>
      </c>
      <c r="E325" s="303" t="b">
        <v>1</v>
      </c>
      <c r="F325" s="301" t="s">
        <v>3280</v>
      </c>
      <c r="G325" s="301" t="s">
        <v>3269</v>
      </c>
      <c r="H325" s="307"/>
      <c r="I325" s="301" t="s">
        <v>3290</v>
      </c>
      <c r="J325" s="305" t="s">
        <v>4409</v>
      </c>
      <c r="K325" s="301" t="s">
        <v>3292</v>
      </c>
      <c r="L325" s="301" t="s">
        <v>4410</v>
      </c>
      <c r="O325" s="301" t="s">
        <v>198</v>
      </c>
      <c r="P325" s="303" t="b">
        <v>0</v>
      </c>
      <c r="Q325" s="299" t="s">
        <v>2360</v>
      </c>
      <c r="R325" s="300">
        <v>216.0</v>
      </c>
    </row>
    <row r="326" ht="15.0" customHeight="1">
      <c r="A326" s="294" t="s">
        <v>4411</v>
      </c>
      <c r="B326" s="295">
        <v>5.0</v>
      </c>
      <c r="C326" s="294" t="s">
        <v>3267</v>
      </c>
      <c r="D326" s="294" t="s">
        <v>304</v>
      </c>
      <c r="E326" s="296" t="b">
        <v>1</v>
      </c>
      <c r="F326" s="294" t="s">
        <v>3280</v>
      </c>
      <c r="G326" s="294" t="s">
        <v>3288</v>
      </c>
      <c r="H326" s="294" t="s">
        <v>4412</v>
      </c>
      <c r="I326" s="294" t="s">
        <v>3290</v>
      </c>
      <c r="J326" s="298" t="s">
        <v>4413</v>
      </c>
      <c r="K326" s="294" t="s">
        <v>3557</v>
      </c>
      <c r="L326" s="294" t="s">
        <v>4414</v>
      </c>
      <c r="M326" s="294" t="s">
        <v>60</v>
      </c>
      <c r="N326" s="294" t="s">
        <v>188</v>
      </c>
      <c r="P326" s="296" t="b">
        <v>0</v>
      </c>
      <c r="Q326" s="299" t="s">
        <v>2360</v>
      </c>
      <c r="R326" s="300">
        <v>216.0</v>
      </c>
    </row>
    <row r="327" ht="15.0" customHeight="1">
      <c r="A327" s="301" t="s">
        <v>1715</v>
      </c>
      <c r="B327" s="302">
        <v>5.0</v>
      </c>
      <c r="C327" s="301" t="s">
        <v>3267</v>
      </c>
      <c r="D327" s="301" t="s">
        <v>301</v>
      </c>
      <c r="E327" s="303" t="b">
        <v>1</v>
      </c>
      <c r="F327" s="301" t="s">
        <v>3280</v>
      </c>
      <c r="G327" s="301" t="s">
        <v>3269</v>
      </c>
      <c r="H327" s="307"/>
      <c r="I327" s="301" t="s">
        <v>3404</v>
      </c>
      <c r="J327" s="305" t="s">
        <v>4415</v>
      </c>
      <c r="K327" s="301" t="s">
        <v>3466</v>
      </c>
      <c r="L327" s="301" t="s">
        <v>4416</v>
      </c>
      <c r="O327" s="301" t="s">
        <v>162</v>
      </c>
      <c r="P327" s="303" t="b">
        <v>0</v>
      </c>
      <c r="Q327" s="299" t="s">
        <v>2360</v>
      </c>
      <c r="R327" s="300">
        <v>218.0</v>
      </c>
    </row>
    <row r="328" ht="15.0" customHeight="1">
      <c r="A328" s="294" t="s">
        <v>4417</v>
      </c>
      <c r="B328" s="295">
        <v>5.0</v>
      </c>
      <c r="C328" s="294" t="s">
        <v>3267</v>
      </c>
      <c r="D328" s="294" t="s">
        <v>304</v>
      </c>
      <c r="E328" s="296" t="b">
        <v>1</v>
      </c>
      <c r="F328" s="294" t="s">
        <v>3280</v>
      </c>
      <c r="G328" s="294" t="s">
        <v>3288</v>
      </c>
      <c r="H328" s="294" t="s">
        <v>4418</v>
      </c>
      <c r="I328" s="294" t="s">
        <v>3290</v>
      </c>
      <c r="J328" s="298" t="s">
        <v>4419</v>
      </c>
      <c r="K328" s="294" t="s">
        <v>35</v>
      </c>
      <c r="L328" s="306"/>
      <c r="M328" s="306"/>
      <c r="N328" s="306"/>
      <c r="O328" s="306"/>
      <c r="P328" s="296" t="b">
        <v>0</v>
      </c>
      <c r="Q328" s="299" t="s">
        <v>2360</v>
      </c>
      <c r="R328" s="300">
        <v>221.0</v>
      </c>
    </row>
    <row r="329" ht="15.0" customHeight="1">
      <c r="A329" s="301" t="s">
        <v>4420</v>
      </c>
      <c r="B329" s="302">
        <v>5.0</v>
      </c>
      <c r="C329" s="301" t="s">
        <v>3267</v>
      </c>
      <c r="D329" s="301" t="s">
        <v>303</v>
      </c>
      <c r="E329" s="303" t="b">
        <v>0</v>
      </c>
      <c r="F329" s="301" t="s">
        <v>3280</v>
      </c>
      <c r="G329" s="301" t="s">
        <v>3269</v>
      </c>
      <c r="H329" s="307"/>
      <c r="I329" s="301" t="s">
        <v>3270</v>
      </c>
      <c r="J329" s="305" t="s">
        <v>4421</v>
      </c>
      <c r="K329" s="301" t="s">
        <v>3332</v>
      </c>
      <c r="L329" s="301" t="s">
        <v>3446</v>
      </c>
      <c r="P329" s="303" t="b">
        <v>0</v>
      </c>
      <c r="Q329" s="299" t="s">
        <v>2360</v>
      </c>
      <c r="R329" s="300">
        <v>222.0</v>
      </c>
    </row>
    <row r="330" ht="15.0" customHeight="1">
      <c r="A330" s="294" t="s">
        <v>4422</v>
      </c>
      <c r="B330" s="295">
        <v>5.0</v>
      </c>
      <c r="C330" s="294" t="s">
        <v>3551</v>
      </c>
      <c r="D330" s="294" t="s">
        <v>310</v>
      </c>
      <c r="E330" s="296" t="b">
        <v>0</v>
      </c>
      <c r="F330" s="294" t="s">
        <v>3280</v>
      </c>
      <c r="G330" s="294" t="s">
        <v>3269</v>
      </c>
      <c r="H330" s="306"/>
      <c r="I330" s="294" t="s">
        <v>3281</v>
      </c>
      <c r="J330" s="298" t="s">
        <v>4423</v>
      </c>
      <c r="K330" s="306"/>
      <c r="L330" s="294" t="s">
        <v>3685</v>
      </c>
      <c r="N330" s="306"/>
      <c r="O330" s="306"/>
      <c r="P330" s="296" t="b">
        <v>0</v>
      </c>
      <c r="Q330" s="299" t="s">
        <v>2360</v>
      </c>
      <c r="R330" s="300">
        <v>223.0</v>
      </c>
    </row>
    <row r="331" ht="15.0" customHeight="1">
      <c r="A331" s="301" t="s">
        <v>4424</v>
      </c>
      <c r="B331" s="302">
        <v>5.0</v>
      </c>
      <c r="C331" s="301" t="s">
        <v>3267</v>
      </c>
      <c r="D331" s="301" t="s">
        <v>310</v>
      </c>
      <c r="E331" s="303" t="b">
        <v>0</v>
      </c>
      <c r="F331" s="301" t="s">
        <v>3280</v>
      </c>
      <c r="G331" s="301" t="s">
        <v>3288</v>
      </c>
      <c r="H331" s="301" t="s">
        <v>4425</v>
      </c>
      <c r="I331" s="301" t="s">
        <v>3772</v>
      </c>
      <c r="J331" s="305" t="s">
        <v>4426</v>
      </c>
      <c r="K331" s="301" t="s">
        <v>4427</v>
      </c>
      <c r="L331" s="301" t="s">
        <v>3446</v>
      </c>
      <c r="P331" s="303" t="b">
        <v>0</v>
      </c>
      <c r="Q331" s="299" t="s">
        <v>2360</v>
      </c>
      <c r="R331" s="300">
        <v>224.0</v>
      </c>
    </row>
    <row r="332" ht="15.0" customHeight="1">
      <c r="A332" s="294" t="s">
        <v>1724</v>
      </c>
      <c r="B332" s="295">
        <v>5.0</v>
      </c>
      <c r="C332" s="294" t="s">
        <v>3267</v>
      </c>
      <c r="D332" s="294" t="s">
        <v>304</v>
      </c>
      <c r="E332" s="296" t="b">
        <v>1</v>
      </c>
      <c r="F332" s="294" t="s">
        <v>3280</v>
      </c>
      <c r="G332" s="294" t="s">
        <v>3288</v>
      </c>
      <c r="H332" s="294" t="s">
        <v>4428</v>
      </c>
      <c r="I332" s="294" t="s">
        <v>3404</v>
      </c>
      <c r="J332" s="298" t="s">
        <v>4429</v>
      </c>
      <c r="K332" s="294" t="s">
        <v>69</v>
      </c>
      <c r="L332" s="294" t="s">
        <v>4430</v>
      </c>
      <c r="P332" s="296" t="b">
        <v>0</v>
      </c>
      <c r="Q332" s="299" t="s">
        <v>2360</v>
      </c>
      <c r="R332" s="300">
        <v>224.0</v>
      </c>
    </row>
    <row r="333" ht="15.0" customHeight="1">
      <c r="A333" s="301" t="s">
        <v>4431</v>
      </c>
      <c r="B333" s="302">
        <v>5.0</v>
      </c>
      <c r="C333" s="301" t="s">
        <v>3267</v>
      </c>
      <c r="D333" s="301" t="s">
        <v>304</v>
      </c>
      <c r="E333" s="303" t="b">
        <v>1</v>
      </c>
      <c r="F333" s="301" t="s">
        <v>3280</v>
      </c>
      <c r="G333" s="301" t="s">
        <v>3288</v>
      </c>
      <c r="H333" s="301" t="s">
        <v>4432</v>
      </c>
      <c r="I333" s="301" t="s">
        <v>3404</v>
      </c>
      <c r="J333" s="305" t="s">
        <v>4433</v>
      </c>
      <c r="K333" s="301" t="s">
        <v>3283</v>
      </c>
      <c r="L333" s="301" t="s">
        <v>3446</v>
      </c>
      <c r="M333" s="301" t="s">
        <v>29</v>
      </c>
      <c r="N333" s="307"/>
      <c r="O333" s="307"/>
      <c r="P333" s="303" t="b">
        <v>0</v>
      </c>
      <c r="Q333" s="299" t="s">
        <v>2360</v>
      </c>
      <c r="R333" s="300">
        <v>225.0</v>
      </c>
    </row>
    <row r="334" ht="15.0" customHeight="1">
      <c r="A334" s="294" t="s">
        <v>1725</v>
      </c>
      <c r="B334" s="295">
        <v>5.0</v>
      </c>
      <c r="C334" s="294" t="s">
        <v>3267</v>
      </c>
      <c r="D334" s="294" t="s">
        <v>304</v>
      </c>
      <c r="E334" s="296" t="b">
        <v>1</v>
      </c>
      <c r="F334" s="294" t="s">
        <v>3280</v>
      </c>
      <c r="G334" s="294" t="s">
        <v>3288</v>
      </c>
      <c r="H334" s="294" t="s">
        <v>4434</v>
      </c>
      <c r="I334" s="294" t="s">
        <v>3404</v>
      </c>
      <c r="J334" s="298" t="s">
        <v>4435</v>
      </c>
      <c r="K334" s="294" t="s">
        <v>4436</v>
      </c>
      <c r="L334" s="294" t="s">
        <v>4437</v>
      </c>
      <c r="P334" s="296" t="b">
        <v>0</v>
      </c>
      <c r="Q334" s="299" t="s">
        <v>2360</v>
      </c>
      <c r="R334" s="300">
        <v>226.0</v>
      </c>
    </row>
    <row r="335" ht="15.0" customHeight="1">
      <c r="A335" s="301" t="s">
        <v>4438</v>
      </c>
      <c r="B335" s="302">
        <v>5.0</v>
      </c>
      <c r="C335" s="301" t="s">
        <v>3267</v>
      </c>
      <c r="D335" s="301" t="s">
        <v>304</v>
      </c>
      <c r="E335" s="303" t="b">
        <v>1</v>
      </c>
      <c r="F335" s="301" t="s">
        <v>3280</v>
      </c>
      <c r="G335" s="301" t="s">
        <v>3269</v>
      </c>
      <c r="H335" s="307"/>
      <c r="I335" s="301" t="s">
        <v>3290</v>
      </c>
      <c r="J335" s="305" t="s">
        <v>4439</v>
      </c>
      <c r="K335" s="301" t="s">
        <v>3671</v>
      </c>
      <c r="M335" s="307"/>
      <c r="N335" s="307"/>
      <c r="O335" s="307"/>
      <c r="P335" s="303" t="b">
        <v>0</v>
      </c>
      <c r="Q335" s="299" t="s">
        <v>2360</v>
      </c>
      <c r="R335" s="300">
        <v>226.0</v>
      </c>
    </row>
    <row r="336" ht="15.0" customHeight="1">
      <c r="A336" s="294" t="s">
        <v>4440</v>
      </c>
      <c r="B336" s="295">
        <v>5.0</v>
      </c>
      <c r="C336" s="294" t="s">
        <v>3267</v>
      </c>
      <c r="D336" s="294" t="s">
        <v>301</v>
      </c>
      <c r="E336" s="296" t="b">
        <v>0</v>
      </c>
      <c r="F336" s="294" t="s">
        <v>3743</v>
      </c>
      <c r="G336" s="294" t="s">
        <v>3288</v>
      </c>
      <c r="H336" s="294" t="s">
        <v>4441</v>
      </c>
      <c r="I336" s="294" t="s">
        <v>3270</v>
      </c>
      <c r="J336" s="298" t="s">
        <v>4442</v>
      </c>
      <c r="K336" s="294" t="s">
        <v>52</v>
      </c>
      <c r="L336" s="294" t="s">
        <v>3689</v>
      </c>
      <c r="M336" s="306"/>
      <c r="N336" s="306"/>
      <c r="O336" s="306"/>
      <c r="P336" s="296" t="b">
        <v>0</v>
      </c>
      <c r="Q336" s="299" t="s">
        <v>2360</v>
      </c>
      <c r="R336" s="300">
        <v>227.0</v>
      </c>
    </row>
    <row r="337" ht="15.0" customHeight="1">
      <c r="A337" s="301" t="s">
        <v>4443</v>
      </c>
      <c r="B337" s="302">
        <v>5.0</v>
      </c>
      <c r="C337" s="301" t="s">
        <v>3267</v>
      </c>
      <c r="D337" s="301" t="s">
        <v>299</v>
      </c>
      <c r="E337" s="303" t="b">
        <v>1</v>
      </c>
      <c r="F337" s="301" t="s">
        <v>3312</v>
      </c>
      <c r="G337" s="301" t="s">
        <v>3308</v>
      </c>
      <c r="H337" s="307"/>
      <c r="I337" s="301" t="s">
        <v>3404</v>
      </c>
      <c r="J337" s="305" t="s">
        <v>4444</v>
      </c>
      <c r="K337" s="301" t="s">
        <v>48</v>
      </c>
      <c r="L337" s="301" t="s">
        <v>4445</v>
      </c>
      <c r="P337" s="303" t="b">
        <v>0</v>
      </c>
      <c r="Q337" s="299" t="s">
        <v>3296</v>
      </c>
      <c r="R337" s="300">
        <v>152.0</v>
      </c>
    </row>
    <row r="338" ht="15.0" customHeight="1">
      <c r="A338" s="294" t="s">
        <v>4446</v>
      </c>
      <c r="B338" s="295">
        <v>5.0</v>
      </c>
      <c r="C338" s="294" t="s">
        <v>3290</v>
      </c>
      <c r="D338" s="294" t="s">
        <v>305</v>
      </c>
      <c r="E338" s="296" t="b">
        <v>0</v>
      </c>
      <c r="F338" s="294" t="s">
        <v>3312</v>
      </c>
      <c r="G338" s="294" t="s">
        <v>3288</v>
      </c>
      <c r="H338" s="294" t="s">
        <v>4447</v>
      </c>
      <c r="I338" s="294" t="s">
        <v>4448</v>
      </c>
      <c r="J338" s="298" t="s">
        <v>4449</v>
      </c>
      <c r="K338" s="294" t="s">
        <v>3298</v>
      </c>
      <c r="L338" s="294" t="s">
        <v>4450</v>
      </c>
      <c r="N338" s="294" t="s">
        <v>182</v>
      </c>
      <c r="O338" s="294" t="s">
        <v>261</v>
      </c>
      <c r="P338" s="296" t="b">
        <v>0</v>
      </c>
      <c r="Q338" s="299" t="s">
        <v>2360</v>
      </c>
      <c r="R338" s="300">
        <v>229.0</v>
      </c>
    </row>
    <row r="339" ht="15.0" customHeight="1">
      <c r="A339" s="301" t="s">
        <v>1717</v>
      </c>
      <c r="B339" s="302">
        <v>5.0</v>
      </c>
      <c r="C339" s="301" t="s">
        <v>3267</v>
      </c>
      <c r="D339" s="301" t="s">
        <v>304</v>
      </c>
      <c r="E339" s="303" t="b">
        <v>0</v>
      </c>
      <c r="F339" s="301" t="s">
        <v>3312</v>
      </c>
      <c r="G339" s="301" t="s">
        <v>3308</v>
      </c>
      <c r="H339" s="307"/>
      <c r="I339" s="301" t="s">
        <v>3270</v>
      </c>
      <c r="J339" s="305" t="s">
        <v>4451</v>
      </c>
      <c r="K339" s="301" t="s">
        <v>48</v>
      </c>
      <c r="L339" s="301" t="s">
        <v>4452</v>
      </c>
      <c r="O339" s="301" t="s">
        <v>165</v>
      </c>
      <c r="P339" s="303" t="b">
        <v>0</v>
      </c>
      <c r="Q339" s="299" t="s">
        <v>3296</v>
      </c>
      <c r="R339" s="300">
        <v>153.0</v>
      </c>
    </row>
    <row r="340" ht="15.0" customHeight="1">
      <c r="A340" s="294" t="s">
        <v>4453</v>
      </c>
      <c r="B340" s="295">
        <v>5.0</v>
      </c>
      <c r="C340" s="294" t="s">
        <v>3267</v>
      </c>
      <c r="D340" s="294" t="s">
        <v>303</v>
      </c>
      <c r="E340" s="296" t="b">
        <v>1</v>
      </c>
      <c r="F340" s="294" t="s">
        <v>3312</v>
      </c>
      <c r="G340" s="294" t="s">
        <v>3269</v>
      </c>
      <c r="H340" s="306"/>
      <c r="I340" s="294" t="s">
        <v>3290</v>
      </c>
      <c r="J340" s="298" t="s">
        <v>4454</v>
      </c>
      <c r="K340" s="294" t="s">
        <v>3525</v>
      </c>
      <c r="L340" s="294" t="s">
        <v>4455</v>
      </c>
      <c r="M340" s="294" t="s">
        <v>65</v>
      </c>
      <c r="N340" s="306"/>
      <c r="O340" s="294" t="s">
        <v>123</v>
      </c>
      <c r="P340" s="296" t="b">
        <v>0</v>
      </c>
      <c r="Q340" s="299" t="s">
        <v>3296</v>
      </c>
      <c r="R340" s="300">
        <v>153.0</v>
      </c>
    </row>
    <row r="341" ht="15.0" customHeight="1">
      <c r="A341" s="301" t="s">
        <v>4456</v>
      </c>
      <c r="B341" s="302">
        <v>5.0</v>
      </c>
      <c r="C341" s="301" t="s">
        <v>3267</v>
      </c>
      <c r="D341" s="301" t="s">
        <v>310</v>
      </c>
      <c r="E341" s="303" t="b">
        <v>0</v>
      </c>
      <c r="F341" s="301" t="s">
        <v>3312</v>
      </c>
      <c r="G341" s="301" t="s">
        <v>3288</v>
      </c>
      <c r="H341" s="301" t="s">
        <v>4457</v>
      </c>
      <c r="I341" s="301" t="s">
        <v>3337</v>
      </c>
      <c r="J341" s="305" t="s">
        <v>4458</v>
      </c>
      <c r="K341" s="301" t="s">
        <v>69</v>
      </c>
      <c r="L341" s="301" t="s">
        <v>4459</v>
      </c>
      <c r="P341" s="303" t="b">
        <v>0</v>
      </c>
      <c r="Q341" s="299" t="s">
        <v>2360</v>
      </c>
      <c r="R341" s="300">
        <v>231.0</v>
      </c>
    </row>
    <row r="342" ht="15.0" customHeight="1">
      <c r="A342" s="294" t="s">
        <v>4460</v>
      </c>
      <c r="B342" s="295">
        <v>5.0</v>
      </c>
      <c r="C342" s="294" t="s">
        <v>3267</v>
      </c>
      <c r="D342" s="294" t="s">
        <v>302</v>
      </c>
      <c r="E342" s="296" t="b">
        <v>0</v>
      </c>
      <c r="F342" s="294" t="s">
        <v>3312</v>
      </c>
      <c r="G342" s="294" t="s">
        <v>3288</v>
      </c>
      <c r="H342" s="294" t="s">
        <v>4461</v>
      </c>
      <c r="I342" s="294" t="s">
        <v>3337</v>
      </c>
      <c r="J342" s="298" t="s">
        <v>4462</v>
      </c>
      <c r="K342" s="294" t="s">
        <v>69</v>
      </c>
      <c r="L342" s="294" t="s">
        <v>4463</v>
      </c>
      <c r="M342" s="294" t="s">
        <v>3474</v>
      </c>
      <c r="O342" s="306"/>
      <c r="P342" s="296" t="b">
        <v>1</v>
      </c>
      <c r="Q342" s="299" t="s">
        <v>2360</v>
      </c>
      <c r="R342" s="300">
        <v>233.0</v>
      </c>
    </row>
    <row r="343" ht="15.0" customHeight="1">
      <c r="A343" s="301" t="s">
        <v>2062</v>
      </c>
      <c r="B343" s="302">
        <v>5.0</v>
      </c>
      <c r="C343" s="301" t="s">
        <v>3267</v>
      </c>
      <c r="D343" s="301" t="s">
        <v>305</v>
      </c>
      <c r="E343" s="303" t="b">
        <v>0</v>
      </c>
      <c r="F343" s="301" t="s">
        <v>3312</v>
      </c>
      <c r="G343" s="301" t="s">
        <v>3269</v>
      </c>
      <c r="H343" s="307"/>
      <c r="I343" s="301" t="s">
        <v>3481</v>
      </c>
      <c r="J343" s="305" t="s">
        <v>4464</v>
      </c>
      <c r="K343" s="301" t="s">
        <v>3583</v>
      </c>
      <c r="L343" s="301" t="s">
        <v>4465</v>
      </c>
      <c r="P343" s="303" t="b">
        <v>0</v>
      </c>
      <c r="Q343" s="299" t="s">
        <v>2360</v>
      </c>
      <c r="R343" s="300">
        <v>235.0</v>
      </c>
    </row>
    <row r="344" ht="15.0" customHeight="1">
      <c r="A344" s="294" t="s">
        <v>4466</v>
      </c>
      <c r="B344" s="295">
        <v>5.0</v>
      </c>
      <c r="C344" s="294" t="s">
        <v>3267</v>
      </c>
      <c r="D344" s="294" t="s">
        <v>301</v>
      </c>
      <c r="E344" s="296" t="b">
        <v>0</v>
      </c>
      <c r="F344" s="294" t="s">
        <v>3312</v>
      </c>
      <c r="G344" s="294" t="s">
        <v>3329</v>
      </c>
      <c r="H344" s="294" t="s">
        <v>4467</v>
      </c>
      <c r="I344" s="294" t="s">
        <v>3270</v>
      </c>
      <c r="J344" s="298" t="s">
        <v>4468</v>
      </c>
      <c r="K344" s="294" t="s">
        <v>4469</v>
      </c>
      <c r="L344" s="294" t="s">
        <v>3446</v>
      </c>
      <c r="P344" s="296" t="b">
        <v>0</v>
      </c>
      <c r="Q344" s="299" t="s">
        <v>2360</v>
      </c>
      <c r="R344" s="300">
        <v>236.0</v>
      </c>
    </row>
    <row r="345" ht="15.0" customHeight="1">
      <c r="A345" s="301" t="s">
        <v>4470</v>
      </c>
      <c r="B345" s="302">
        <v>5.0</v>
      </c>
      <c r="C345" s="301" t="s">
        <v>3267</v>
      </c>
      <c r="D345" s="301" t="s">
        <v>310</v>
      </c>
      <c r="E345" s="303" t="b">
        <v>1</v>
      </c>
      <c r="F345" s="301" t="s">
        <v>3786</v>
      </c>
      <c r="G345" s="301" t="s">
        <v>3269</v>
      </c>
      <c r="H345" s="307"/>
      <c r="I345" s="301" t="s">
        <v>3337</v>
      </c>
      <c r="J345" s="305" t="s">
        <v>4471</v>
      </c>
      <c r="K345" s="301" t="s">
        <v>3319</v>
      </c>
      <c r="L345" s="301" t="s">
        <v>3446</v>
      </c>
      <c r="P345" s="303" t="b">
        <v>0</v>
      </c>
      <c r="Q345" s="299" t="s">
        <v>3296</v>
      </c>
      <c r="R345" s="300">
        <v>155.0</v>
      </c>
    </row>
    <row r="346" ht="15.0" customHeight="1">
      <c r="A346" s="294" t="s">
        <v>1721</v>
      </c>
      <c r="B346" s="295">
        <v>5.0</v>
      </c>
      <c r="C346" s="294" t="s">
        <v>3267</v>
      </c>
      <c r="D346" s="294" t="s">
        <v>301</v>
      </c>
      <c r="E346" s="296" t="b">
        <v>1</v>
      </c>
      <c r="F346" s="294" t="s">
        <v>3786</v>
      </c>
      <c r="G346" s="294" t="s">
        <v>3288</v>
      </c>
      <c r="H346" s="294" t="s">
        <v>4472</v>
      </c>
      <c r="I346" s="294" t="s">
        <v>3404</v>
      </c>
      <c r="J346" s="298" t="s">
        <v>4473</v>
      </c>
      <c r="K346" s="294" t="s">
        <v>4474</v>
      </c>
      <c r="L346" s="294" t="s">
        <v>4475</v>
      </c>
      <c r="O346" s="294" t="s">
        <v>162</v>
      </c>
      <c r="P346" s="296" t="b">
        <v>0</v>
      </c>
      <c r="Q346" s="299" t="s">
        <v>3296</v>
      </c>
      <c r="R346" s="300">
        <v>155.0</v>
      </c>
    </row>
    <row r="347" ht="15.0" customHeight="1">
      <c r="A347" s="301" t="s">
        <v>1716</v>
      </c>
      <c r="B347" s="302">
        <v>5.0</v>
      </c>
      <c r="C347" s="301" t="s">
        <v>3267</v>
      </c>
      <c r="D347" s="301" t="s">
        <v>304</v>
      </c>
      <c r="E347" s="303" t="b">
        <v>0</v>
      </c>
      <c r="F347" s="301" t="s">
        <v>3370</v>
      </c>
      <c r="G347" s="301" t="s">
        <v>3288</v>
      </c>
      <c r="H347" s="301" t="s">
        <v>4476</v>
      </c>
      <c r="I347" s="301" t="s">
        <v>3270</v>
      </c>
      <c r="J347" s="305" t="s">
        <v>4477</v>
      </c>
      <c r="K347" s="301" t="s">
        <v>3466</v>
      </c>
      <c r="L347" s="301" t="s">
        <v>4478</v>
      </c>
      <c r="M347" s="301" t="s">
        <v>3949</v>
      </c>
      <c r="O347" s="307"/>
      <c r="P347" s="303" t="b">
        <v>0</v>
      </c>
      <c r="Q347" s="299" t="s">
        <v>2360</v>
      </c>
      <c r="R347" s="300">
        <v>242.0</v>
      </c>
    </row>
    <row r="348" ht="15.0" customHeight="1">
      <c r="A348" s="294" t="s">
        <v>4479</v>
      </c>
      <c r="B348" s="295">
        <v>5.0</v>
      </c>
      <c r="C348" s="294" t="s">
        <v>3267</v>
      </c>
      <c r="D348" s="294" t="s">
        <v>308</v>
      </c>
      <c r="E348" s="296" t="b">
        <v>1</v>
      </c>
      <c r="F348" s="294" t="s">
        <v>3370</v>
      </c>
      <c r="G348" s="294" t="s">
        <v>3269</v>
      </c>
      <c r="H348" s="306"/>
      <c r="I348" s="294" t="s">
        <v>3337</v>
      </c>
      <c r="J348" s="298" t="s">
        <v>4480</v>
      </c>
      <c r="K348" s="294" t="s">
        <v>3538</v>
      </c>
      <c r="L348" s="294" t="s">
        <v>3446</v>
      </c>
      <c r="P348" s="296" t="b">
        <v>0</v>
      </c>
      <c r="Q348" s="299" t="s">
        <v>2360</v>
      </c>
      <c r="R348" s="300">
        <v>244.0</v>
      </c>
    </row>
    <row r="349" ht="15.0" customHeight="1">
      <c r="A349" s="301" t="s">
        <v>4481</v>
      </c>
      <c r="B349" s="302">
        <v>5.0</v>
      </c>
      <c r="C349" s="301" t="s">
        <v>3267</v>
      </c>
      <c r="D349" s="301" t="s">
        <v>304</v>
      </c>
      <c r="E349" s="303" t="b">
        <v>1</v>
      </c>
      <c r="F349" s="301" t="s">
        <v>3370</v>
      </c>
      <c r="G349" s="301" t="s">
        <v>3288</v>
      </c>
      <c r="H349" s="301" t="s">
        <v>4482</v>
      </c>
      <c r="I349" s="301" t="s">
        <v>3290</v>
      </c>
      <c r="J349" s="305" t="s">
        <v>4483</v>
      </c>
      <c r="K349" s="301" t="s">
        <v>3965</v>
      </c>
      <c r="L349" s="301" t="s">
        <v>3948</v>
      </c>
      <c r="M349" s="301" t="s">
        <v>4484</v>
      </c>
      <c r="O349" s="307"/>
      <c r="P349" s="303" t="b">
        <v>0</v>
      </c>
      <c r="Q349" s="299" t="s">
        <v>2360</v>
      </c>
      <c r="R349" s="300">
        <v>246.0</v>
      </c>
    </row>
    <row r="350" ht="15.0" customHeight="1">
      <c r="A350" s="294" t="s">
        <v>4485</v>
      </c>
      <c r="B350" s="295">
        <v>5.0</v>
      </c>
      <c r="C350" s="294" t="s">
        <v>3267</v>
      </c>
      <c r="D350" s="294" t="s">
        <v>303</v>
      </c>
      <c r="E350" s="296" t="b">
        <v>1</v>
      </c>
      <c r="F350" s="294" t="s">
        <v>3370</v>
      </c>
      <c r="G350" s="294" t="s">
        <v>3269</v>
      </c>
      <c r="H350" s="306"/>
      <c r="I350" s="294" t="s">
        <v>3290</v>
      </c>
      <c r="J350" s="298" t="s">
        <v>4486</v>
      </c>
      <c r="K350" s="294" t="s">
        <v>3583</v>
      </c>
      <c r="L350" s="294" t="s">
        <v>4487</v>
      </c>
      <c r="O350" s="294" t="s">
        <v>4488</v>
      </c>
      <c r="P350" s="296" t="b">
        <v>0</v>
      </c>
      <c r="Q350" s="299" t="s">
        <v>2360</v>
      </c>
      <c r="R350" s="300">
        <v>249.0</v>
      </c>
    </row>
    <row r="351" ht="15.0" customHeight="1">
      <c r="A351" s="301" t="s">
        <v>4489</v>
      </c>
      <c r="B351" s="302">
        <v>5.0</v>
      </c>
      <c r="C351" s="301" t="s">
        <v>3267</v>
      </c>
      <c r="D351" s="301" t="s">
        <v>308</v>
      </c>
      <c r="E351" s="303" t="b">
        <v>1</v>
      </c>
      <c r="F351" s="301" t="s">
        <v>3370</v>
      </c>
      <c r="G351" s="301" t="s">
        <v>3269</v>
      </c>
      <c r="H351" s="307"/>
      <c r="I351" s="301" t="s">
        <v>3290</v>
      </c>
      <c r="J351" s="305" t="s">
        <v>4490</v>
      </c>
      <c r="K351" s="301" t="s">
        <v>3283</v>
      </c>
      <c r="L351" s="301" t="s">
        <v>4491</v>
      </c>
      <c r="P351" s="303" t="b">
        <v>0</v>
      </c>
      <c r="Q351" s="299" t="s">
        <v>2360</v>
      </c>
      <c r="R351" s="300">
        <v>251.0</v>
      </c>
    </row>
    <row r="352" ht="15.0" customHeight="1">
      <c r="A352" s="294" t="s">
        <v>1719</v>
      </c>
      <c r="B352" s="295">
        <v>5.0</v>
      </c>
      <c r="C352" s="294" t="s">
        <v>3267</v>
      </c>
      <c r="D352" s="294" t="s">
        <v>304</v>
      </c>
      <c r="E352" s="296" t="b">
        <v>0</v>
      </c>
      <c r="F352" s="294" t="s">
        <v>3370</v>
      </c>
      <c r="G352" s="294" t="s">
        <v>3288</v>
      </c>
      <c r="H352" s="294" t="s">
        <v>4492</v>
      </c>
      <c r="I352" s="294" t="s">
        <v>3270</v>
      </c>
      <c r="J352" s="298" t="s">
        <v>4493</v>
      </c>
      <c r="K352" s="294" t="s">
        <v>29</v>
      </c>
      <c r="L352" s="294" t="s">
        <v>4494</v>
      </c>
      <c r="M352" s="294" t="s">
        <v>48</v>
      </c>
      <c r="N352" s="306"/>
      <c r="O352" s="294" t="s">
        <v>87</v>
      </c>
      <c r="P352" s="296" t="b">
        <v>0</v>
      </c>
      <c r="Q352" s="299" t="s">
        <v>3296</v>
      </c>
      <c r="R352" s="300">
        <v>157.0</v>
      </c>
    </row>
    <row r="353" ht="15.0" customHeight="1">
      <c r="A353" s="301" t="s">
        <v>4495</v>
      </c>
      <c r="B353" s="302">
        <v>5.0</v>
      </c>
      <c r="C353" s="301" t="s">
        <v>3290</v>
      </c>
      <c r="D353" s="301" t="s">
        <v>303</v>
      </c>
      <c r="E353" s="303" t="b">
        <v>0</v>
      </c>
      <c r="F353" s="301" t="s">
        <v>3370</v>
      </c>
      <c r="G353" s="301" t="s">
        <v>3308</v>
      </c>
      <c r="H353" s="304"/>
      <c r="I353" s="301" t="s">
        <v>4496</v>
      </c>
      <c r="J353" s="305" t="s">
        <v>4497</v>
      </c>
      <c r="K353" s="301" t="s">
        <v>4498</v>
      </c>
      <c r="L353" s="301" t="s">
        <v>4499</v>
      </c>
      <c r="O353" s="301" t="s">
        <v>219</v>
      </c>
      <c r="P353" s="303" t="b">
        <v>0</v>
      </c>
      <c r="Q353" s="299" t="s">
        <v>3296</v>
      </c>
      <c r="R353" s="300">
        <v>158.0</v>
      </c>
    </row>
    <row r="354" ht="15.0" customHeight="1">
      <c r="A354" s="294" t="s">
        <v>1723</v>
      </c>
      <c r="B354" s="295">
        <v>5.0</v>
      </c>
      <c r="C354" s="294" t="s">
        <v>3267</v>
      </c>
      <c r="D354" s="294" t="s">
        <v>304</v>
      </c>
      <c r="E354" s="296" t="b">
        <v>0</v>
      </c>
      <c r="F354" s="294" t="s">
        <v>3370</v>
      </c>
      <c r="G354" s="294" t="s">
        <v>3269</v>
      </c>
      <c r="H354" s="306"/>
      <c r="I354" s="294" t="s">
        <v>3270</v>
      </c>
      <c r="J354" s="298" t="s">
        <v>4500</v>
      </c>
      <c r="K354" s="294" t="s">
        <v>3561</v>
      </c>
      <c r="L354" s="294" t="s">
        <v>4501</v>
      </c>
      <c r="P354" s="296" t="b">
        <v>0</v>
      </c>
      <c r="Q354" s="299" t="s">
        <v>3296</v>
      </c>
      <c r="R354" s="300">
        <v>158.0</v>
      </c>
    </row>
    <row r="355" ht="15.0" customHeight="1">
      <c r="A355" s="301" t="s">
        <v>4502</v>
      </c>
      <c r="B355" s="302">
        <v>5.0</v>
      </c>
      <c r="C355" s="301" t="s">
        <v>3267</v>
      </c>
      <c r="D355" s="301" t="s">
        <v>308</v>
      </c>
      <c r="E355" s="303" t="b">
        <v>0</v>
      </c>
      <c r="F355" s="301" t="s">
        <v>3370</v>
      </c>
      <c r="G355" s="301" t="s">
        <v>3367</v>
      </c>
      <c r="H355" s="301" t="s">
        <v>4503</v>
      </c>
      <c r="I355" s="301" t="s">
        <v>3270</v>
      </c>
      <c r="J355" s="305" t="s">
        <v>4504</v>
      </c>
      <c r="K355" s="301" t="s">
        <v>3538</v>
      </c>
      <c r="L355" s="301" t="s">
        <v>3446</v>
      </c>
      <c r="P355" s="303" t="b">
        <v>0</v>
      </c>
      <c r="Q355" s="299" t="s">
        <v>2360</v>
      </c>
      <c r="R355" s="300">
        <v>254.0</v>
      </c>
    </row>
    <row r="356" ht="15.0" customHeight="1">
      <c r="A356" s="294" t="s">
        <v>4505</v>
      </c>
      <c r="B356" s="295">
        <v>5.0</v>
      </c>
      <c r="C356" s="294" t="s">
        <v>3337</v>
      </c>
      <c r="D356" s="294" t="s">
        <v>299</v>
      </c>
      <c r="E356" s="296" t="b">
        <v>0</v>
      </c>
      <c r="F356" s="294" t="s">
        <v>3370</v>
      </c>
      <c r="G356" s="294" t="s">
        <v>3288</v>
      </c>
      <c r="H356" s="294" t="s">
        <v>4506</v>
      </c>
      <c r="I356" s="294" t="s">
        <v>3487</v>
      </c>
      <c r="J356" s="298" t="s">
        <v>4507</v>
      </c>
      <c r="K356" s="294" t="s">
        <v>4191</v>
      </c>
      <c r="L356" s="294" t="s">
        <v>4508</v>
      </c>
      <c r="M356" s="294" t="s">
        <v>4407</v>
      </c>
      <c r="O356" s="306"/>
      <c r="P356" s="296" t="b">
        <v>0</v>
      </c>
      <c r="Q356" s="299" t="s">
        <v>2360</v>
      </c>
      <c r="R356" s="300">
        <v>254.0</v>
      </c>
    </row>
    <row r="357" ht="15.0" customHeight="1">
      <c r="A357" s="301" t="s">
        <v>4509</v>
      </c>
      <c r="B357" s="302">
        <v>5.0</v>
      </c>
      <c r="C357" s="301" t="s">
        <v>3267</v>
      </c>
      <c r="D357" s="301" t="s">
        <v>310</v>
      </c>
      <c r="E357" s="303" t="b">
        <v>1</v>
      </c>
      <c r="F357" s="301" t="s">
        <v>3370</v>
      </c>
      <c r="G357" s="301" t="s">
        <v>3269</v>
      </c>
      <c r="H357" s="307"/>
      <c r="I357" s="301" t="s">
        <v>3404</v>
      </c>
      <c r="J357" s="305" t="s">
        <v>4510</v>
      </c>
      <c r="K357" s="301" t="s">
        <v>3466</v>
      </c>
      <c r="L357" s="301" t="s">
        <v>4511</v>
      </c>
      <c r="P357" s="303" t="b">
        <v>0</v>
      </c>
      <c r="Q357" s="299" t="s">
        <v>3296</v>
      </c>
      <c r="R357" s="300">
        <v>160.0</v>
      </c>
    </row>
    <row r="358" ht="15.0" customHeight="1">
      <c r="A358" s="294" t="s">
        <v>4512</v>
      </c>
      <c r="B358" s="295">
        <v>5.0</v>
      </c>
      <c r="C358" s="294" t="s">
        <v>3290</v>
      </c>
      <c r="D358" s="294" t="s">
        <v>301</v>
      </c>
      <c r="E358" s="296" t="b">
        <v>1</v>
      </c>
      <c r="F358" s="294" t="s">
        <v>3588</v>
      </c>
      <c r="G358" s="294" t="s">
        <v>3288</v>
      </c>
      <c r="H358" s="294" t="s">
        <v>4513</v>
      </c>
      <c r="I358" s="294" t="s">
        <v>3337</v>
      </c>
      <c r="J358" s="298" t="s">
        <v>4514</v>
      </c>
      <c r="K358" s="294" t="s">
        <v>3813</v>
      </c>
      <c r="L358" s="294" t="s">
        <v>4515</v>
      </c>
      <c r="N358" s="294" t="s">
        <v>140</v>
      </c>
      <c r="O358" s="294" t="s">
        <v>198</v>
      </c>
      <c r="P358" s="296" t="b">
        <v>0</v>
      </c>
      <c r="Q358" s="299" t="s">
        <v>2360</v>
      </c>
      <c r="R358" s="300">
        <v>258.0</v>
      </c>
    </row>
    <row r="359" ht="15.0" customHeight="1">
      <c r="A359" s="301" t="s">
        <v>1720</v>
      </c>
      <c r="B359" s="302">
        <v>5.0</v>
      </c>
      <c r="C359" s="301" t="s">
        <v>3267</v>
      </c>
      <c r="D359" s="301" t="s">
        <v>303</v>
      </c>
      <c r="E359" s="303" t="b">
        <v>1</v>
      </c>
      <c r="F359" s="301" t="s">
        <v>3588</v>
      </c>
      <c r="G359" s="301" t="s">
        <v>3288</v>
      </c>
      <c r="H359" s="301" t="s">
        <v>3827</v>
      </c>
      <c r="I359" s="301" t="s">
        <v>3290</v>
      </c>
      <c r="J359" s="305" t="s">
        <v>4516</v>
      </c>
      <c r="K359" s="301" t="s">
        <v>3332</v>
      </c>
      <c r="L359" s="301" t="s">
        <v>4517</v>
      </c>
      <c r="P359" s="303" t="b">
        <v>0</v>
      </c>
      <c r="Q359" s="299" t="s">
        <v>2360</v>
      </c>
      <c r="R359" s="300">
        <v>260.0</v>
      </c>
    </row>
    <row r="360" ht="15.0" customHeight="1">
      <c r="A360" s="294" t="s">
        <v>4518</v>
      </c>
      <c r="B360" s="295">
        <v>5.0</v>
      </c>
      <c r="C360" s="294" t="s">
        <v>3267</v>
      </c>
      <c r="D360" s="294" t="s">
        <v>304</v>
      </c>
      <c r="E360" s="296" t="b">
        <v>1</v>
      </c>
      <c r="F360" s="294" t="s">
        <v>3588</v>
      </c>
      <c r="G360" s="294" t="s">
        <v>3308</v>
      </c>
      <c r="H360" s="297"/>
      <c r="I360" s="294" t="s">
        <v>3290</v>
      </c>
      <c r="J360" s="298" t="s">
        <v>4519</v>
      </c>
      <c r="K360" s="294" t="s">
        <v>3466</v>
      </c>
      <c r="L360" s="294" t="s">
        <v>3446</v>
      </c>
      <c r="M360" s="294" t="s">
        <v>35</v>
      </c>
      <c r="N360" s="306"/>
      <c r="O360" s="306"/>
      <c r="P360" s="296" t="b">
        <v>0</v>
      </c>
      <c r="Q360" s="299" t="s">
        <v>2360</v>
      </c>
      <c r="R360" s="300">
        <v>261.0</v>
      </c>
    </row>
    <row r="361" ht="15.0" customHeight="1">
      <c r="A361" s="301" t="s">
        <v>4520</v>
      </c>
      <c r="B361" s="302">
        <v>5.0</v>
      </c>
      <c r="C361" s="301" t="s">
        <v>3290</v>
      </c>
      <c r="D361" s="301" t="s">
        <v>301</v>
      </c>
      <c r="E361" s="303" t="b">
        <v>1</v>
      </c>
      <c r="F361" s="301" t="s">
        <v>3588</v>
      </c>
      <c r="G361" s="301" t="s">
        <v>3288</v>
      </c>
      <c r="H361" s="301" t="s">
        <v>4521</v>
      </c>
      <c r="I361" s="301" t="s">
        <v>3337</v>
      </c>
      <c r="J361" s="305" t="s">
        <v>4522</v>
      </c>
      <c r="K361" s="301" t="s">
        <v>3538</v>
      </c>
      <c r="L361" s="301" t="s">
        <v>3446</v>
      </c>
      <c r="P361" s="303" t="b">
        <v>0</v>
      </c>
      <c r="Q361" s="299" t="s">
        <v>3296</v>
      </c>
      <c r="R361" s="300">
        <v>163.0</v>
      </c>
    </row>
    <row r="362" ht="15.0" customHeight="1">
      <c r="A362" s="294" t="s">
        <v>4523</v>
      </c>
      <c r="B362" s="295">
        <v>5.0</v>
      </c>
      <c r="C362" s="294" t="s">
        <v>3267</v>
      </c>
      <c r="D362" s="294" t="s">
        <v>301</v>
      </c>
      <c r="E362" s="296" t="b">
        <v>1</v>
      </c>
      <c r="F362" s="294" t="s">
        <v>3588</v>
      </c>
      <c r="G362" s="294" t="s">
        <v>3288</v>
      </c>
      <c r="H362" s="294" t="s">
        <v>4524</v>
      </c>
      <c r="I362" s="294" t="s">
        <v>3337</v>
      </c>
      <c r="J362" s="298" t="s">
        <v>4525</v>
      </c>
      <c r="K362" s="306"/>
      <c r="L362" s="306"/>
      <c r="M362" s="294" t="s">
        <v>3499</v>
      </c>
      <c r="O362" s="306"/>
      <c r="P362" s="296" t="b">
        <v>0</v>
      </c>
      <c r="Q362" s="299" t="s">
        <v>2360</v>
      </c>
      <c r="R362" s="300">
        <v>264.0</v>
      </c>
    </row>
    <row r="363" ht="15.0" customHeight="1">
      <c r="A363" s="301" t="s">
        <v>4526</v>
      </c>
      <c r="B363" s="302">
        <v>5.0</v>
      </c>
      <c r="C363" s="301" t="s">
        <v>3418</v>
      </c>
      <c r="D363" s="301" t="s">
        <v>299</v>
      </c>
      <c r="E363" s="303" t="b">
        <v>1</v>
      </c>
      <c r="F363" s="301" t="s">
        <v>3394</v>
      </c>
      <c r="G363" s="301" t="s">
        <v>3308</v>
      </c>
      <c r="H363" s="307"/>
      <c r="I363" s="301" t="s">
        <v>3290</v>
      </c>
      <c r="J363" s="305" t="s">
        <v>4527</v>
      </c>
      <c r="K363" s="301" t="s">
        <v>48</v>
      </c>
      <c r="L363" s="301" t="s">
        <v>4528</v>
      </c>
      <c r="P363" s="303" t="b">
        <v>0</v>
      </c>
      <c r="Q363" s="299" t="s">
        <v>2360</v>
      </c>
      <c r="R363" s="300">
        <v>265.0</v>
      </c>
    </row>
    <row r="364" ht="15.0" customHeight="1">
      <c r="A364" s="294" t="s">
        <v>4529</v>
      </c>
      <c r="B364" s="295">
        <v>5.0</v>
      </c>
      <c r="C364" s="294" t="s">
        <v>3290</v>
      </c>
      <c r="D364" s="294" t="s">
        <v>302</v>
      </c>
      <c r="E364" s="296" t="b">
        <v>0</v>
      </c>
      <c r="F364" s="294" t="s">
        <v>3394</v>
      </c>
      <c r="G364" s="294" t="s">
        <v>3288</v>
      </c>
      <c r="H364" s="294" t="s">
        <v>4530</v>
      </c>
      <c r="I364" s="294" t="s">
        <v>3290</v>
      </c>
      <c r="J364" s="298" t="s">
        <v>4531</v>
      </c>
      <c r="K364" s="294" t="s">
        <v>29</v>
      </c>
      <c r="L364" s="294" t="s">
        <v>4532</v>
      </c>
      <c r="P364" s="296" t="b">
        <v>1</v>
      </c>
      <c r="Q364" s="299" t="s">
        <v>2360</v>
      </c>
      <c r="R364" s="300">
        <v>270.0</v>
      </c>
    </row>
    <row r="365" ht="15.0" customHeight="1">
      <c r="A365" s="301" t="s">
        <v>4533</v>
      </c>
      <c r="B365" s="302">
        <v>5.0</v>
      </c>
      <c r="C365" s="301" t="s">
        <v>3290</v>
      </c>
      <c r="D365" s="301" t="s">
        <v>302</v>
      </c>
      <c r="E365" s="303" t="b">
        <v>0</v>
      </c>
      <c r="F365" s="301" t="s">
        <v>3394</v>
      </c>
      <c r="G365" s="301" t="s">
        <v>3269</v>
      </c>
      <c r="H365" s="307"/>
      <c r="I365" s="301" t="s">
        <v>3270</v>
      </c>
      <c r="J365" s="305" t="s">
        <v>4534</v>
      </c>
      <c r="K365" s="301" t="s">
        <v>3671</v>
      </c>
      <c r="L365" s="301" t="s">
        <v>4535</v>
      </c>
      <c r="N365" s="301" t="s">
        <v>3601</v>
      </c>
      <c r="O365" s="301" t="s">
        <v>252</v>
      </c>
      <c r="P365" s="303" t="b">
        <v>1</v>
      </c>
      <c r="Q365" s="299" t="s">
        <v>2360</v>
      </c>
      <c r="R365" s="300">
        <v>270.0</v>
      </c>
    </row>
    <row r="366" ht="15.0" customHeight="1">
      <c r="A366" s="294" t="s">
        <v>4536</v>
      </c>
      <c r="B366" s="295">
        <v>5.0</v>
      </c>
      <c r="C366" s="294" t="s">
        <v>3290</v>
      </c>
      <c r="D366" s="294" t="s">
        <v>302</v>
      </c>
      <c r="E366" s="296" t="b">
        <v>0</v>
      </c>
      <c r="F366" s="294" t="s">
        <v>3394</v>
      </c>
      <c r="G366" s="294" t="s">
        <v>3308</v>
      </c>
      <c r="H366" s="306"/>
      <c r="I366" s="294" t="s">
        <v>3290</v>
      </c>
      <c r="J366" s="298" t="s">
        <v>4537</v>
      </c>
      <c r="K366" s="294" t="s">
        <v>3538</v>
      </c>
      <c r="L366" s="294" t="s">
        <v>3446</v>
      </c>
      <c r="M366" s="294" t="s">
        <v>23</v>
      </c>
      <c r="N366" s="306"/>
      <c r="O366" s="306"/>
      <c r="P366" s="296" t="b">
        <v>1</v>
      </c>
      <c r="Q366" s="299" t="s">
        <v>2360</v>
      </c>
      <c r="R366" s="300">
        <v>271.0</v>
      </c>
    </row>
    <row r="367" ht="15.0" customHeight="1">
      <c r="A367" s="301" t="s">
        <v>4538</v>
      </c>
      <c r="B367" s="302">
        <v>5.0</v>
      </c>
      <c r="C367" s="301" t="s">
        <v>3267</v>
      </c>
      <c r="D367" s="301" t="s">
        <v>299</v>
      </c>
      <c r="E367" s="303" t="b">
        <v>1</v>
      </c>
      <c r="F367" s="301" t="s">
        <v>3394</v>
      </c>
      <c r="G367" s="301" t="s">
        <v>3288</v>
      </c>
      <c r="H367" s="301" t="s">
        <v>4539</v>
      </c>
      <c r="I367" s="301" t="s">
        <v>3290</v>
      </c>
      <c r="J367" s="305" t="s">
        <v>4540</v>
      </c>
      <c r="K367" s="301" t="s">
        <v>3499</v>
      </c>
      <c r="L367" s="301" t="s">
        <v>3347</v>
      </c>
      <c r="P367" s="303" t="b">
        <v>0</v>
      </c>
      <c r="Q367" s="299" t="s">
        <v>2360</v>
      </c>
      <c r="R367" s="300">
        <v>273.0</v>
      </c>
    </row>
    <row r="368" ht="15.0" customHeight="1">
      <c r="A368" s="294" t="s">
        <v>4541</v>
      </c>
      <c r="B368" s="295">
        <v>5.0</v>
      </c>
      <c r="C368" s="294" t="s">
        <v>3418</v>
      </c>
      <c r="D368" s="294" t="s">
        <v>301</v>
      </c>
      <c r="E368" s="296" t="b">
        <v>1</v>
      </c>
      <c r="F368" s="294" t="s">
        <v>3394</v>
      </c>
      <c r="G368" s="294" t="s">
        <v>3308</v>
      </c>
      <c r="H368" s="306"/>
      <c r="I368" s="294" t="s">
        <v>3290</v>
      </c>
      <c r="J368" s="298" t="s">
        <v>4542</v>
      </c>
      <c r="K368" s="294" t="s">
        <v>3283</v>
      </c>
      <c r="L368" s="294" t="s">
        <v>3446</v>
      </c>
      <c r="P368" s="296" t="b">
        <v>0</v>
      </c>
      <c r="Q368" s="299" t="s">
        <v>2360</v>
      </c>
      <c r="R368" s="300">
        <v>274.0</v>
      </c>
    </row>
    <row r="369" ht="15.0" customHeight="1">
      <c r="A369" s="301" t="s">
        <v>4543</v>
      </c>
      <c r="B369" s="302">
        <v>5.0</v>
      </c>
      <c r="C369" s="301" t="s">
        <v>3404</v>
      </c>
      <c r="D369" s="301" t="s">
        <v>302</v>
      </c>
      <c r="E369" s="303" t="b">
        <v>0</v>
      </c>
      <c r="F369" s="301" t="s">
        <v>3394</v>
      </c>
      <c r="G369" s="301" t="s">
        <v>3288</v>
      </c>
      <c r="H369" s="301" t="s">
        <v>4544</v>
      </c>
      <c r="I369" s="301" t="s">
        <v>3270</v>
      </c>
      <c r="J369" s="305" t="s">
        <v>4545</v>
      </c>
      <c r="K369" s="301" t="s">
        <v>4093</v>
      </c>
      <c r="L369" s="301" t="s">
        <v>4546</v>
      </c>
      <c r="N369" s="301" t="s">
        <v>137</v>
      </c>
      <c r="P369" s="303" t="b">
        <v>0</v>
      </c>
      <c r="Q369" s="299" t="s">
        <v>3296</v>
      </c>
      <c r="R369" s="300">
        <v>165.0</v>
      </c>
    </row>
    <row r="370" ht="15.0" customHeight="1">
      <c r="A370" s="294" t="s">
        <v>4547</v>
      </c>
      <c r="B370" s="295">
        <v>5.0</v>
      </c>
      <c r="C370" s="294" t="s">
        <v>3267</v>
      </c>
      <c r="D370" s="294" t="s">
        <v>305</v>
      </c>
      <c r="E370" s="296" t="b">
        <v>1</v>
      </c>
      <c r="F370" s="294" t="s">
        <v>3394</v>
      </c>
      <c r="G370" s="294" t="s">
        <v>3336</v>
      </c>
      <c r="H370" s="306"/>
      <c r="I370" s="294" t="s">
        <v>3337</v>
      </c>
      <c r="J370" s="298" t="s">
        <v>4548</v>
      </c>
      <c r="K370" s="294" t="s">
        <v>3525</v>
      </c>
      <c r="L370" s="294" t="s">
        <v>4549</v>
      </c>
      <c r="M370" s="294" t="s">
        <v>4407</v>
      </c>
      <c r="N370" s="294" t="s">
        <v>77</v>
      </c>
      <c r="P370" s="296" t="b">
        <v>0</v>
      </c>
      <c r="Q370" s="299" t="s">
        <v>3296</v>
      </c>
      <c r="R370" s="300">
        <v>166.0</v>
      </c>
    </row>
    <row r="371" ht="15.0" customHeight="1">
      <c r="A371" s="301" t="s">
        <v>4550</v>
      </c>
      <c r="B371" s="302">
        <v>5.0</v>
      </c>
      <c r="C371" s="301" t="s">
        <v>3404</v>
      </c>
      <c r="D371" s="301" t="s">
        <v>302</v>
      </c>
      <c r="E371" s="303" t="b">
        <v>1</v>
      </c>
      <c r="F371" s="301" t="s">
        <v>3394</v>
      </c>
      <c r="G371" s="301" t="s">
        <v>3288</v>
      </c>
      <c r="H371" s="301" t="s">
        <v>4551</v>
      </c>
      <c r="I371" s="301" t="s">
        <v>3404</v>
      </c>
      <c r="J371" s="305" t="s">
        <v>4552</v>
      </c>
      <c r="K371" s="301" t="s">
        <v>4553</v>
      </c>
      <c r="L371" s="301" t="s">
        <v>4554</v>
      </c>
      <c r="P371" s="303" t="b">
        <v>0</v>
      </c>
      <c r="Q371" s="299" t="s">
        <v>3286</v>
      </c>
      <c r="R371" s="300">
        <v>110.0</v>
      </c>
    </row>
    <row r="372" ht="15.0" customHeight="1">
      <c r="A372" s="294" t="s">
        <v>4555</v>
      </c>
      <c r="B372" s="295">
        <v>5.0</v>
      </c>
      <c r="C372" s="294" t="s">
        <v>3267</v>
      </c>
      <c r="D372" s="294" t="s">
        <v>301</v>
      </c>
      <c r="E372" s="296" t="b">
        <v>1</v>
      </c>
      <c r="F372" s="294" t="s">
        <v>3394</v>
      </c>
      <c r="G372" s="294" t="s">
        <v>3269</v>
      </c>
      <c r="H372" s="306"/>
      <c r="I372" s="294" t="s">
        <v>3290</v>
      </c>
      <c r="J372" s="298" t="s">
        <v>4556</v>
      </c>
      <c r="K372" s="294" t="s">
        <v>3671</v>
      </c>
      <c r="L372" s="294" t="s">
        <v>4557</v>
      </c>
      <c r="O372" s="306"/>
      <c r="P372" s="296" t="b">
        <v>0</v>
      </c>
      <c r="Q372" s="299" t="s">
        <v>2360</v>
      </c>
      <c r="R372" s="300">
        <v>279.0</v>
      </c>
    </row>
    <row r="373" ht="15.0" customHeight="1">
      <c r="A373" s="301" t="s">
        <v>4558</v>
      </c>
      <c r="B373" s="302">
        <v>5.0</v>
      </c>
      <c r="C373" s="301" t="s">
        <v>3290</v>
      </c>
      <c r="D373" s="301" t="s">
        <v>305</v>
      </c>
      <c r="E373" s="303" t="b">
        <v>0</v>
      </c>
      <c r="F373" s="301" t="s">
        <v>4448</v>
      </c>
      <c r="G373" s="301" t="s">
        <v>3288</v>
      </c>
      <c r="H373" s="301" t="s">
        <v>4559</v>
      </c>
      <c r="I373" s="301" t="s">
        <v>3481</v>
      </c>
      <c r="J373" s="305" t="s">
        <v>4560</v>
      </c>
      <c r="K373" s="301" t="s">
        <v>3587</v>
      </c>
      <c r="L373" s="301" t="s">
        <v>4561</v>
      </c>
      <c r="N373" s="301" t="s">
        <v>116</v>
      </c>
      <c r="P373" s="303" t="b">
        <v>0</v>
      </c>
      <c r="Q373" s="299" t="s">
        <v>3296</v>
      </c>
      <c r="R373" s="300">
        <v>167.0</v>
      </c>
    </row>
    <row r="374" ht="15.0" customHeight="1">
      <c r="A374" s="294" t="s">
        <v>4562</v>
      </c>
      <c r="B374" s="295">
        <v>5.0</v>
      </c>
      <c r="C374" s="294" t="s">
        <v>3481</v>
      </c>
      <c r="D374" s="294" t="s">
        <v>310</v>
      </c>
      <c r="E374" s="296" t="b">
        <v>0</v>
      </c>
      <c r="F374" s="294" t="s">
        <v>3408</v>
      </c>
      <c r="G374" s="294" t="s">
        <v>3288</v>
      </c>
      <c r="H374" s="294" t="s">
        <v>4563</v>
      </c>
      <c r="I374" s="294" t="s">
        <v>3270</v>
      </c>
      <c r="J374" s="298" t="s">
        <v>4564</v>
      </c>
      <c r="K374" s="294" t="s">
        <v>4565</v>
      </c>
      <c r="M374" s="294" t="s">
        <v>52</v>
      </c>
      <c r="N374" s="294" t="s">
        <v>179</v>
      </c>
      <c r="O374" s="294" t="s">
        <v>252</v>
      </c>
      <c r="P374" s="296" t="b">
        <v>0</v>
      </c>
      <c r="Q374" s="299" t="s">
        <v>2360</v>
      </c>
      <c r="R374" s="300">
        <v>280.0</v>
      </c>
    </row>
    <row r="375" ht="15.0" customHeight="1">
      <c r="A375" s="301" t="s">
        <v>4566</v>
      </c>
      <c r="B375" s="302">
        <v>5.0</v>
      </c>
      <c r="C375" s="301" t="s">
        <v>3267</v>
      </c>
      <c r="D375" s="301" t="s">
        <v>308</v>
      </c>
      <c r="E375" s="303" t="b">
        <v>0</v>
      </c>
      <c r="F375" s="301" t="s">
        <v>3408</v>
      </c>
      <c r="G375" s="301" t="s">
        <v>3269</v>
      </c>
      <c r="H375" s="307"/>
      <c r="I375" s="301" t="s">
        <v>4567</v>
      </c>
      <c r="J375" s="305" t="s">
        <v>4568</v>
      </c>
      <c r="K375" s="301" t="s">
        <v>3512</v>
      </c>
      <c r="L375" s="301" t="s">
        <v>4569</v>
      </c>
      <c r="P375" s="303" t="b">
        <v>0</v>
      </c>
      <c r="Q375" s="299" t="s">
        <v>2360</v>
      </c>
      <c r="R375" s="300">
        <v>282.0</v>
      </c>
    </row>
    <row r="376" ht="15.0" customHeight="1">
      <c r="A376" s="294" t="s">
        <v>4570</v>
      </c>
      <c r="B376" s="295">
        <v>5.0</v>
      </c>
      <c r="C376" s="294" t="s">
        <v>3267</v>
      </c>
      <c r="D376" s="294" t="s">
        <v>299</v>
      </c>
      <c r="E376" s="296" t="b">
        <v>0</v>
      </c>
      <c r="F376" s="294" t="s">
        <v>3408</v>
      </c>
      <c r="G376" s="294" t="s">
        <v>3288</v>
      </c>
      <c r="H376" s="294" t="s">
        <v>4571</v>
      </c>
      <c r="I376" s="294" t="s">
        <v>3270</v>
      </c>
      <c r="J376" s="298" t="s">
        <v>4572</v>
      </c>
      <c r="K376" s="294" t="s">
        <v>4573</v>
      </c>
      <c r="L376" s="294" t="s">
        <v>4574</v>
      </c>
      <c r="M376" s="294" t="s">
        <v>3594</v>
      </c>
      <c r="N376" s="294" t="s">
        <v>161</v>
      </c>
      <c r="P376" s="296" t="b">
        <v>0</v>
      </c>
      <c r="Q376" s="299" t="s">
        <v>3392</v>
      </c>
      <c r="R376" s="300">
        <v>189.0</v>
      </c>
    </row>
    <row r="377" ht="15.0" customHeight="1">
      <c r="A377" s="301" t="s">
        <v>4575</v>
      </c>
      <c r="B377" s="302">
        <v>5.0</v>
      </c>
      <c r="C377" s="301" t="s">
        <v>3487</v>
      </c>
      <c r="D377" s="301" t="s">
        <v>304</v>
      </c>
      <c r="E377" s="303" t="b">
        <v>0</v>
      </c>
      <c r="F377" s="301" t="s">
        <v>3408</v>
      </c>
      <c r="G377" s="301" t="s">
        <v>3288</v>
      </c>
      <c r="H377" s="301" t="s">
        <v>4576</v>
      </c>
      <c r="I377" s="301" t="s">
        <v>3772</v>
      </c>
      <c r="J377" s="305" t="s">
        <v>4577</v>
      </c>
      <c r="K377" s="301" t="s">
        <v>29</v>
      </c>
      <c r="L377" s="301" t="s">
        <v>4578</v>
      </c>
      <c r="N377" s="301" t="s">
        <v>164</v>
      </c>
      <c r="P377" s="303" t="b">
        <v>0</v>
      </c>
      <c r="Q377" s="299" t="s">
        <v>3296</v>
      </c>
      <c r="R377" s="300">
        <v>169.0</v>
      </c>
    </row>
    <row r="378" ht="15.0" customHeight="1">
      <c r="A378" s="294" t="s">
        <v>4579</v>
      </c>
      <c r="B378" s="295">
        <v>5.0</v>
      </c>
      <c r="C378" s="294" t="s">
        <v>3418</v>
      </c>
      <c r="D378" s="294" t="s">
        <v>304</v>
      </c>
      <c r="E378" s="296" t="b">
        <v>1</v>
      </c>
      <c r="F378" s="294" t="s">
        <v>3408</v>
      </c>
      <c r="G378" s="294" t="s">
        <v>3269</v>
      </c>
      <c r="H378" s="297"/>
      <c r="I378" s="294" t="s">
        <v>3337</v>
      </c>
      <c r="J378" s="298" t="s">
        <v>4580</v>
      </c>
      <c r="K378" s="294" t="s">
        <v>3499</v>
      </c>
      <c r="L378" s="294" t="s">
        <v>3347</v>
      </c>
      <c r="P378" s="296" t="b">
        <v>0</v>
      </c>
      <c r="Q378" s="299" t="s">
        <v>2360</v>
      </c>
      <c r="R378" s="300">
        <v>283.0</v>
      </c>
    </row>
    <row r="379" ht="15.0" customHeight="1">
      <c r="A379" s="301" t="s">
        <v>4581</v>
      </c>
      <c r="B379" s="302">
        <v>5.0</v>
      </c>
      <c r="C379" s="301" t="s">
        <v>3337</v>
      </c>
      <c r="D379" s="301" t="s">
        <v>308</v>
      </c>
      <c r="E379" s="303" t="b">
        <v>0</v>
      </c>
      <c r="F379" s="301" t="s">
        <v>3408</v>
      </c>
      <c r="G379" s="301" t="s">
        <v>3288</v>
      </c>
      <c r="H379" s="301" t="s">
        <v>4582</v>
      </c>
      <c r="I379" s="301" t="s">
        <v>3270</v>
      </c>
      <c r="J379" s="305" t="s">
        <v>4583</v>
      </c>
      <c r="K379" s="301" t="s">
        <v>3863</v>
      </c>
      <c r="L379" s="301" t="s">
        <v>4584</v>
      </c>
      <c r="P379" s="303" t="b">
        <v>0</v>
      </c>
      <c r="Q379" s="299" t="s">
        <v>2360</v>
      </c>
      <c r="R379" s="300">
        <v>285.0</v>
      </c>
    </row>
    <row r="380" ht="15.0" customHeight="1">
      <c r="A380" s="294" t="s">
        <v>4585</v>
      </c>
      <c r="B380" s="295">
        <v>5.0</v>
      </c>
      <c r="C380" s="294" t="s">
        <v>3337</v>
      </c>
      <c r="D380" s="294" t="s">
        <v>310</v>
      </c>
      <c r="E380" s="296" t="b">
        <v>0</v>
      </c>
      <c r="F380" s="294" t="s">
        <v>3408</v>
      </c>
      <c r="G380" s="294" t="s">
        <v>3288</v>
      </c>
      <c r="H380" s="294" t="s">
        <v>4586</v>
      </c>
      <c r="I380" s="294" t="s">
        <v>3270</v>
      </c>
      <c r="J380" s="298" t="s">
        <v>4587</v>
      </c>
      <c r="K380" s="294" t="s">
        <v>35</v>
      </c>
      <c r="L380" s="297"/>
      <c r="M380" s="306"/>
      <c r="N380" s="306"/>
      <c r="O380" s="306"/>
      <c r="P380" s="296" t="b">
        <v>0</v>
      </c>
      <c r="Q380" s="299" t="s">
        <v>3296</v>
      </c>
      <c r="R380" s="300">
        <v>170.0</v>
      </c>
    </row>
    <row r="381" ht="15.0" customHeight="1">
      <c r="A381" s="301" t="s">
        <v>4588</v>
      </c>
      <c r="B381" s="302">
        <v>5.0</v>
      </c>
      <c r="C381" s="301" t="s">
        <v>3267</v>
      </c>
      <c r="D381" s="301" t="s">
        <v>310</v>
      </c>
      <c r="E381" s="303" t="b">
        <v>1</v>
      </c>
      <c r="F381" s="301" t="s">
        <v>3408</v>
      </c>
      <c r="G381" s="301" t="s">
        <v>3269</v>
      </c>
      <c r="H381" s="307"/>
      <c r="I381" s="301" t="s">
        <v>3337</v>
      </c>
      <c r="J381" s="305" t="s">
        <v>4589</v>
      </c>
      <c r="K381" s="301" t="s">
        <v>3292</v>
      </c>
      <c r="L381" s="301" t="s">
        <v>3446</v>
      </c>
      <c r="M381" s="301" t="s">
        <v>29</v>
      </c>
      <c r="N381" s="307"/>
      <c r="O381" s="307"/>
      <c r="P381" s="303" t="b">
        <v>0</v>
      </c>
      <c r="Q381" s="299" t="s">
        <v>2360</v>
      </c>
      <c r="R381" s="300">
        <v>287.0</v>
      </c>
    </row>
    <row r="382" ht="15.0" customHeight="1">
      <c r="A382" s="294" t="s">
        <v>4590</v>
      </c>
      <c r="B382" s="295">
        <v>5.0</v>
      </c>
      <c r="C382" s="294" t="s">
        <v>3418</v>
      </c>
      <c r="D382" s="294" t="s">
        <v>310</v>
      </c>
      <c r="E382" s="296" t="b">
        <v>1</v>
      </c>
      <c r="F382" s="294" t="s">
        <v>3408</v>
      </c>
      <c r="G382" s="294" t="s">
        <v>3288</v>
      </c>
      <c r="H382" s="294" t="s">
        <v>4591</v>
      </c>
      <c r="I382" s="294" t="s">
        <v>3290</v>
      </c>
      <c r="J382" s="298" t="s">
        <v>4592</v>
      </c>
      <c r="K382" s="294" t="s">
        <v>52</v>
      </c>
      <c r="L382" s="297"/>
      <c r="M382" s="306"/>
      <c r="N382" s="306"/>
      <c r="O382" s="306"/>
      <c r="P382" s="296" t="b">
        <v>0</v>
      </c>
      <c r="Q382" s="299" t="s">
        <v>3296</v>
      </c>
      <c r="R382" s="300">
        <v>171.0</v>
      </c>
    </row>
    <row r="383" ht="15.0" customHeight="1">
      <c r="A383" s="301" t="s">
        <v>4593</v>
      </c>
      <c r="B383" s="302">
        <v>6.0</v>
      </c>
      <c r="C383" s="301" t="s">
        <v>3290</v>
      </c>
      <c r="D383" s="301" t="s">
        <v>308</v>
      </c>
      <c r="E383" s="303" t="b">
        <v>0</v>
      </c>
      <c r="F383" s="301" t="s">
        <v>3268</v>
      </c>
      <c r="G383" s="301" t="s">
        <v>3288</v>
      </c>
      <c r="H383" s="301" t="s">
        <v>4594</v>
      </c>
      <c r="I383" s="301" t="s">
        <v>3270</v>
      </c>
      <c r="J383" s="305" t="s">
        <v>4595</v>
      </c>
      <c r="K383" s="301" t="s">
        <v>3387</v>
      </c>
      <c r="L383" s="301" t="s">
        <v>3388</v>
      </c>
      <c r="P383" s="303" t="b">
        <v>0</v>
      </c>
      <c r="Q383" s="299" t="s">
        <v>2360</v>
      </c>
      <c r="R383" s="300">
        <v>214.0</v>
      </c>
    </row>
    <row r="384" ht="15.0" customHeight="1">
      <c r="A384" s="294" t="s">
        <v>4596</v>
      </c>
      <c r="B384" s="295">
        <v>6.0</v>
      </c>
      <c r="C384" s="294" t="s">
        <v>3267</v>
      </c>
      <c r="D384" s="294" t="s">
        <v>299</v>
      </c>
      <c r="E384" s="296" t="b">
        <v>1</v>
      </c>
      <c r="F384" s="294" t="s">
        <v>3268</v>
      </c>
      <c r="G384" s="294" t="s">
        <v>3288</v>
      </c>
      <c r="H384" s="294" t="s">
        <v>4597</v>
      </c>
      <c r="I384" s="294" t="s">
        <v>3290</v>
      </c>
      <c r="J384" s="298" t="s">
        <v>4598</v>
      </c>
      <c r="K384" s="294" t="s">
        <v>3466</v>
      </c>
      <c r="L384" s="294" t="s">
        <v>3284</v>
      </c>
      <c r="P384" s="296" t="b">
        <v>0</v>
      </c>
      <c r="Q384" s="299" t="s">
        <v>2360</v>
      </c>
      <c r="R384" s="300">
        <v>218.0</v>
      </c>
    </row>
    <row r="385" ht="15.0" customHeight="1">
      <c r="A385" s="301" t="s">
        <v>4599</v>
      </c>
      <c r="B385" s="302">
        <v>6.0</v>
      </c>
      <c r="C385" s="301" t="s">
        <v>3267</v>
      </c>
      <c r="D385" s="301" t="s">
        <v>301</v>
      </c>
      <c r="E385" s="303" t="b">
        <v>0</v>
      </c>
      <c r="F385" s="301" t="s">
        <v>3268</v>
      </c>
      <c r="G385" s="301" t="s">
        <v>3269</v>
      </c>
      <c r="H385" s="307"/>
      <c r="I385" s="301" t="s">
        <v>3281</v>
      </c>
      <c r="J385" s="305" t="s">
        <v>4600</v>
      </c>
      <c r="K385" s="301" t="s">
        <v>35</v>
      </c>
      <c r="L385" s="307"/>
      <c r="M385" s="307"/>
      <c r="N385" s="307"/>
      <c r="O385" s="307"/>
      <c r="P385" s="303" t="b">
        <v>0</v>
      </c>
      <c r="Q385" s="299" t="s">
        <v>3296</v>
      </c>
      <c r="R385" s="300">
        <v>150.0</v>
      </c>
    </row>
    <row r="386" ht="15.0" customHeight="1">
      <c r="A386" s="294" t="s">
        <v>4601</v>
      </c>
      <c r="B386" s="295">
        <v>6.0</v>
      </c>
      <c r="C386" s="294" t="s">
        <v>3267</v>
      </c>
      <c r="D386" s="294" t="s">
        <v>304</v>
      </c>
      <c r="E386" s="296" t="b">
        <v>0</v>
      </c>
      <c r="F386" s="294" t="s">
        <v>4025</v>
      </c>
      <c r="G386" s="294" t="s">
        <v>3288</v>
      </c>
      <c r="H386" s="294" t="s">
        <v>4602</v>
      </c>
      <c r="I386" s="294" t="s">
        <v>3270</v>
      </c>
      <c r="J386" s="298" t="s">
        <v>4603</v>
      </c>
      <c r="K386" s="306"/>
      <c r="L386" s="294" t="s">
        <v>3570</v>
      </c>
      <c r="N386" s="306"/>
      <c r="O386" s="306"/>
      <c r="P386" s="296" t="b">
        <v>0</v>
      </c>
      <c r="Q386" s="299" t="s">
        <v>2360</v>
      </c>
      <c r="R386" s="300">
        <v>221.0</v>
      </c>
    </row>
    <row r="387" ht="15.0" customHeight="1">
      <c r="A387" s="301" t="s">
        <v>4604</v>
      </c>
      <c r="B387" s="302">
        <v>6.0</v>
      </c>
      <c r="C387" s="301" t="s">
        <v>3267</v>
      </c>
      <c r="D387" s="301" t="s">
        <v>310</v>
      </c>
      <c r="E387" s="303" t="b">
        <v>0</v>
      </c>
      <c r="F387" s="301" t="s">
        <v>3280</v>
      </c>
      <c r="G387" s="301" t="s">
        <v>3269</v>
      </c>
      <c r="H387" s="304"/>
      <c r="I387" s="301" t="s">
        <v>3270</v>
      </c>
      <c r="J387" s="305" t="s">
        <v>4605</v>
      </c>
      <c r="K387" s="301" t="s">
        <v>35</v>
      </c>
      <c r="L387" s="307"/>
      <c r="M387" s="307"/>
      <c r="N387" s="307"/>
      <c r="O387" s="307"/>
      <c r="P387" s="303" t="b">
        <v>0</v>
      </c>
      <c r="Q387" s="299" t="s">
        <v>2360</v>
      </c>
      <c r="R387" s="300">
        <v>221.0</v>
      </c>
    </row>
    <row r="388" ht="15.0" customHeight="1">
      <c r="A388" s="294" t="s">
        <v>4606</v>
      </c>
      <c r="B388" s="295">
        <v>6.0</v>
      </c>
      <c r="C388" s="294" t="s">
        <v>3267</v>
      </c>
      <c r="D388" s="294" t="s">
        <v>310</v>
      </c>
      <c r="E388" s="296" t="b">
        <v>1</v>
      </c>
      <c r="F388" s="294" t="s">
        <v>3280</v>
      </c>
      <c r="G388" s="294" t="s">
        <v>3288</v>
      </c>
      <c r="H388" s="294" t="s">
        <v>4607</v>
      </c>
      <c r="I388" s="294" t="s">
        <v>4608</v>
      </c>
      <c r="J388" s="298" t="s">
        <v>4609</v>
      </c>
      <c r="K388" s="294" t="s">
        <v>3319</v>
      </c>
      <c r="L388" s="294" t="s">
        <v>3284</v>
      </c>
      <c r="P388" s="296" t="b">
        <v>0</v>
      </c>
      <c r="Q388" s="299" t="s">
        <v>2360</v>
      </c>
      <c r="R388" s="300">
        <v>226.0</v>
      </c>
    </row>
    <row r="389" ht="15.0" customHeight="1">
      <c r="A389" s="301" t="s">
        <v>4610</v>
      </c>
      <c r="B389" s="302">
        <v>6.0</v>
      </c>
      <c r="C389" s="301" t="s">
        <v>3267</v>
      </c>
      <c r="D389" s="301" t="s">
        <v>305</v>
      </c>
      <c r="E389" s="303" t="b">
        <v>0</v>
      </c>
      <c r="F389" s="301" t="s">
        <v>3280</v>
      </c>
      <c r="G389" s="301" t="s">
        <v>3288</v>
      </c>
      <c r="H389" s="301" t="s">
        <v>4611</v>
      </c>
      <c r="I389" s="301" t="s">
        <v>3772</v>
      </c>
      <c r="J389" s="305" t="s">
        <v>4612</v>
      </c>
      <c r="K389" s="301" t="s">
        <v>3525</v>
      </c>
      <c r="L389" s="301" t="s">
        <v>3284</v>
      </c>
      <c r="P389" s="303" t="b">
        <v>0</v>
      </c>
      <c r="Q389" s="299" t="s">
        <v>2360</v>
      </c>
      <c r="R389" s="300">
        <v>227.0</v>
      </c>
    </row>
    <row r="390" ht="15.0" customHeight="1">
      <c r="A390" s="294" t="s">
        <v>4613</v>
      </c>
      <c r="B390" s="295">
        <v>6.0</v>
      </c>
      <c r="C390" s="294" t="s">
        <v>3267</v>
      </c>
      <c r="D390" s="294" t="s">
        <v>304</v>
      </c>
      <c r="E390" s="296" t="b">
        <v>1</v>
      </c>
      <c r="F390" s="294" t="s">
        <v>3280</v>
      </c>
      <c r="G390" s="294" t="s">
        <v>3288</v>
      </c>
      <c r="H390" s="294" t="s">
        <v>4614</v>
      </c>
      <c r="I390" s="294" t="s">
        <v>3404</v>
      </c>
      <c r="J390" s="298" t="s">
        <v>4615</v>
      </c>
      <c r="K390" s="294" t="s">
        <v>69</v>
      </c>
      <c r="L390" s="294" t="s">
        <v>3284</v>
      </c>
      <c r="P390" s="296" t="b">
        <v>0</v>
      </c>
      <c r="Q390" s="299" t="s">
        <v>3296</v>
      </c>
      <c r="R390" s="300">
        <v>152.0</v>
      </c>
    </row>
    <row r="391" ht="15.0" customHeight="1">
      <c r="A391" s="301" t="s">
        <v>4616</v>
      </c>
      <c r="B391" s="302">
        <v>6.0</v>
      </c>
      <c r="C391" s="301" t="s">
        <v>3267</v>
      </c>
      <c r="D391" s="301" t="s">
        <v>301</v>
      </c>
      <c r="E391" s="303" t="b">
        <v>1</v>
      </c>
      <c r="F391" s="301" t="s">
        <v>3280</v>
      </c>
      <c r="G391" s="301" t="s">
        <v>3288</v>
      </c>
      <c r="H391" s="301" t="s">
        <v>4617</v>
      </c>
      <c r="I391" s="301" t="s">
        <v>3404</v>
      </c>
      <c r="J391" s="305" t="s">
        <v>4618</v>
      </c>
      <c r="K391" s="301" t="s">
        <v>35</v>
      </c>
      <c r="L391" s="307"/>
      <c r="M391" s="307"/>
      <c r="N391" s="307"/>
      <c r="O391" s="307"/>
      <c r="P391" s="303" t="b">
        <v>0</v>
      </c>
      <c r="Q391" s="299" t="s">
        <v>2360</v>
      </c>
      <c r="R391" s="300">
        <v>229.0</v>
      </c>
    </row>
    <row r="392" ht="15.0" customHeight="1">
      <c r="A392" s="294" t="s">
        <v>4619</v>
      </c>
      <c r="B392" s="295">
        <v>6.0</v>
      </c>
      <c r="C392" s="294" t="s">
        <v>3267</v>
      </c>
      <c r="D392" s="294" t="s">
        <v>304</v>
      </c>
      <c r="E392" s="296" t="b">
        <v>0</v>
      </c>
      <c r="F392" s="294" t="s">
        <v>3743</v>
      </c>
      <c r="G392" s="294" t="s">
        <v>3288</v>
      </c>
      <c r="H392" s="294" t="s">
        <v>4620</v>
      </c>
      <c r="I392" s="294" t="s">
        <v>3270</v>
      </c>
      <c r="J392" s="298" t="s">
        <v>4621</v>
      </c>
      <c r="K392" s="294" t="s">
        <v>3466</v>
      </c>
      <c r="L392" s="294" t="s">
        <v>3284</v>
      </c>
      <c r="P392" s="296" t="b">
        <v>0</v>
      </c>
      <c r="Q392" s="299" t="s">
        <v>2360</v>
      </c>
      <c r="R392" s="300">
        <v>233.0</v>
      </c>
    </row>
    <row r="393" ht="15.0" customHeight="1">
      <c r="A393" s="301" t="s">
        <v>4622</v>
      </c>
      <c r="B393" s="302">
        <v>6.0</v>
      </c>
      <c r="C393" s="301" t="s">
        <v>3267</v>
      </c>
      <c r="D393" s="301" t="s">
        <v>308</v>
      </c>
      <c r="E393" s="303" t="b">
        <v>0</v>
      </c>
      <c r="F393" s="301" t="s">
        <v>3743</v>
      </c>
      <c r="G393" s="301" t="s">
        <v>3288</v>
      </c>
      <c r="H393" s="301" t="s">
        <v>4623</v>
      </c>
      <c r="I393" s="301" t="s">
        <v>3270</v>
      </c>
      <c r="J393" s="305" t="s">
        <v>4624</v>
      </c>
      <c r="K393" s="301" t="s">
        <v>3283</v>
      </c>
      <c r="L393" s="301" t="s">
        <v>3284</v>
      </c>
      <c r="P393" s="303" t="b">
        <v>0</v>
      </c>
      <c r="Q393" s="299" t="s">
        <v>2360</v>
      </c>
      <c r="R393" s="300">
        <v>235.0</v>
      </c>
    </row>
    <row r="394" ht="15.0" customHeight="1">
      <c r="A394" s="294" t="s">
        <v>4625</v>
      </c>
      <c r="B394" s="295">
        <v>6.0</v>
      </c>
      <c r="C394" s="294" t="s">
        <v>3404</v>
      </c>
      <c r="D394" s="294" t="s">
        <v>301</v>
      </c>
      <c r="E394" s="296" t="b">
        <v>0</v>
      </c>
      <c r="F394" s="294" t="s">
        <v>3312</v>
      </c>
      <c r="G394" s="294" t="s">
        <v>3288</v>
      </c>
      <c r="H394" s="294" t="s">
        <v>4626</v>
      </c>
      <c r="I394" s="294" t="s">
        <v>3270</v>
      </c>
      <c r="J394" s="298" t="s">
        <v>4627</v>
      </c>
      <c r="K394" s="294" t="s">
        <v>3512</v>
      </c>
      <c r="L394" s="294" t="s">
        <v>3347</v>
      </c>
      <c r="M394" s="294" t="s">
        <v>3474</v>
      </c>
      <c r="O394" s="306"/>
      <c r="P394" s="296" t="b">
        <v>0</v>
      </c>
      <c r="Q394" s="299" t="s">
        <v>3296</v>
      </c>
      <c r="R394" s="300">
        <v>154.0</v>
      </c>
    </row>
    <row r="395" ht="15.0" customHeight="1">
      <c r="A395" s="301" t="s">
        <v>4628</v>
      </c>
      <c r="B395" s="302">
        <v>6.0</v>
      </c>
      <c r="C395" s="301" t="s">
        <v>3267</v>
      </c>
      <c r="D395" s="301" t="s">
        <v>303</v>
      </c>
      <c r="E395" s="303" t="b">
        <v>1</v>
      </c>
      <c r="F395" s="301" t="s">
        <v>3312</v>
      </c>
      <c r="G395" s="301" t="s">
        <v>3308</v>
      </c>
      <c r="H395" s="307"/>
      <c r="I395" s="301" t="s">
        <v>3290</v>
      </c>
      <c r="J395" s="305" t="s">
        <v>4629</v>
      </c>
      <c r="K395" s="301" t="s">
        <v>3525</v>
      </c>
      <c r="L395" s="301" t="s">
        <v>3284</v>
      </c>
      <c r="P395" s="303" t="b">
        <v>0</v>
      </c>
      <c r="Q395" s="299" t="s">
        <v>2360</v>
      </c>
      <c r="R395" s="300">
        <v>238.0</v>
      </c>
    </row>
    <row r="396" ht="15.0" customHeight="1">
      <c r="A396" s="294" t="s">
        <v>4630</v>
      </c>
      <c r="B396" s="295">
        <v>6.0</v>
      </c>
      <c r="C396" s="294" t="s">
        <v>3267</v>
      </c>
      <c r="D396" s="294" t="s">
        <v>301</v>
      </c>
      <c r="E396" s="296" t="b">
        <v>0</v>
      </c>
      <c r="F396" s="294" t="s">
        <v>3312</v>
      </c>
      <c r="G396" s="294" t="s">
        <v>3308</v>
      </c>
      <c r="H396" s="297"/>
      <c r="I396" s="294" t="s">
        <v>3270</v>
      </c>
      <c r="J396" s="298" t="s">
        <v>4631</v>
      </c>
      <c r="K396" s="294" t="s">
        <v>3283</v>
      </c>
      <c r="L396" s="294" t="s">
        <v>3284</v>
      </c>
      <c r="M396" s="294" t="s">
        <v>23</v>
      </c>
      <c r="N396" s="306"/>
      <c r="O396" s="306"/>
      <c r="P396" s="296" t="b">
        <v>0</v>
      </c>
      <c r="Q396" s="299" t="s">
        <v>2360</v>
      </c>
      <c r="R396" s="300">
        <v>240.0</v>
      </c>
    </row>
    <row r="397" ht="15.0" customHeight="1">
      <c r="A397" s="301" t="s">
        <v>4632</v>
      </c>
      <c r="B397" s="302">
        <v>6.0</v>
      </c>
      <c r="C397" s="301" t="s">
        <v>3290</v>
      </c>
      <c r="D397" s="301" t="s">
        <v>310</v>
      </c>
      <c r="E397" s="303" t="b">
        <v>0</v>
      </c>
      <c r="F397" s="301" t="s">
        <v>3312</v>
      </c>
      <c r="G397" s="301" t="s">
        <v>3288</v>
      </c>
      <c r="H397" s="301" t="s">
        <v>4633</v>
      </c>
      <c r="I397" s="301" t="s">
        <v>3481</v>
      </c>
      <c r="J397" s="305" t="s">
        <v>4634</v>
      </c>
      <c r="K397" s="301" t="s">
        <v>35</v>
      </c>
      <c r="L397" s="307"/>
      <c r="M397" s="307"/>
      <c r="N397" s="307"/>
      <c r="O397" s="307"/>
      <c r="P397" s="303" t="b">
        <v>0</v>
      </c>
      <c r="Q397" s="299" t="s">
        <v>2360</v>
      </c>
      <c r="R397" s="300">
        <v>243.0</v>
      </c>
    </row>
    <row r="398" ht="15.0" customHeight="1">
      <c r="A398" s="294" t="s">
        <v>4635</v>
      </c>
      <c r="B398" s="295">
        <v>6.0</v>
      </c>
      <c r="C398" s="294" t="s">
        <v>3267</v>
      </c>
      <c r="D398" s="294" t="s">
        <v>304</v>
      </c>
      <c r="E398" s="296" t="b">
        <v>0</v>
      </c>
      <c r="F398" s="294" t="s">
        <v>3786</v>
      </c>
      <c r="G398" s="294" t="s">
        <v>3288</v>
      </c>
      <c r="H398" s="294" t="s">
        <v>4636</v>
      </c>
      <c r="I398" s="294" t="s">
        <v>3270</v>
      </c>
      <c r="J398" s="298" t="s">
        <v>4637</v>
      </c>
      <c r="K398" s="294" t="s">
        <v>69</v>
      </c>
      <c r="L398" s="294" t="s">
        <v>3284</v>
      </c>
      <c r="M398" s="294" t="s">
        <v>60</v>
      </c>
      <c r="N398" s="306"/>
      <c r="O398" s="306"/>
      <c r="P398" s="296" t="b">
        <v>0</v>
      </c>
      <c r="Q398" s="299" t="s">
        <v>2360</v>
      </c>
      <c r="R398" s="300">
        <v>243.0</v>
      </c>
    </row>
    <row r="399" ht="15.0" customHeight="1">
      <c r="A399" s="301" t="s">
        <v>4638</v>
      </c>
      <c r="B399" s="302">
        <v>6.0</v>
      </c>
      <c r="C399" s="301" t="s">
        <v>3267</v>
      </c>
      <c r="D399" s="301" t="s">
        <v>301</v>
      </c>
      <c r="E399" s="303" t="b">
        <v>0</v>
      </c>
      <c r="F399" s="301" t="s">
        <v>3356</v>
      </c>
      <c r="G399" s="301" t="s">
        <v>3308</v>
      </c>
      <c r="H399" s="307"/>
      <c r="I399" s="301" t="s">
        <v>3270</v>
      </c>
      <c r="J399" s="305" t="s">
        <v>4639</v>
      </c>
      <c r="K399" s="301" t="s">
        <v>29</v>
      </c>
      <c r="L399" s="301" t="s">
        <v>3347</v>
      </c>
      <c r="P399" s="303" t="b">
        <v>0</v>
      </c>
      <c r="Q399" s="299" t="s">
        <v>2360</v>
      </c>
      <c r="R399" s="300">
        <v>245.0</v>
      </c>
    </row>
    <row r="400" ht="15.0" customHeight="1">
      <c r="A400" s="294" t="s">
        <v>4640</v>
      </c>
      <c r="B400" s="295">
        <v>6.0</v>
      </c>
      <c r="C400" s="294" t="s">
        <v>3267</v>
      </c>
      <c r="D400" s="294" t="s">
        <v>301</v>
      </c>
      <c r="E400" s="296" t="b">
        <v>1</v>
      </c>
      <c r="F400" s="294" t="s">
        <v>4312</v>
      </c>
      <c r="G400" s="294" t="s">
        <v>3269</v>
      </c>
      <c r="H400" s="297"/>
      <c r="I400" s="294" t="s">
        <v>3404</v>
      </c>
      <c r="J400" s="298" t="s">
        <v>4641</v>
      </c>
      <c r="K400" s="294" t="s">
        <v>3283</v>
      </c>
      <c r="L400" s="294" t="s">
        <v>3284</v>
      </c>
      <c r="P400" s="296" t="b">
        <v>0</v>
      </c>
      <c r="Q400" s="299" t="s">
        <v>3392</v>
      </c>
      <c r="R400" s="300">
        <v>187.0</v>
      </c>
    </row>
    <row r="401" ht="15.0" customHeight="1">
      <c r="A401" s="301" t="s">
        <v>4642</v>
      </c>
      <c r="B401" s="302">
        <v>6.0</v>
      </c>
      <c r="C401" s="301" t="s">
        <v>3267</v>
      </c>
      <c r="D401" s="301" t="s">
        <v>310</v>
      </c>
      <c r="E401" s="303" t="b">
        <v>0</v>
      </c>
      <c r="F401" s="301" t="s">
        <v>3370</v>
      </c>
      <c r="G401" s="301" t="s">
        <v>3288</v>
      </c>
      <c r="H401" s="301" t="s">
        <v>4643</v>
      </c>
      <c r="I401" s="301" t="s">
        <v>3270</v>
      </c>
      <c r="J401" s="305" t="s">
        <v>4644</v>
      </c>
      <c r="K401" s="301" t="s">
        <v>3466</v>
      </c>
      <c r="L401" s="301" t="s">
        <v>3284</v>
      </c>
      <c r="P401" s="303" t="b">
        <v>0</v>
      </c>
      <c r="Q401" s="299" t="s">
        <v>2360</v>
      </c>
      <c r="R401" s="300">
        <v>248.0</v>
      </c>
    </row>
    <row r="402" ht="15.0" customHeight="1">
      <c r="A402" s="294" t="s">
        <v>4645</v>
      </c>
      <c r="B402" s="295">
        <v>6.0</v>
      </c>
      <c r="C402" s="294" t="s">
        <v>3267</v>
      </c>
      <c r="D402" s="294" t="s">
        <v>310</v>
      </c>
      <c r="E402" s="296" t="b">
        <v>1</v>
      </c>
      <c r="F402" s="294" t="s">
        <v>3370</v>
      </c>
      <c r="G402" s="294" t="s">
        <v>3288</v>
      </c>
      <c r="H402" s="294" t="s">
        <v>4646</v>
      </c>
      <c r="I402" s="294" t="s">
        <v>3290</v>
      </c>
      <c r="J402" s="298" t="s">
        <v>4647</v>
      </c>
      <c r="K402" s="294" t="s">
        <v>3538</v>
      </c>
      <c r="L402" s="294" t="s">
        <v>3284</v>
      </c>
      <c r="M402" s="294" t="s">
        <v>4367</v>
      </c>
      <c r="P402" s="296" t="b">
        <v>0</v>
      </c>
      <c r="Q402" s="299" t="s">
        <v>2360</v>
      </c>
      <c r="R402" s="300">
        <v>249.0</v>
      </c>
    </row>
    <row r="403" ht="15.0" customHeight="1">
      <c r="A403" s="301" t="s">
        <v>4648</v>
      </c>
      <c r="B403" s="302">
        <v>6.0</v>
      </c>
      <c r="C403" s="301" t="s">
        <v>3267</v>
      </c>
      <c r="D403" s="301" t="s">
        <v>308</v>
      </c>
      <c r="E403" s="303" t="b">
        <v>0</v>
      </c>
      <c r="F403" s="301" t="s">
        <v>3370</v>
      </c>
      <c r="G403" s="301" t="s">
        <v>3269</v>
      </c>
      <c r="H403" s="307"/>
      <c r="I403" s="301" t="s">
        <v>3270</v>
      </c>
      <c r="J403" s="305" t="s">
        <v>4649</v>
      </c>
      <c r="K403" s="301" t="s">
        <v>29</v>
      </c>
      <c r="L403" s="301" t="s">
        <v>3347</v>
      </c>
      <c r="P403" s="303" t="b">
        <v>0</v>
      </c>
      <c r="Q403" s="299" t="s">
        <v>2360</v>
      </c>
      <c r="R403" s="300">
        <v>250.0</v>
      </c>
    </row>
    <row r="404" ht="15.0" customHeight="1">
      <c r="A404" s="294" t="s">
        <v>3234</v>
      </c>
      <c r="B404" s="295">
        <v>6.0</v>
      </c>
      <c r="C404" s="294" t="s">
        <v>3267</v>
      </c>
      <c r="D404" s="294" t="s">
        <v>304</v>
      </c>
      <c r="E404" s="296" t="b">
        <v>0</v>
      </c>
      <c r="F404" s="294" t="s">
        <v>3370</v>
      </c>
      <c r="G404" s="294" t="s">
        <v>3269</v>
      </c>
      <c r="H404" s="306"/>
      <c r="I404" s="294" t="s">
        <v>3270</v>
      </c>
      <c r="J404" s="298" t="s">
        <v>4650</v>
      </c>
      <c r="K404" s="294" t="s">
        <v>3512</v>
      </c>
      <c r="L404" s="294" t="s">
        <v>3347</v>
      </c>
      <c r="P404" s="296" t="b">
        <v>0</v>
      </c>
      <c r="Q404" s="299" t="s">
        <v>2360</v>
      </c>
      <c r="R404" s="300">
        <v>250.0</v>
      </c>
    </row>
    <row r="405" ht="15.0" customHeight="1">
      <c r="A405" s="301" t="s">
        <v>4651</v>
      </c>
      <c r="B405" s="302">
        <v>6.0</v>
      </c>
      <c r="C405" s="301" t="s">
        <v>3267</v>
      </c>
      <c r="D405" s="301" t="s">
        <v>303</v>
      </c>
      <c r="E405" s="303" t="b">
        <v>0</v>
      </c>
      <c r="F405" s="301" t="s">
        <v>3370</v>
      </c>
      <c r="G405" s="301" t="s">
        <v>3367</v>
      </c>
      <c r="H405" s="301" t="s">
        <v>3781</v>
      </c>
      <c r="I405" s="301" t="s">
        <v>3487</v>
      </c>
      <c r="J405" s="305" t="s">
        <v>4652</v>
      </c>
      <c r="K405" s="301" t="s">
        <v>3332</v>
      </c>
      <c r="L405" s="301" t="s">
        <v>3284</v>
      </c>
      <c r="P405" s="303" t="b">
        <v>0</v>
      </c>
      <c r="Q405" s="299" t="s">
        <v>3296</v>
      </c>
      <c r="R405" s="300">
        <v>159.0</v>
      </c>
    </row>
    <row r="406" ht="15.0" customHeight="1">
      <c r="A406" s="294" t="s">
        <v>4653</v>
      </c>
      <c r="B406" s="295">
        <v>6.0</v>
      </c>
      <c r="C406" s="294" t="s">
        <v>3267</v>
      </c>
      <c r="D406" s="294" t="s">
        <v>305</v>
      </c>
      <c r="E406" s="296" t="b">
        <v>1</v>
      </c>
      <c r="F406" s="294" t="s">
        <v>3370</v>
      </c>
      <c r="G406" s="294" t="s">
        <v>3336</v>
      </c>
      <c r="H406" s="306"/>
      <c r="I406" s="294" t="s">
        <v>3290</v>
      </c>
      <c r="J406" s="298" t="s">
        <v>4654</v>
      </c>
      <c r="K406" s="294" t="s">
        <v>3283</v>
      </c>
      <c r="L406" s="294" t="s">
        <v>3284</v>
      </c>
      <c r="M406" s="294" t="s">
        <v>23</v>
      </c>
      <c r="N406" s="306"/>
      <c r="O406" s="306"/>
      <c r="P406" s="296" t="b">
        <v>0</v>
      </c>
      <c r="Q406" s="299" t="s">
        <v>3296</v>
      </c>
      <c r="R406" s="300">
        <v>159.0</v>
      </c>
    </row>
    <row r="407" ht="15.0" customHeight="1">
      <c r="A407" s="301" t="s">
        <v>4655</v>
      </c>
      <c r="B407" s="302">
        <v>6.0</v>
      </c>
      <c r="C407" s="301" t="s">
        <v>3404</v>
      </c>
      <c r="D407" s="301" t="s">
        <v>301</v>
      </c>
      <c r="E407" s="303" t="b">
        <v>0</v>
      </c>
      <c r="F407" s="301" t="s">
        <v>3370</v>
      </c>
      <c r="G407" s="301" t="s">
        <v>3269</v>
      </c>
      <c r="H407" s="307"/>
      <c r="I407" s="301" t="s">
        <v>3270</v>
      </c>
      <c r="J407" s="305" t="s">
        <v>4656</v>
      </c>
      <c r="K407" s="301" t="s">
        <v>29</v>
      </c>
      <c r="L407" s="301" t="s">
        <v>3347</v>
      </c>
      <c r="P407" s="303" t="b">
        <v>0</v>
      </c>
      <c r="Q407" s="299" t="s">
        <v>3296</v>
      </c>
      <c r="R407" s="300">
        <v>159.0</v>
      </c>
    </row>
    <row r="408" ht="15.0" customHeight="1">
      <c r="A408" s="294" t="s">
        <v>4657</v>
      </c>
      <c r="B408" s="295">
        <v>6.0</v>
      </c>
      <c r="C408" s="294" t="s">
        <v>3551</v>
      </c>
      <c r="D408" s="294" t="s">
        <v>308</v>
      </c>
      <c r="E408" s="296" t="b">
        <v>0</v>
      </c>
      <c r="F408" s="294" t="s">
        <v>3370</v>
      </c>
      <c r="G408" s="294" t="s">
        <v>3288</v>
      </c>
      <c r="H408" s="294" t="s">
        <v>4658</v>
      </c>
      <c r="I408" s="294" t="s">
        <v>3481</v>
      </c>
      <c r="J408" s="298" t="s">
        <v>4659</v>
      </c>
      <c r="K408" s="294" t="s">
        <v>3538</v>
      </c>
      <c r="L408" s="294" t="s">
        <v>3284</v>
      </c>
      <c r="P408" s="296" t="b">
        <v>0</v>
      </c>
      <c r="Q408" s="299" t="s">
        <v>3296</v>
      </c>
      <c r="R408" s="300">
        <v>160.0</v>
      </c>
    </row>
    <row r="409" ht="15.0" customHeight="1">
      <c r="A409" s="301" t="s">
        <v>4660</v>
      </c>
      <c r="B409" s="302">
        <v>6.0</v>
      </c>
      <c r="C409" s="301" t="s">
        <v>3267</v>
      </c>
      <c r="D409" s="301" t="s">
        <v>304</v>
      </c>
      <c r="E409" s="303" t="b">
        <v>1</v>
      </c>
      <c r="F409" s="301" t="s">
        <v>3370</v>
      </c>
      <c r="G409" s="301" t="s">
        <v>3288</v>
      </c>
      <c r="H409" s="301" t="s">
        <v>4661</v>
      </c>
      <c r="I409" s="301" t="s">
        <v>3290</v>
      </c>
      <c r="J409" s="305" t="s">
        <v>4662</v>
      </c>
      <c r="K409" s="301" t="s">
        <v>3319</v>
      </c>
      <c r="L409" s="301" t="s">
        <v>3284</v>
      </c>
      <c r="M409" s="301" t="s">
        <v>29</v>
      </c>
      <c r="N409" s="307"/>
      <c r="O409" s="307"/>
      <c r="P409" s="303" t="b">
        <v>0</v>
      </c>
      <c r="Q409" s="299" t="s">
        <v>2360</v>
      </c>
      <c r="R409" s="300">
        <v>257.0</v>
      </c>
    </row>
    <row r="410" ht="15.0" customHeight="1">
      <c r="A410" s="294" t="s">
        <v>4663</v>
      </c>
      <c r="B410" s="295">
        <v>6.0</v>
      </c>
      <c r="C410" s="294" t="s">
        <v>3267</v>
      </c>
      <c r="D410" s="294" t="s">
        <v>304</v>
      </c>
      <c r="E410" s="296" t="b">
        <v>1</v>
      </c>
      <c r="F410" s="294" t="s">
        <v>3588</v>
      </c>
      <c r="G410" s="294" t="s">
        <v>3269</v>
      </c>
      <c r="H410" s="297"/>
      <c r="I410" s="294" t="s">
        <v>3404</v>
      </c>
      <c r="J410" s="298" t="s">
        <v>4664</v>
      </c>
      <c r="K410" s="294" t="s">
        <v>29</v>
      </c>
      <c r="L410" s="294" t="s">
        <v>3347</v>
      </c>
      <c r="P410" s="296" t="b">
        <v>0</v>
      </c>
      <c r="Q410" s="299" t="s">
        <v>2360</v>
      </c>
      <c r="R410" s="300">
        <v>258.0</v>
      </c>
    </row>
    <row r="411" ht="15.0" customHeight="1">
      <c r="A411" s="301" t="s">
        <v>4665</v>
      </c>
      <c r="B411" s="302">
        <v>6.0</v>
      </c>
      <c r="C411" s="301" t="s">
        <v>3290</v>
      </c>
      <c r="D411" s="301" t="s">
        <v>301</v>
      </c>
      <c r="E411" s="303" t="b">
        <v>1</v>
      </c>
      <c r="F411" s="301" t="s">
        <v>3588</v>
      </c>
      <c r="G411" s="301" t="s">
        <v>3269</v>
      </c>
      <c r="H411" s="307"/>
      <c r="I411" s="301" t="s">
        <v>3337</v>
      </c>
      <c r="J411" s="305" t="s">
        <v>4666</v>
      </c>
      <c r="K411" s="301" t="s">
        <v>4667</v>
      </c>
      <c r="M411" s="307"/>
      <c r="N411" s="307"/>
      <c r="O411" s="307"/>
      <c r="P411" s="303" t="b">
        <v>0</v>
      </c>
      <c r="Q411" s="299" t="s">
        <v>3296</v>
      </c>
      <c r="R411" s="300">
        <v>161.0</v>
      </c>
    </row>
    <row r="412" ht="15.0" customHeight="1">
      <c r="A412" s="294" t="s">
        <v>4668</v>
      </c>
      <c r="B412" s="295">
        <v>6.0</v>
      </c>
      <c r="C412" s="294" t="s">
        <v>3267</v>
      </c>
      <c r="D412" s="294" t="s">
        <v>301</v>
      </c>
      <c r="E412" s="296" t="b">
        <v>1</v>
      </c>
      <c r="F412" s="294" t="s">
        <v>3588</v>
      </c>
      <c r="G412" s="294" t="s">
        <v>3288</v>
      </c>
      <c r="H412" s="294" t="s">
        <v>4669</v>
      </c>
      <c r="I412" s="294" t="s">
        <v>3337</v>
      </c>
      <c r="J412" s="298" t="s">
        <v>4670</v>
      </c>
      <c r="K412" s="306"/>
      <c r="L412" s="306"/>
      <c r="M412" s="294" t="s">
        <v>3538</v>
      </c>
      <c r="O412" s="306"/>
      <c r="P412" s="296" t="b">
        <v>0</v>
      </c>
      <c r="Q412" s="299" t="s">
        <v>2360</v>
      </c>
      <c r="R412" s="300">
        <v>263.0</v>
      </c>
    </row>
    <row r="413" ht="15.0" customHeight="1">
      <c r="A413" s="301" t="s">
        <v>4671</v>
      </c>
      <c r="B413" s="302">
        <v>6.0</v>
      </c>
      <c r="C413" s="301" t="s">
        <v>3404</v>
      </c>
      <c r="D413" s="301" t="s">
        <v>304</v>
      </c>
      <c r="E413" s="303" t="b">
        <v>0</v>
      </c>
      <c r="F413" s="301" t="s">
        <v>3394</v>
      </c>
      <c r="G413" s="301" t="s">
        <v>3288</v>
      </c>
      <c r="H413" s="301" t="s">
        <v>4672</v>
      </c>
      <c r="I413" s="301" t="s">
        <v>3700</v>
      </c>
      <c r="J413" s="305" t="s">
        <v>4673</v>
      </c>
      <c r="K413" s="301" t="s">
        <v>69</v>
      </c>
      <c r="L413" s="301" t="s">
        <v>3284</v>
      </c>
      <c r="P413" s="303" t="b">
        <v>0</v>
      </c>
      <c r="Q413" s="299" t="s">
        <v>2360</v>
      </c>
      <c r="R413" s="300">
        <v>263.0</v>
      </c>
    </row>
    <row r="414" ht="15.0" customHeight="1">
      <c r="A414" s="294" t="s">
        <v>4674</v>
      </c>
      <c r="B414" s="295">
        <v>6.0</v>
      </c>
      <c r="C414" s="294" t="s">
        <v>3267</v>
      </c>
      <c r="D414" s="294" t="s">
        <v>308</v>
      </c>
      <c r="E414" s="296" t="b">
        <v>1</v>
      </c>
      <c r="F414" s="294" t="s">
        <v>3394</v>
      </c>
      <c r="G414" s="294" t="s">
        <v>3269</v>
      </c>
      <c r="H414" s="306"/>
      <c r="I414" s="294" t="s">
        <v>3290</v>
      </c>
      <c r="J414" s="298" t="s">
        <v>4675</v>
      </c>
      <c r="K414" s="294" t="s">
        <v>3332</v>
      </c>
      <c r="L414" s="294" t="s">
        <v>3284</v>
      </c>
      <c r="P414" s="296" t="b">
        <v>0</v>
      </c>
      <c r="Q414" s="299" t="s">
        <v>2360</v>
      </c>
      <c r="R414" s="300">
        <v>264.0</v>
      </c>
    </row>
    <row r="415" ht="15.0" customHeight="1">
      <c r="A415" s="301" t="s">
        <v>4676</v>
      </c>
      <c r="B415" s="302">
        <v>6.0</v>
      </c>
      <c r="C415" s="301" t="s">
        <v>3290</v>
      </c>
      <c r="D415" s="301" t="s">
        <v>302</v>
      </c>
      <c r="E415" s="303" t="b">
        <v>1</v>
      </c>
      <c r="F415" s="301" t="s">
        <v>3394</v>
      </c>
      <c r="G415" s="301" t="s">
        <v>3288</v>
      </c>
      <c r="H415" s="301" t="s">
        <v>4677</v>
      </c>
      <c r="I415" s="301" t="s">
        <v>4678</v>
      </c>
      <c r="J415" s="305" t="s">
        <v>4679</v>
      </c>
      <c r="K415" s="301" t="s">
        <v>3561</v>
      </c>
      <c r="L415" s="301" t="s">
        <v>3347</v>
      </c>
      <c r="P415" s="303" t="b">
        <v>0</v>
      </c>
      <c r="Q415" s="299" t="s">
        <v>2360</v>
      </c>
      <c r="R415" s="300">
        <v>265.0</v>
      </c>
    </row>
    <row r="416" ht="15.0" customHeight="1">
      <c r="A416" s="294" t="s">
        <v>4680</v>
      </c>
      <c r="B416" s="295">
        <v>6.0</v>
      </c>
      <c r="C416" s="294" t="s">
        <v>3267</v>
      </c>
      <c r="D416" s="294" t="s">
        <v>310</v>
      </c>
      <c r="E416" s="296" t="b">
        <v>1</v>
      </c>
      <c r="F416" s="294" t="s">
        <v>3394</v>
      </c>
      <c r="G416" s="294" t="s">
        <v>3269</v>
      </c>
      <c r="H416" s="297"/>
      <c r="I416" s="294" t="s">
        <v>3404</v>
      </c>
      <c r="J416" s="298" t="s">
        <v>4681</v>
      </c>
      <c r="K416" s="294" t="s">
        <v>3323</v>
      </c>
      <c r="L416" s="294" t="s">
        <v>3284</v>
      </c>
      <c r="P416" s="296" t="b">
        <v>0</v>
      </c>
      <c r="Q416" s="299" t="s">
        <v>3296</v>
      </c>
      <c r="R416" s="300">
        <v>163.0</v>
      </c>
    </row>
    <row r="417" ht="15.0" customHeight="1">
      <c r="A417" s="301" t="s">
        <v>4682</v>
      </c>
      <c r="B417" s="302">
        <v>6.0</v>
      </c>
      <c r="C417" s="301" t="s">
        <v>3267</v>
      </c>
      <c r="D417" s="301" t="s">
        <v>310</v>
      </c>
      <c r="E417" s="303" t="b">
        <v>1</v>
      </c>
      <c r="F417" s="301" t="s">
        <v>3394</v>
      </c>
      <c r="G417" s="301" t="s">
        <v>3269</v>
      </c>
      <c r="H417" s="307"/>
      <c r="I417" s="301" t="s">
        <v>3404</v>
      </c>
      <c r="J417" s="305" t="s">
        <v>4683</v>
      </c>
      <c r="K417" s="301" t="s">
        <v>3323</v>
      </c>
      <c r="L417" s="301" t="s">
        <v>3284</v>
      </c>
      <c r="P417" s="303" t="b">
        <v>0</v>
      </c>
      <c r="Q417" s="299" t="s">
        <v>2360</v>
      </c>
      <c r="R417" s="300">
        <v>269.0</v>
      </c>
    </row>
    <row r="418" ht="15.0" customHeight="1">
      <c r="A418" s="294" t="s">
        <v>4684</v>
      </c>
      <c r="B418" s="295">
        <v>6.0</v>
      </c>
      <c r="C418" s="294" t="s">
        <v>3267</v>
      </c>
      <c r="D418" s="294" t="s">
        <v>310</v>
      </c>
      <c r="E418" s="296" t="b">
        <v>1</v>
      </c>
      <c r="F418" s="294" t="s">
        <v>3394</v>
      </c>
      <c r="G418" s="294" t="s">
        <v>3269</v>
      </c>
      <c r="H418" s="306"/>
      <c r="I418" s="294" t="s">
        <v>3404</v>
      </c>
      <c r="J418" s="298" t="s">
        <v>4685</v>
      </c>
      <c r="K418" s="294" t="s">
        <v>3323</v>
      </c>
      <c r="L418" s="294" t="s">
        <v>3284</v>
      </c>
      <c r="P418" s="296" t="b">
        <v>0</v>
      </c>
      <c r="Q418" s="299" t="s">
        <v>3296</v>
      </c>
      <c r="R418" s="300">
        <v>164.0</v>
      </c>
    </row>
    <row r="419" ht="15.0" customHeight="1">
      <c r="A419" s="301" t="s">
        <v>4686</v>
      </c>
      <c r="B419" s="302">
        <v>6.0</v>
      </c>
      <c r="C419" s="301" t="s">
        <v>3267</v>
      </c>
      <c r="D419" s="301" t="s">
        <v>310</v>
      </c>
      <c r="E419" s="303" t="b">
        <v>1</v>
      </c>
      <c r="F419" s="301" t="s">
        <v>3394</v>
      </c>
      <c r="G419" s="301" t="s">
        <v>3269</v>
      </c>
      <c r="H419" s="307"/>
      <c r="I419" s="301" t="s">
        <v>3404</v>
      </c>
      <c r="J419" s="305" t="s">
        <v>4687</v>
      </c>
      <c r="K419" s="301" t="s">
        <v>3323</v>
      </c>
      <c r="L419" s="301" t="s">
        <v>3284</v>
      </c>
      <c r="P419" s="303" t="b">
        <v>0</v>
      </c>
      <c r="Q419" s="299" t="s">
        <v>3296</v>
      </c>
      <c r="R419" s="300">
        <v>165.0</v>
      </c>
    </row>
    <row r="420" ht="15.0" customHeight="1">
      <c r="A420" s="294" t="s">
        <v>4688</v>
      </c>
      <c r="B420" s="295">
        <v>6.0</v>
      </c>
      <c r="C420" s="294" t="s">
        <v>3290</v>
      </c>
      <c r="D420" s="294" t="s">
        <v>308</v>
      </c>
      <c r="E420" s="296" t="b">
        <v>0</v>
      </c>
      <c r="F420" s="294" t="s">
        <v>3394</v>
      </c>
      <c r="G420" s="294" t="s">
        <v>3288</v>
      </c>
      <c r="H420" s="294" t="s">
        <v>4689</v>
      </c>
      <c r="I420" s="294" t="s">
        <v>3772</v>
      </c>
      <c r="J420" s="298" t="s">
        <v>4690</v>
      </c>
      <c r="K420" s="294" t="s">
        <v>69</v>
      </c>
      <c r="L420" s="294" t="s">
        <v>3284</v>
      </c>
      <c r="M420" s="294" t="s">
        <v>65</v>
      </c>
      <c r="N420" s="306"/>
      <c r="O420" s="306"/>
      <c r="P420" s="296" t="b">
        <v>0</v>
      </c>
      <c r="Q420" s="299" t="s">
        <v>3286</v>
      </c>
      <c r="R420" s="300">
        <v>112.0</v>
      </c>
    </row>
    <row r="421" ht="15.0" customHeight="1">
      <c r="A421" s="301" t="s">
        <v>4691</v>
      </c>
      <c r="B421" s="302">
        <v>6.0</v>
      </c>
      <c r="C421" s="301" t="s">
        <v>3267</v>
      </c>
      <c r="D421" s="301" t="s">
        <v>299</v>
      </c>
      <c r="E421" s="303" t="b">
        <v>1</v>
      </c>
      <c r="F421" s="301" t="s">
        <v>3394</v>
      </c>
      <c r="G421" s="301" t="s">
        <v>3269</v>
      </c>
      <c r="H421" s="307"/>
      <c r="I421" s="301" t="s">
        <v>3290</v>
      </c>
      <c r="J421" s="305" t="s">
        <v>4692</v>
      </c>
      <c r="K421" s="301" t="s">
        <v>35</v>
      </c>
      <c r="L421" s="307"/>
      <c r="M421" s="307"/>
      <c r="N421" s="307"/>
      <c r="O421" s="307"/>
      <c r="P421" s="303" t="b">
        <v>0</v>
      </c>
      <c r="Q421" s="299" t="s">
        <v>2360</v>
      </c>
      <c r="R421" s="300">
        <v>279.0</v>
      </c>
    </row>
    <row r="422" ht="15.0" customHeight="1">
      <c r="A422" s="294" t="s">
        <v>4693</v>
      </c>
      <c r="B422" s="295">
        <v>6.0</v>
      </c>
      <c r="C422" s="294" t="s">
        <v>3418</v>
      </c>
      <c r="D422" s="294" t="s">
        <v>310</v>
      </c>
      <c r="E422" s="296" t="b">
        <v>1</v>
      </c>
      <c r="F422" s="294" t="s">
        <v>3394</v>
      </c>
      <c r="G422" s="294" t="s">
        <v>3288</v>
      </c>
      <c r="H422" s="294" t="s">
        <v>4694</v>
      </c>
      <c r="I422" s="294" t="s">
        <v>3290</v>
      </c>
      <c r="J422" s="298" t="s">
        <v>4695</v>
      </c>
      <c r="K422" s="306"/>
      <c r="L422" s="306"/>
      <c r="M422" s="294" t="s">
        <v>3283</v>
      </c>
      <c r="P422" s="296" t="b">
        <v>0</v>
      </c>
      <c r="Q422" s="299" t="s">
        <v>3286</v>
      </c>
      <c r="R422" s="300">
        <v>116.0</v>
      </c>
    </row>
    <row r="423" ht="15.0" customHeight="1">
      <c r="A423" s="301" t="s">
        <v>4696</v>
      </c>
      <c r="B423" s="302">
        <v>6.0</v>
      </c>
      <c r="C423" s="301" t="s">
        <v>3267</v>
      </c>
      <c r="D423" s="301" t="s">
        <v>310</v>
      </c>
      <c r="E423" s="303" t="b">
        <v>1</v>
      </c>
      <c r="F423" s="301" t="s">
        <v>3394</v>
      </c>
      <c r="G423" s="301" t="s">
        <v>3288</v>
      </c>
      <c r="H423" s="301" t="s">
        <v>4697</v>
      </c>
      <c r="I423" s="301" t="s">
        <v>3404</v>
      </c>
      <c r="J423" s="305" t="s">
        <v>4698</v>
      </c>
      <c r="K423" s="301" t="s">
        <v>69</v>
      </c>
      <c r="L423" s="301" t="s">
        <v>3284</v>
      </c>
      <c r="M423" s="301" t="s">
        <v>23</v>
      </c>
      <c r="N423" s="307"/>
      <c r="O423" s="307"/>
      <c r="P423" s="303" t="b">
        <v>0</v>
      </c>
      <c r="Q423" s="299" t="s">
        <v>3296</v>
      </c>
      <c r="R423" s="300">
        <v>168.0</v>
      </c>
    </row>
    <row r="424" ht="15.0" customHeight="1">
      <c r="A424" s="294" t="s">
        <v>4699</v>
      </c>
      <c r="B424" s="295">
        <v>6.0</v>
      </c>
      <c r="C424" s="294" t="s">
        <v>3337</v>
      </c>
      <c r="D424" s="294" t="s">
        <v>310</v>
      </c>
      <c r="E424" s="296" t="b">
        <v>0</v>
      </c>
      <c r="F424" s="294" t="s">
        <v>3408</v>
      </c>
      <c r="G424" s="294" t="s">
        <v>3288</v>
      </c>
      <c r="H424" s="294" t="s">
        <v>4700</v>
      </c>
      <c r="I424" s="294" t="s">
        <v>3270</v>
      </c>
      <c r="J424" s="298" t="s">
        <v>4701</v>
      </c>
      <c r="K424" s="294" t="s">
        <v>69</v>
      </c>
      <c r="L424" s="294" t="s">
        <v>3284</v>
      </c>
      <c r="M424" s="294" t="s">
        <v>65</v>
      </c>
      <c r="N424" s="306"/>
      <c r="O424" s="306"/>
      <c r="P424" s="296" t="b">
        <v>0</v>
      </c>
      <c r="Q424" s="299" t="s">
        <v>2360</v>
      </c>
      <c r="R424" s="300">
        <v>283.0</v>
      </c>
    </row>
    <row r="425" ht="15.0" customHeight="1">
      <c r="A425" s="301" t="s">
        <v>4702</v>
      </c>
      <c r="B425" s="302">
        <v>6.0</v>
      </c>
      <c r="C425" s="301" t="s">
        <v>3290</v>
      </c>
      <c r="D425" s="301" t="s">
        <v>301</v>
      </c>
      <c r="E425" s="303" t="b">
        <v>0</v>
      </c>
      <c r="F425" s="301" t="s">
        <v>3408</v>
      </c>
      <c r="G425" s="301" t="s">
        <v>3288</v>
      </c>
      <c r="H425" s="301" t="s">
        <v>4703</v>
      </c>
      <c r="I425" s="301" t="s">
        <v>3772</v>
      </c>
      <c r="J425" s="305" t="s">
        <v>4704</v>
      </c>
      <c r="K425" s="301" t="s">
        <v>69</v>
      </c>
      <c r="L425" s="301" t="s">
        <v>3284</v>
      </c>
      <c r="P425" s="303" t="b">
        <v>1</v>
      </c>
      <c r="Q425" s="299" t="s">
        <v>2360</v>
      </c>
      <c r="R425" s="300">
        <v>284.0</v>
      </c>
    </row>
    <row r="426" ht="15.0" customHeight="1">
      <c r="A426" s="294" t="s">
        <v>4705</v>
      </c>
      <c r="B426" s="295">
        <v>6.0</v>
      </c>
      <c r="C426" s="294" t="s">
        <v>3404</v>
      </c>
      <c r="D426" s="294" t="s">
        <v>299</v>
      </c>
      <c r="E426" s="296" t="b">
        <v>0</v>
      </c>
      <c r="F426" s="294" t="s">
        <v>3408</v>
      </c>
      <c r="G426" s="294" t="s">
        <v>3288</v>
      </c>
      <c r="H426" s="294" t="s">
        <v>4706</v>
      </c>
      <c r="I426" s="294" t="s">
        <v>3487</v>
      </c>
      <c r="J426" s="298" t="s">
        <v>4707</v>
      </c>
      <c r="K426" s="294" t="s">
        <v>35</v>
      </c>
      <c r="L426" s="306"/>
      <c r="M426" s="306"/>
      <c r="N426" s="306"/>
      <c r="O426" s="306"/>
      <c r="P426" s="296" t="b">
        <v>0</v>
      </c>
      <c r="Q426" s="299" t="s">
        <v>2360</v>
      </c>
      <c r="R426" s="300">
        <v>285.0</v>
      </c>
    </row>
    <row r="427" ht="15.0" customHeight="1">
      <c r="A427" s="301" t="s">
        <v>4708</v>
      </c>
      <c r="B427" s="302">
        <v>6.0</v>
      </c>
      <c r="C427" s="301" t="s">
        <v>3404</v>
      </c>
      <c r="D427" s="301" t="s">
        <v>299</v>
      </c>
      <c r="E427" s="303" t="b">
        <v>0</v>
      </c>
      <c r="F427" s="301" t="s">
        <v>3408</v>
      </c>
      <c r="G427" s="301" t="s">
        <v>3288</v>
      </c>
      <c r="H427" s="301" t="s">
        <v>4709</v>
      </c>
      <c r="I427" s="301" t="s">
        <v>4678</v>
      </c>
      <c r="J427" s="305" t="s">
        <v>4710</v>
      </c>
      <c r="K427" s="301" t="s">
        <v>29</v>
      </c>
      <c r="L427" s="301" t="s">
        <v>3347</v>
      </c>
      <c r="P427" s="303" t="b">
        <v>1</v>
      </c>
      <c r="Q427" s="299" t="s">
        <v>2360</v>
      </c>
      <c r="R427" s="300">
        <v>287.0</v>
      </c>
    </row>
    <row r="428" ht="15.0" customHeight="1">
      <c r="A428" s="294" t="s">
        <v>4711</v>
      </c>
      <c r="B428" s="295">
        <v>6.0</v>
      </c>
      <c r="C428" s="294" t="s">
        <v>3404</v>
      </c>
      <c r="D428" s="294" t="s">
        <v>299</v>
      </c>
      <c r="E428" s="296" t="b">
        <v>0</v>
      </c>
      <c r="F428" s="294" t="s">
        <v>3408</v>
      </c>
      <c r="G428" s="294" t="s">
        <v>3288</v>
      </c>
      <c r="H428" s="294" t="s">
        <v>4712</v>
      </c>
      <c r="I428" s="294" t="s">
        <v>3487</v>
      </c>
      <c r="J428" s="298" t="s">
        <v>4713</v>
      </c>
      <c r="K428" s="294" t="s">
        <v>3525</v>
      </c>
      <c r="L428" s="294" t="s">
        <v>3284</v>
      </c>
      <c r="P428" s="296" t="b">
        <v>0</v>
      </c>
      <c r="Q428" s="299" t="s">
        <v>2360</v>
      </c>
      <c r="R428" s="300">
        <v>288.0</v>
      </c>
    </row>
    <row r="429" ht="15.0" customHeight="1">
      <c r="A429" s="301" t="s">
        <v>4714</v>
      </c>
      <c r="B429" s="302">
        <v>6.0</v>
      </c>
      <c r="C429" s="301" t="s">
        <v>3267</v>
      </c>
      <c r="D429" s="301" t="s">
        <v>302</v>
      </c>
      <c r="E429" s="303" t="b">
        <v>0</v>
      </c>
      <c r="F429" s="301" t="s">
        <v>3408</v>
      </c>
      <c r="G429" s="301" t="s">
        <v>3288</v>
      </c>
      <c r="H429" s="301" t="s">
        <v>4715</v>
      </c>
      <c r="I429" s="301" t="s">
        <v>3337</v>
      </c>
      <c r="J429" s="305" t="s">
        <v>4716</v>
      </c>
      <c r="K429" s="301" t="s">
        <v>4233</v>
      </c>
      <c r="L429" s="301" t="s">
        <v>3388</v>
      </c>
      <c r="P429" s="303" t="b">
        <v>0</v>
      </c>
      <c r="Q429" s="299" t="s">
        <v>2360</v>
      </c>
      <c r="R429" s="300">
        <v>289.0</v>
      </c>
    </row>
    <row r="430" ht="15.0" customHeight="1">
      <c r="A430" s="294" t="s">
        <v>4717</v>
      </c>
      <c r="B430" s="295">
        <v>7.0</v>
      </c>
      <c r="C430" s="294" t="s">
        <v>3267</v>
      </c>
      <c r="D430" s="294" t="s">
        <v>301</v>
      </c>
      <c r="E430" s="296" t="b">
        <v>0</v>
      </c>
      <c r="F430" s="294" t="s">
        <v>3268</v>
      </c>
      <c r="G430" s="294" t="s">
        <v>3308</v>
      </c>
      <c r="H430" s="306"/>
      <c r="I430" s="294" t="s">
        <v>3270</v>
      </c>
      <c r="J430" s="298" t="s">
        <v>4718</v>
      </c>
      <c r="K430" s="294" t="s">
        <v>3583</v>
      </c>
      <c r="L430" s="294" t="s">
        <v>3284</v>
      </c>
      <c r="P430" s="296" t="b">
        <v>0</v>
      </c>
      <c r="Q430" s="299" t="s">
        <v>2360</v>
      </c>
      <c r="R430" s="300">
        <v>225.0</v>
      </c>
    </row>
    <row r="431" ht="15.0" customHeight="1">
      <c r="A431" s="301" t="s">
        <v>4719</v>
      </c>
      <c r="B431" s="302">
        <v>7.0</v>
      </c>
      <c r="C431" s="301" t="s">
        <v>3267</v>
      </c>
      <c r="D431" s="301" t="s">
        <v>304</v>
      </c>
      <c r="E431" s="303" t="b">
        <v>0</v>
      </c>
      <c r="F431" s="301" t="s">
        <v>4025</v>
      </c>
      <c r="G431" s="301" t="s">
        <v>3288</v>
      </c>
      <c r="H431" s="301" t="s">
        <v>4720</v>
      </c>
      <c r="I431" s="301" t="s">
        <v>3337</v>
      </c>
      <c r="J431" s="305" t="s">
        <v>4721</v>
      </c>
      <c r="K431" s="301" t="s">
        <v>3587</v>
      </c>
      <c r="L431" s="301" t="s">
        <v>3284</v>
      </c>
      <c r="P431" s="303" t="b">
        <v>0</v>
      </c>
      <c r="Q431" s="299" t="s">
        <v>3580</v>
      </c>
      <c r="R431" s="300">
        <v>318.0</v>
      </c>
    </row>
    <row r="432" ht="15.0" customHeight="1">
      <c r="A432" s="294" t="s">
        <v>4722</v>
      </c>
      <c r="B432" s="295">
        <v>7.0</v>
      </c>
      <c r="C432" s="294" t="s">
        <v>3267</v>
      </c>
      <c r="D432" s="294" t="s">
        <v>310</v>
      </c>
      <c r="E432" s="296" t="b">
        <v>1</v>
      </c>
      <c r="F432" s="294" t="s">
        <v>4025</v>
      </c>
      <c r="G432" s="294" t="s">
        <v>3288</v>
      </c>
      <c r="H432" s="294" t="s">
        <v>4723</v>
      </c>
      <c r="I432" s="294" t="s">
        <v>3290</v>
      </c>
      <c r="J432" s="298" t="s">
        <v>4724</v>
      </c>
      <c r="K432" s="294" t="s">
        <v>3319</v>
      </c>
      <c r="L432" s="294" t="s">
        <v>3284</v>
      </c>
      <c r="P432" s="296" t="b">
        <v>0</v>
      </c>
      <c r="Q432" s="299" t="s">
        <v>3296</v>
      </c>
      <c r="R432" s="300">
        <v>152.0</v>
      </c>
    </row>
    <row r="433" ht="15.0" customHeight="1">
      <c r="A433" s="301" t="s">
        <v>4725</v>
      </c>
      <c r="B433" s="302">
        <v>7.0</v>
      </c>
      <c r="C433" s="301" t="s">
        <v>3337</v>
      </c>
      <c r="D433" s="301" t="s">
        <v>301</v>
      </c>
      <c r="E433" s="303" t="b">
        <v>0</v>
      </c>
      <c r="F433" s="301" t="s">
        <v>3280</v>
      </c>
      <c r="G433" s="301" t="s">
        <v>3288</v>
      </c>
      <c r="H433" s="301" t="s">
        <v>4726</v>
      </c>
      <c r="I433" s="301" t="s">
        <v>3487</v>
      </c>
      <c r="J433" s="305" t="s">
        <v>4727</v>
      </c>
      <c r="K433" s="301" t="s">
        <v>29</v>
      </c>
      <c r="L433" s="301" t="s">
        <v>3347</v>
      </c>
      <c r="P433" s="303" t="b">
        <v>0</v>
      </c>
      <c r="Q433" s="299" t="s">
        <v>2360</v>
      </c>
      <c r="R433" s="300">
        <v>230.0</v>
      </c>
    </row>
    <row r="434" ht="15.0" customHeight="1">
      <c r="A434" s="294" t="s">
        <v>4728</v>
      </c>
      <c r="B434" s="295">
        <v>7.0</v>
      </c>
      <c r="C434" s="294" t="s">
        <v>3267</v>
      </c>
      <c r="D434" s="294" t="s">
        <v>304</v>
      </c>
      <c r="E434" s="296" t="b">
        <v>1</v>
      </c>
      <c r="F434" s="294" t="s">
        <v>3743</v>
      </c>
      <c r="G434" s="294" t="s">
        <v>3288</v>
      </c>
      <c r="H434" s="294" t="s">
        <v>4061</v>
      </c>
      <c r="I434" s="294" t="s">
        <v>3290</v>
      </c>
      <c r="J434" s="298" t="s">
        <v>4729</v>
      </c>
      <c r="K434" s="294" t="s">
        <v>3466</v>
      </c>
      <c r="L434" s="294" t="s">
        <v>3284</v>
      </c>
      <c r="P434" s="296" t="b">
        <v>0</v>
      </c>
      <c r="Q434" s="299" t="s">
        <v>2360</v>
      </c>
      <c r="R434" s="300">
        <v>234.0</v>
      </c>
    </row>
    <row r="435" ht="15.0" customHeight="1">
      <c r="A435" s="301" t="s">
        <v>4730</v>
      </c>
      <c r="B435" s="302">
        <v>7.0</v>
      </c>
      <c r="C435" s="301" t="s">
        <v>3267</v>
      </c>
      <c r="D435" s="301" t="s">
        <v>304</v>
      </c>
      <c r="E435" s="303" t="b">
        <v>0</v>
      </c>
      <c r="F435" s="301" t="s">
        <v>3743</v>
      </c>
      <c r="G435" s="301" t="s">
        <v>3269</v>
      </c>
      <c r="H435" s="307"/>
      <c r="I435" s="301" t="s">
        <v>3270</v>
      </c>
      <c r="J435" s="305" t="s">
        <v>4731</v>
      </c>
      <c r="K435" s="301" t="s">
        <v>4474</v>
      </c>
      <c r="L435" s="301" t="s">
        <v>3347</v>
      </c>
      <c r="P435" s="303" t="b">
        <v>0</v>
      </c>
      <c r="Q435" s="299" t="s">
        <v>3286</v>
      </c>
      <c r="R435" s="300">
        <v>106.0</v>
      </c>
    </row>
    <row r="436" ht="15.0" customHeight="1">
      <c r="A436" s="294" t="s">
        <v>4732</v>
      </c>
      <c r="B436" s="295">
        <v>7.0</v>
      </c>
      <c r="C436" s="294" t="s">
        <v>3404</v>
      </c>
      <c r="D436" s="294" t="s">
        <v>301</v>
      </c>
      <c r="E436" s="296" t="b">
        <v>0</v>
      </c>
      <c r="F436" s="294" t="s">
        <v>4733</v>
      </c>
      <c r="G436" s="294" t="s">
        <v>3288</v>
      </c>
      <c r="H436" s="294" t="s">
        <v>4734</v>
      </c>
      <c r="I436" s="294" t="s">
        <v>4735</v>
      </c>
      <c r="J436" s="298" t="s">
        <v>4736</v>
      </c>
      <c r="K436" s="306"/>
      <c r="L436" s="306"/>
      <c r="M436" s="294" t="s">
        <v>3332</v>
      </c>
      <c r="P436" s="296" t="b">
        <v>0</v>
      </c>
      <c r="Q436" s="299" t="s">
        <v>2360</v>
      </c>
      <c r="R436" s="300">
        <v>238.0</v>
      </c>
    </row>
    <row r="437" ht="15.0" customHeight="1">
      <c r="A437" s="301" t="s">
        <v>4737</v>
      </c>
      <c r="B437" s="302">
        <v>7.0</v>
      </c>
      <c r="C437" s="301" t="s">
        <v>3418</v>
      </c>
      <c r="D437" s="301" t="s">
        <v>304</v>
      </c>
      <c r="E437" s="303" t="b">
        <v>0</v>
      </c>
      <c r="F437" s="301" t="s">
        <v>3312</v>
      </c>
      <c r="G437" s="301" t="s">
        <v>3308</v>
      </c>
      <c r="H437" s="307"/>
      <c r="I437" s="301" t="s">
        <v>3270</v>
      </c>
      <c r="J437" s="305" t="s">
        <v>4738</v>
      </c>
      <c r="K437" s="301" t="s">
        <v>29</v>
      </c>
      <c r="L437" s="301" t="s">
        <v>3347</v>
      </c>
      <c r="P437" s="303" t="b">
        <v>0</v>
      </c>
      <c r="Q437" s="299" t="s">
        <v>2360</v>
      </c>
      <c r="R437" s="300">
        <v>241.0</v>
      </c>
    </row>
    <row r="438" ht="15.0" customHeight="1">
      <c r="A438" s="294" t="s">
        <v>4739</v>
      </c>
      <c r="B438" s="295">
        <v>7.0</v>
      </c>
      <c r="C438" s="294" t="s">
        <v>3290</v>
      </c>
      <c r="D438" s="294" t="s">
        <v>301</v>
      </c>
      <c r="E438" s="296" t="b">
        <v>0</v>
      </c>
      <c r="F438" s="294" t="s">
        <v>3786</v>
      </c>
      <c r="G438" s="294" t="s">
        <v>3288</v>
      </c>
      <c r="H438" s="294" t="s">
        <v>4740</v>
      </c>
      <c r="I438" s="294" t="s">
        <v>3487</v>
      </c>
      <c r="J438" s="298" t="s">
        <v>4741</v>
      </c>
      <c r="K438" s="294" t="s">
        <v>3525</v>
      </c>
      <c r="L438" s="294" t="s">
        <v>3284</v>
      </c>
      <c r="P438" s="296" t="b">
        <v>0</v>
      </c>
      <c r="Q438" s="299" t="s">
        <v>2360</v>
      </c>
      <c r="R438" s="300">
        <v>242.0</v>
      </c>
    </row>
    <row r="439" ht="15.0" customHeight="1">
      <c r="A439" s="301" t="s">
        <v>4742</v>
      </c>
      <c r="B439" s="302">
        <v>7.0</v>
      </c>
      <c r="C439" s="301" t="s">
        <v>3267</v>
      </c>
      <c r="D439" s="301" t="s">
        <v>304</v>
      </c>
      <c r="E439" s="303" t="b">
        <v>1</v>
      </c>
      <c r="F439" s="301" t="s">
        <v>3786</v>
      </c>
      <c r="G439" s="301" t="s">
        <v>3367</v>
      </c>
      <c r="H439" s="301" t="s">
        <v>4743</v>
      </c>
      <c r="I439" s="301" t="s">
        <v>3290</v>
      </c>
      <c r="J439" s="305" t="s">
        <v>4744</v>
      </c>
      <c r="K439" s="301" t="s">
        <v>3319</v>
      </c>
      <c r="L439" s="301" t="s">
        <v>3284</v>
      </c>
      <c r="P439" s="303" t="b">
        <v>0</v>
      </c>
      <c r="Q439" s="299" t="s">
        <v>2360</v>
      </c>
      <c r="R439" s="300">
        <v>243.0</v>
      </c>
    </row>
    <row r="440" ht="15.0" customHeight="1">
      <c r="A440" s="294" t="s">
        <v>4745</v>
      </c>
      <c r="B440" s="295">
        <v>7.0</v>
      </c>
      <c r="C440" s="294" t="s">
        <v>3267</v>
      </c>
      <c r="D440" s="294" t="s">
        <v>305</v>
      </c>
      <c r="E440" s="296" t="b">
        <v>1</v>
      </c>
      <c r="F440" s="294" t="s">
        <v>4746</v>
      </c>
      <c r="G440" s="294" t="s">
        <v>3288</v>
      </c>
      <c r="H440" s="294" t="s">
        <v>4747</v>
      </c>
      <c r="I440" s="294" t="s">
        <v>4678</v>
      </c>
      <c r="J440" s="298" t="s">
        <v>4748</v>
      </c>
      <c r="K440" s="294" t="s">
        <v>3525</v>
      </c>
      <c r="L440" s="294" t="s">
        <v>3284</v>
      </c>
      <c r="M440" s="294" t="s">
        <v>65</v>
      </c>
      <c r="N440" s="306"/>
      <c r="O440" s="306"/>
      <c r="P440" s="296" t="b">
        <v>0</v>
      </c>
      <c r="Q440" s="299" t="s">
        <v>2360</v>
      </c>
      <c r="R440" s="300">
        <v>260.0</v>
      </c>
    </row>
    <row r="441" ht="15.0" customHeight="1">
      <c r="A441" s="301" t="s">
        <v>4749</v>
      </c>
      <c r="B441" s="302">
        <v>7.0</v>
      </c>
      <c r="C441" s="301" t="s">
        <v>3267</v>
      </c>
      <c r="D441" s="301" t="s">
        <v>308</v>
      </c>
      <c r="E441" s="303" t="b">
        <v>0</v>
      </c>
      <c r="F441" s="301" t="s">
        <v>3370</v>
      </c>
      <c r="G441" s="301" t="s">
        <v>3269</v>
      </c>
      <c r="H441" s="307"/>
      <c r="I441" s="301" t="s">
        <v>3270</v>
      </c>
      <c r="J441" s="305" t="s">
        <v>4750</v>
      </c>
      <c r="K441" s="301" t="s">
        <v>3283</v>
      </c>
      <c r="L441" s="301" t="s">
        <v>3284</v>
      </c>
      <c r="P441" s="303" t="b">
        <v>0</v>
      </c>
      <c r="Q441" s="299" t="s">
        <v>2360</v>
      </c>
      <c r="R441" s="300">
        <v>261.0</v>
      </c>
    </row>
    <row r="442" ht="15.0" customHeight="1">
      <c r="A442" s="294" t="s">
        <v>4751</v>
      </c>
      <c r="B442" s="295">
        <v>7.0</v>
      </c>
      <c r="C442" s="294" t="s">
        <v>3267</v>
      </c>
      <c r="D442" s="294" t="s">
        <v>304</v>
      </c>
      <c r="E442" s="296" t="b">
        <v>1</v>
      </c>
      <c r="F442" s="294" t="s">
        <v>3370</v>
      </c>
      <c r="G442" s="294" t="s">
        <v>3288</v>
      </c>
      <c r="H442" s="294" t="s">
        <v>4752</v>
      </c>
      <c r="I442" s="294" t="s">
        <v>3290</v>
      </c>
      <c r="J442" s="298" t="s">
        <v>4753</v>
      </c>
      <c r="K442" s="294" t="s">
        <v>3525</v>
      </c>
      <c r="L442" s="294" t="s">
        <v>3284</v>
      </c>
      <c r="P442" s="296" t="b">
        <v>0</v>
      </c>
      <c r="Q442" s="299" t="s">
        <v>2360</v>
      </c>
      <c r="R442" s="300">
        <v>262.0</v>
      </c>
    </row>
    <row r="443" ht="15.0" customHeight="1">
      <c r="A443" s="301" t="s">
        <v>4754</v>
      </c>
      <c r="B443" s="302">
        <v>7.0</v>
      </c>
      <c r="C443" s="301" t="s">
        <v>3267</v>
      </c>
      <c r="D443" s="301" t="s">
        <v>303</v>
      </c>
      <c r="E443" s="303" t="b">
        <v>0</v>
      </c>
      <c r="F443" s="301" t="s">
        <v>3370</v>
      </c>
      <c r="G443" s="301" t="s">
        <v>3308</v>
      </c>
      <c r="H443" s="307"/>
      <c r="I443" s="301" t="s">
        <v>3270</v>
      </c>
      <c r="J443" s="305" t="s">
        <v>4755</v>
      </c>
      <c r="K443" s="301" t="s">
        <v>3283</v>
      </c>
      <c r="L443" s="301" t="s">
        <v>3284</v>
      </c>
      <c r="M443" s="301" t="s">
        <v>23</v>
      </c>
      <c r="N443" s="307"/>
      <c r="O443" s="307"/>
      <c r="P443" s="303" t="b">
        <v>0</v>
      </c>
      <c r="Q443" s="299" t="s">
        <v>2360</v>
      </c>
      <c r="R443" s="300">
        <v>266.0</v>
      </c>
    </row>
    <row r="444" ht="15.0" customHeight="1">
      <c r="A444" s="294" t="s">
        <v>4756</v>
      </c>
      <c r="B444" s="295">
        <v>7.0</v>
      </c>
      <c r="C444" s="294" t="s">
        <v>3267</v>
      </c>
      <c r="D444" s="294" t="s">
        <v>304</v>
      </c>
      <c r="E444" s="296" t="b">
        <v>0</v>
      </c>
      <c r="F444" s="294" t="s">
        <v>3370</v>
      </c>
      <c r="G444" s="294" t="s">
        <v>3269</v>
      </c>
      <c r="H444" s="306"/>
      <c r="I444" s="294" t="s">
        <v>3270</v>
      </c>
      <c r="J444" s="298" t="s">
        <v>4757</v>
      </c>
      <c r="K444" s="294" t="s">
        <v>3466</v>
      </c>
      <c r="L444" s="294" t="s">
        <v>3284</v>
      </c>
      <c r="M444" s="294" t="s">
        <v>3474</v>
      </c>
      <c r="O444" s="306"/>
      <c r="P444" s="296" t="b">
        <v>0</v>
      </c>
      <c r="Q444" s="299" t="s">
        <v>3296</v>
      </c>
      <c r="R444" s="300">
        <v>163.0</v>
      </c>
    </row>
    <row r="445" ht="15.0" customHeight="1">
      <c r="A445" s="301" t="s">
        <v>4758</v>
      </c>
      <c r="B445" s="302">
        <v>7.0</v>
      </c>
      <c r="C445" s="301" t="s">
        <v>3267</v>
      </c>
      <c r="D445" s="301" t="s">
        <v>308</v>
      </c>
      <c r="E445" s="303" t="b">
        <v>1</v>
      </c>
      <c r="F445" s="301" t="s">
        <v>3370</v>
      </c>
      <c r="G445" s="301" t="s">
        <v>3288</v>
      </c>
      <c r="H445" s="301" t="s">
        <v>4759</v>
      </c>
      <c r="I445" s="301" t="s">
        <v>3337</v>
      </c>
      <c r="J445" s="305" t="s">
        <v>4760</v>
      </c>
      <c r="K445" s="307"/>
      <c r="L445" s="301" t="s">
        <v>3341</v>
      </c>
      <c r="O445" s="307"/>
      <c r="P445" s="303" t="b">
        <v>0</v>
      </c>
      <c r="Q445" s="299" t="s">
        <v>2360</v>
      </c>
      <c r="R445" s="300">
        <v>267.0</v>
      </c>
    </row>
    <row r="446" ht="15.0" customHeight="1">
      <c r="A446" s="294" t="s">
        <v>4761</v>
      </c>
      <c r="B446" s="295">
        <v>7.0</v>
      </c>
      <c r="C446" s="294" t="s">
        <v>3290</v>
      </c>
      <c r="D446" s="294" t="s">
        <v>301</v>
      </c>
      <c r="E446" s="296" t="b">
        <v>1</v>
      </c>
      <c r="F446" s="294" t="s">
        <v>3588</v>
      </c>
      <c r="G446" s="294" t="s">
        <v>3269</v>
      </c>
      <c r="H446" s="306"/>
      <c r="I446" s="294" t="s">
        <v>3337</v>
      </c>
      <c r="J446" s="298" t="s">
        <v>4762</v>
      </c>
      <c r="K446" s="294" t="s">
        <v>29</v>
      </c>
      <c r="L446" s="294" t="s">
        <v>3347</v>
      </c>
      <c r="P446" s="296" t="b">
        <v>0</v>
      </c>
      <c r="Q446" s="299" t="s">
        <v>2360</v>
      </c>
      <c r="R446" s="300">
        <v>270.0</v>
      </c>
    </row>
    <row r="447" ht="15.0" customHeight="1">
      <c r="A447" s="301" t="s">
        <v>4763</v>
      </c>
      <c r="B447" s="302">
        <v>7.0</v>
      </c>
      <c r="C447" s="301" t="s">
        <v>3267</v>
      </c>
      <c r="D447" s="301" t="s">
        <v>304</v>
      </c>
      <c r="E447" s="303" t="b">
        <v>0</v>
      </c>
      <c r="F447" s="301" t="s">
        <v>3394</v>
      </c>
      <c r="G447" s="301" t="s">
        <v>3269</v>
      </c>
      <c r="H447" s="307"/>
      <c r="I447" s="301" t="s">
        <v>3337</v>
      </c>
      <c r="J447" s="305" t="s">
        <v>4764</v>
      </c>
      <c r="K447" s="301" t="s">
        <v>3283</v>
      </c>
      <c r="L447" s="301" t="s">
        <v>3284</v>
      </c>
      <c r="P447" s="303" t="b">
        <v>0</v>
      </c>
      <c r="Q447" s="299" t="s">
        <v>2360</v>
      </c>
      <c r="R447" s="300">
        <v>271.0</v>
      </c>
    </row>
    <row r="448" ht="15.0" customHeight="1">
      <c r="A448" s="294" t="s">
        <v>4765</v>
      </c>
      <c r="B448" s="295">
        <v>7.0</v>
      </c>
      <c r="C448" s="294" t="s">
        <v>3267</v>
      </c>
      <c r="D448" s="294" t="s">
        <v>310</v>
      </c>
      <c r="E448" s="296" t="b">
        <v>0</v>
      </c>
      <c r="F448" s="294" t="s">
        <v>3394</v>
      </c>
      <c r="G448" s="294" t="s">
        <v>3269</v>
      </c>
      <c r="H448" s="297"/>
      <c r="I448" s="294" t="s">
        <v>4766</v>
      </c>
      <c r="J448" s="298" t="s">
        <v>4767</v>
      </c>
      <c r="K448" s="294" t="s">
        <v>4233</v>
      </c>
      <c r="L448" s="294" t="s">
        <v>4768</v>
      </c>
      <c r="P448" s="296" t="b">
        <v>0</v>
      </c>
      <c r="Q448" s="299" t="s">
        <v>2360</v>
      </c>
      <c r="R448" s="300">
        <v>272.0</v>
      </c>
    </row>
    <row r="449" ht="15.0" customHeight="1">
      <c r="A449" s="301" t="s">
        <v>4769</v>
      </c>
      <c r="B449" s="302">
        <v>7.0</v>
      </c>
      <c r="C449" s="301" t="s">
        <v>3404</v>
      </c>
      <c r="D449" s="301" t="s">
        <v>305</v>
      </c>
      <c r="E449" s="303" t="b">
        <v>0</v>
      </c>
      <c r="F449" s="301" t="s">
        <v>3930</v>
      </c>
      <c r="G449" s="301" t="s">
        <v>3269</v>
      </c>
      <c r="H449" s="307"/>
      <c r="I449" s="301" t="s">
        <v>3700</v>
      </c>
      <c r="J449" s="305" t="s">
        <v>4770</v>
      </c>
      <c r="K449" s="301" t="s">
        <v>4771</v>
      </c>
      <c r="L449" s="301" t="s">
        <v>3284</v>
      </c>
      <c r="P449" s="303" t="b">
        <v>0</v>
      </c>
      <c r="Q449" s="299" t="s">
        <v>2360</v>
      </c>
      <c r="R449" s="300">
        <v>272.0</v>
      </c>
    </row>
    <row r="450" ht="15.0" customHeight="1">
      <c r="A450" s="294" t="s">
        <v>4772</v>
      </c>
      <c r="B450" s="295">
        <v>7.0</v>
      </c>
      <c r="C450" s="294" t="s">
        <v>3337</v>
      </c>
      <c r="D450" s="294" t="s">
        <v>310</v>
      </c>
      <c r="E450" s="296" t="b">
        <v>0</v>
      </c>
      <c r="F450" s="294" t="s">
        <v>3408</v>
      </c>
      <c r="G450" s="294" t="s">
        <v>3288</v>
      </c>
      <c r="H450" s="294" t="s">
        <v>4773</v>
      </c>
      <c r="I450" s="294" t="s">
        <v>3270</v>
      </c>
      <c r="J450" s="298" t="s">
        <v>4774</v>
      </c>
      <c r="K450" s="294" t="s">
        <v>69</v>
      </c>
      <c r="L450" s="306"/>
      <c r="M450" s="306"/>
      <c r="N450" s="306"/>
      <c r="O450" s="306"/>
      <c r="P450" s="296" t="b">
        <v>0</v>
      </c>
      <c r="Q450" s="299" t="s">
        <v>2360</v>
      </c>
      <c r="R450" s="300">
        <v>274.0</v>
      </c>
    </row>
    <row r="451" ht="15.0" customHeight="1">
      <c r="A451" s="301" t="s">
        <v>4775</v>
      </c>
      <c r="B451" s="302">
        <v>7.0</v>
      </c>
      <c r="C451" s="301" t="s">
        <v>3267</v>
      </c>
      <c r="D451" s="301" t="s">
        <v>301</v>
      </c>
      <c r="E451" s="303" t="b">
        <v>0</v>
      </c>
      <c r="F451" s="301" t="s">
        <v>3408</v>
      </c>
      <c r="G451" s="301" t="s">
        <v>3288</v>
      </c>
      <c r="H451" s="301" t="s">
        <v>4776</v>
      </c>
      <c r="I451" s="301" t="s">
        <v>3270</v>
      </c>
      <c r="J451" s="305" t="s">
        <v>4777</v>
      </c>
      <c r="K451" s="301" t="s">
        <v>4778</v>
      </c>
      <c r="L451" s="301" t="s">
        <v>3388</v>
      </c>
      <c r="P451" s="303" t="b">
        <v>0</v>
      </c>
      <c r="Q451" s="299" t="s">
        <v>2360</v>
      </c>
      <c r="R451" s="300">
        <v>276.0</v>
      </c>
    </row>
    <row r="452" ht="15.0" customHeight="1">
      <c r="A452" s="294" t="s">
        <v>4779</v>
      </c>
      <c r="B452" s="295">
        <v>7.0</v>
      </c>
      <c r="C452" s="294" t="s">
        <v>3290</v>
      </c>
      <c r="D452" s="294" t="s">
        <v>310</v>
      </c>
      <c r="E452" s="296" t="b">
        <v>0</v>
      </c>
      <c r="F452" s="294" t="s">
        <v>3408</v>
      </c>
      <c r="G452" s="294" t="s">
        <v>3288</v>
      </c>
      <c r="H452" s="294" t="s">
        <v>4780</v>
      </c>
      <c r="I452" s="294" t="s">
        <v>3337</v>
      </c>
      <c r="J452" s="298" t="s">
        <v>4781</v>
      </c>
      <c r="K452" s="294" t="s">
        <v>3561</v>
      </c>
      <c r="L452" s="294" t="s">
        <v>3347</v>
      </c>
      <c r="P452" s="296" t="b">
        <v>0</v>
      </c>
      <c r="Q452" s="299" t="s">
        <v>2360</v>
      </c>
      <c r="R452" s="300">
        <v>280.0</v>
      </c>
    </row>
    <row r="453" ht="15.0" customHeight="1">
      <c r="A453" s="301" t="s">
        <v>4782</v>
      </c>
      <c r="B453" s="302">
        <v>7.0</v>
      </c>
      <c r="C453" s="301" t="s">
        <v>3337</v>
      </c>
      <c r="D453" s="301" t="s">
        <v>308</v>
      </c>
      <c r="E453" s="303" t="b">
        <v>0</v>
      </c>
      <c r="F453" s="301" t="s">
        <v>3408</v>
      </c>
      <c r="G453" s="301" t="s">
        <v>3288</v>
      </c>
      <c r="H453" s="301" t="s">
        <v>4783</v>
      </c>
      <c r="I453" s="301" t="s">
        <v>3270</v>
      </c>
      <c r="J453" s="305" t="s">
        <v>4784</v>
      </c>
      <c r="K453" s="301" t="s">
        <v>3494</v>
      </c>
      <c r="L453" s="301" t="s">
        <v>3347</v>
      </c>
      <c r="P453" s="303" t="b">
        <v>0</v>
      </c>
      <c r="Q453" s="299" t="s">
        <v>2360</v>
      </c>
      <c r="R453" s="300">
        <v>281.0</v>
      </c>
    </row>
    <row r="454" ht="15.0" customHeight="1">
      <c r="A454" s="294" t="s">
        <v>4785</v>
      </c>
      <c r="B454" s="295">
        <v>7.0</v>
      </c>
      <c r="C454" s="294" t="s">
        <v>3267</v>
      </c>
      <c r="D454" s="294" t="s">
        <v>310</v>
      </c>
      <c r="E454" s="296" t="b">
        <v>0</v>
      </c>
      <c r="F454" s="294" t="s">
        <v>3408</v>
      </c>
      <c r="G454" s="294" t="s">
        <v>3288</v>
      </c>
      <c r="H454" s="294" t="s">
        <v>4786</v>
      </c>
      <c r="I454" s="294" t="s">
        <v>3772</v>
      </c>
      <c r="J454" s="298" t="s">
        <v>4787</v>
      </c>
      <c r="K454" s="294" t="s">
        <v>69</v>
      </c>
      <c r="L454" s="294" t="s">
        <v>3284</v>
      </c>
      <c r="P454" s="296" t="b">
        <v>0</v>
      </c>
      <c r="Q454" s="299" t="s">
        <v>3296</v>
      </c>
      <c r="R454" s="300">
        <v>167.0</v>
      </c>
    </row>
    <row r="455" ht="15.0" customHeight="1">
      <c r="A455" s="301" t="s">
        <v>4788</v>
      </c>
      <c r="B455" s="302">
        <v>7.0</v>
      </c>
      <c r="C455" s="301" t="s">
        <v>4789</v>
      </c>
      <c r="D455" s="301" t="s">
        <v>305</v>
      </c>
      <c r="E455" s="303" t="b">
        <v>0</v>
      </c>
      <c r="F455" s="301" t="s">
        <v>3408</v>
      </c>
      <c r="G455" s="301" t="s">
        <v>3288</v>
      </c>
      <c r="H455" s="301" t="s">
        <v>4790</v>
      </c>
      <c r="I455" s="301" t="s">
        <v>3772</v>
      </c>
      <c r="J455" s="305" t="s">
        <v>4791</v>
      </c>
      <c r="K455" s="301" t="s">
        <v>69</v>
      </c>
      <c r="L455" s="301" t="s">
        <v>3284</v>
      </c>
      <c r="P455" s="303" t="b">
        <v>0</v>
      </c>
      <c r="Q455" s="299" t="s">
        <v>3392</v>
      </c>
      <c r="R455" s="300">
        <v>189.0</v>
      </c>
    </row>
    <row r="456" ht="15.0" customHeight="1">
      <c r="A456" s="294" t="s">
        <v>4792</v>
      </c>
      <c r="B456" s="295">
        <v>7.0</v>
      </c>
      <c r="C456" s="294" t="s">
        <v>3290</v>
      </c>
      <c r="D456" s="294" t="s">
        <v>299</v>
      </c>
      <c r="E456" s="296" t="b">
        <v>0</v>
      </c>
      <c r="F456" s="294" t="s">
        <v>3408</v>
      </c>
      <c r="G456" s="294" t="s">
        <v>3288</v>
      </c>
      <c r="H456" s="294" t="s">
        <v>4793</v>
      </c>
      <c r="I456" s="294" t="s">
        <v>4205</v>
      </c>
      <c r="J456" s="298" t="s">
        <v>4794</v>
      </c>
      <c r="K456" s="294" t="s">
        <v>4093</v>
      </c>
      <c r="L456" s="294" t="s">
        <v>3388</v>
      </c>
      <c r="M456" s="294" t="s">
        <v>3949</v>
      </c>
      <c r="O456" s="306"/>
      <c r="P456" s="296" t="b">
        <v>0</v>
      </c>
      <c r="Q456" s="299" t="s">
        <v>3296</v>
      </c>
      <c r="R456" s="300">
        <v>171.0</v>
      </c>
    </row>
    <row r="457" ht="15.0" customHeight="1">
      <c r="A457" s="301" t="s">
        <v>4795</v>
      </c>
      <c r="B457" s="302">
        <v>8.0</v>
      </c>
      <c r="C457" s="301" t="s">
        <v>3290</v>
      </c>
      <c r="D457" s="301" t="s">
        <v>301</v>
      </c>
      <c r="E457" s="303" t="b">
        <v>0</v>
      </c>
      <c r="F457" s="301" t="s">
        <v>4004</v>
      </c>
      <c r="G457" s="301" t="s">
        <v>3288</v>
      </c>
      <c r="H457" s="301" t="s">
        <v>4582</v>
      </c>
      <c r="I457" s="301" t="s">
        <v>3270</v>
      </c>
      <c r="J457" s="305" t="s">
        <v>4796</v>
      </c>
      <c r="K457" s="301" t="s">
        <v>69</v>
      </c>
      <c r="L457" s="301" t="s">
        <v>3284</v>
      </c>
      <c r="P457" s="303" t="b">
        <v>0</v>
      </c>
      <c r="Q457" s="299" t="s">
        <v>3296</v>
      </c>
      <c r="R457" s="300">
        <v>150.0</v>
      </c>
    </row>
    <row r="458" ht="15.0" customHeight="1">
      <c r="A458" s="294" t="s">
        <v>4797</v>
      </c>
      <c r="B458" s="295">
        <v>8.0</v>
      </c>
      <c r="C458" s="294" t="s">
        <v>3267</v>
      </c>
      <c r="D458" s="294" t="s">
        <v>299</v>
      </c>
      <c r="E458" s="296" t="b">
        <v>1</v>
      </c>
      <c r="F458" s="294" t="s">
        <v>3268</v>
      </c>
      <c r="G458" s="294" t="s">
        <v>3288</v>
      </c>
      <c r="H458" s="294" t="s">
        <v>4798</v>
      </c>
      <c r="I458" s="294" t="s">
        <v>3337</v>
      </c>
      <c r="J458" s="298" t="s">
        <v>4799</v>
      </c>
      <c r="K458" s="294" t="s">
        <v>3965</v>
      </c>
      <c r="L458" s="294" t="s">
        <v>3388</v>
      </c>
      <c r="P458" s="296" t="b">
        <v>0</v>
      </c>
      <c r="Q458" s="299" t="s">
        <v>2360</v>
      </c>
      <c r="R458" s="300">
        <v>212.0</v>
      </c>
    </row>
    <row r="459" ht="15.0" customHeight="1">
      <c r="A459" s="301" t="s">
        <v>4800</v>
      </c>
      <c r="B459" s="302">
        <v>8.0</v>
      </c>
      <c r="C459" s="301" t="s">
        <v>3267</v>
      </c>
      <c r="D459" s="301" t="s">
        <v>305</v>
      </c>
      <c r="E459" s="303" t="b">
        <v>1</v>
      </c>
      <c r="F459" s="301" t="s">
        <v>3280</v>
      </c>
      <c r="G459" s="301" t="s">
        <v>3336</v>
      </c>
      <c r="H459" s="304"/>
      <c r="I459" s="301" t="s">
        <v>3290</v>
      </c>
      <c r="J459" s="305" t="s">
        <v>4801</v>
      </c>
      <c r="K459" s="301" t="s">
        <v>69</v>
      </c>
      <c r="L459" s="301" t="s">
        <v>3284</v>
      </c>
      <c r="P459" s="303" t="b">
        <v>0</v>
      </c>
      <c r="Q459" s="299" t="s">
        <v>2360</v>
      </c>
      <c r="R459" s="300">
        <v>213.0</v>
      </c>
    </row>
    <row r="460" ht="15.0" customHeight="1">
      <c r="A460" s="294" t="s">
        <v>4802</v>
      </c>
      <c r="B460" s="295">
        <v>8.0</v>
      </c>
      <c r="C460" s="294" t="s">
        <v>3267</v>
      </c>
      <c r="D460" s="294" t="s">
        <v>308</v>
      </c>
      <c r="E460" s="296" t="b">
        <v>0</v>
      </c>
      <c r="F460" s="294" t="s">
        <v>3743</v>
      </c>
      <c r="G460" s="294" t="s">
        <v>3288</v>
      </c>
      <c r="H460" s="294" t="s">
        <v>4803</v>
      </c>
      <c r="I460" s="294" t="s">
        <v>3270</v>
      </c>
      <c r="J460" s="298" t="s">
        <v>4804</v>
      </c>
      <c r="K460" s="294" t="s">
        <v>3466</v>
      </c>
      <c r="L460" s="294" t="s">
        <v>3284</v>
      </c>
      <c r="M460" s="294" t="s">
        <v>65</v>
      </c>
      <c r="N460" s="306"/>
      <c r="O460" s="306"/>
      <c r="P460" s="296" t="b">
        <v>0</v>
      </c>
      <c r="Q460" s="299" t="s">
        <v>2360</v>
      </c>
      <c r="R460" s="300">
        <v>214.0</v>
      </c>
    </row>
    <row r="461" ht="15.0" customHeight="1">
      <c r="A461" s="301" t="s">
        <v>4805</v>
      </c>
      <c r="B461" s="302">
        <v>8.0</v>
      </c>
      <c r="C461" s="301" t="s">
        <v>3267</v>
      </c>
      <c r="D461" s="301" t="s">
        <v>304</v>
      </c>
      <c r="E461" s="303" t="b">
        <v>1</v>
      </c>
      <c r="F461" s="301" t="s">
        <v>3743</v>
      </c>
      <c r="G461" s="301" t="s">
        <v>3288</v>
      </c>
      <c r="H461" s="301" t="s">
        <v>4806</v>
      </c>
      <c r="I461" s="301" t="s">
        <v>3290</v>
      </c>
      <c r="J461" s="305" t="s">
        <v>4807</v>
      </c>
      <c r="K461" s="307"/>
      <c r="L461" s="301" t="s">
        <v>3570</v>
      </c>
      <c r="N461" s="304"/>
      <c r="O461" s="307"/>
      <c r="P461" s="303" t="b">
        <v>0</v>
      </c>
      <c r="Q461" s="299" t="s">
        <v>2360</v>
      </c>
      <c r="R461" s="300">
        <v>222.0</v>
      </c>
    </row>
    <row r="462" ht="15.0" customHeight="1">
      <c r="A462" s="294" t="s">
        <v>4808</v>
      </c>
      <c r="B462" s="295">
        <v>8.0</v>
      </c>
      <c r="C462" s="294" t="s">
        <v>3267</v>
      </c>
      <c r="D462" s="294" t="s">
        <v>303</v>
      </c>
      <c r="E462" s="296" t="b">
        <v>0</v>
      </c>
      <c r="F462" s="294" t="s">
        <v>3743</v>
      </c>
      <c r="G462" s="294" t="s">
        <v>3288</v>
      </c>
      <c r="H462" s="294" t="s">
        <v>4809</v>
      </c>
      <c r="I462" s="294" t="s">
        <v>3270</v>
      </c>
      <c r="J462" s="298" t="s">
        <v>4810</v>
      </c>
      <c r="K462" s="294" t="s">
        <v>4308</v>
      </c>
      <c r="L462" s="294" t="s">
        <v>3284</v>
      </c>
      <c r="P462" s="296" t="b">
        <v>0</v>
      </c>
      <c r="Q462" s="299" t="s">
        <v>2360</v>
      </c>
      <c r="R462" s="300">
        <v>228.0</v>
      </c>
    </row>
    <row r="463" ht="15.0" customHeight="1">
      <c r="A463" s="301" t="s">
        <v>4811</v>
      </c>
      <c r="B463" s="302">
        <v>8.0</v>
      </c>
      <c r="C463" s="301" t="s">
        <v>3267</v>
      </c>
      <c r="D463" s="301" t="s">
        <v>301</v>
      </c>
      <c r="E463" s="303" t="b">
        <v>1</v>
      </c>
      <c r="F463" s="301" t="s">
        <v>3743</v>
      </c>
      <c r="G463" s="301" t="s">
        <v>3269</v>
      </c>
      <c r="H463" s="304"/>
      <c r="I463" s="301" t="s">
        <v>3290</v>
      </c>
      <c r="J463" s="305" t="s">
        <v>4812</v>
      </c>
      <c r="K463" s="301" t="s">
        <v>3466</v>
      </c>
      <c r="L463" s="301" t="s">
        <v>3284</v>
      </c>
      <c r="M463" s="301" t="s">
        <v>3949</v>
      </c>
      <c r="O463" s="304"/>
      <c r="P463" s="303" t="b">
        <v>0</v>
      </c>
      <c r="Q463" s="299" t="s">
        <v>3392</v>
      </c>
      <c r="R463" s="300">
        <v>186.0</v>
      </c>
    </row>
    <row r="464" ht="15.0" customHeight="1">
      <c r="A464" s="294" t="s">
        <v>4813</v>
      </c>
      <c r="B464" s="295">
        <v>8.0</v>
      </c>
      <c r="C464" s="294" t="s">
        <v>3267</v>
      </c>
      <c r="D464" s="294" t="s">
        <v>304</v>
      </c>
      <c r="E464" s="296" t="b">
        <v>1</v>
      </c>
      <c r="F464" s="294" t="s">
        <v>3743</v>
      </c>
      <c r="G464" s="294" t="s">
        <v>3367</v>
      </c>
      <c r="H464" s="294" t="s">
        <v>4814</v>
      </c>
      <c r="I464" s="294" t="s">
        <v>3404</v>
      </c>
      <c r="J464" s="298" t="s">
        <v>4815</v>
      </c>
      <c r="K464" s="294" t="s">
        <v>3538</v>
      </c>
      <c r="L464" s="294" t="s">
        <v>3284</v>
      </c>
      <c r="P464" s="296" t="b">
        <v>0</v>
      </c>
      <c r="Q464" s="299" t="s">
        <v>2360</v>
      </c>
      <c r="R464" s="300">
        <v>231.0</v>
      </c>
    </row>
    <row r="465" ht="15.0" customHeight="1">
      <c r="A465" s="301" t="s">
        <v>4816</v>
      </c>
      <c r="B465" s="302">
        <v>8.0</v>
      </c>
      <c r="C465" s="301" t="s">
        <v>3267</v>
      </c>
      <c r="D465" s="301" t="s">
        <v>304</v>
      </c>
      <c r="E465" s="303" t="b">
        <v>0</v>
      </c>
      <c r="F465" s="301" t="s">
        <v>3743</v>
      </c>
      <c r="G465" s="301" t="s">
        <v>3288</v>
      </c>
      <c r="H465" s="301" t="s">
        <v>4817</v>
      </c>
      <c r="I465" s="301" t="s">
        <v>3270</v>
      </c>
      <c r="J465" s="305" t="s">
        <v>4818</v>
      </c>
      <c r="K465" s="301" t="s">
        <v>3319</v>
      </c>
      <c r="L465" s="301" t="s">
        <v>3284</v>
      </c>
      <c r="M465" s="301" t="s">
        <v>29</v>
      </c>
      <c r="N465" s="304"/>
      <c r="O465" s="304"/>
      <c r="P465" s="303" t="b">
        <v>0</v>
      </c>
      <c r="Q465" s="299" t="s">
        <v>2360</v>
      </c>
      <c r="R465" s="300">
        <v>235.0</v>
      </c>
    </row>
    <row r="466" ht="15.0" customHeight="1">
      <c r="A466" s="294" t="s">
        <v>4819</v>
      </c>
      <c r="B466" s="295">
        <v>8.0</v>
      </c>
      <c r="C466" s="294" t="s">
        <v>3267</v>
      </c>
      <c r="D466" s="294" t="s">
        <v>310</v>
      </c>
      <c r="E466" s="296" t="b">
        <v>1</v>
      </c>
      <c r="F466" s="294" t="s">
        <v>3312</v>
      </c>
      <c r="G466" s="294" t="s">
        <v>3269</v>
      </c>
      <c r="H466" s="306"/>
      <c r="I466" s="294" t="s">
        <v>3487</v>
      </c>
      <c r="J466" s="298" t="s">
        <v>4820</v>
      </c>
      <c r="K466" s="294" t="s">
        <v>35</v>
      </c>
      <c r="L466" s="306"/>
      <c r="M466" s="306"/>
      <c r="N466" s="306"/>
      <c r="O466" s="306"/>
      <c r="P466" s="296" t="b">
        <v>0</v>
      </c>
      <c r="Q466" s="299" t="s">
        <v>2360</v>
      </c>
      <c r="R466" s="300">
        <v>236.0</v>
      </c>
    </row>
    <row r="467" ht="15.0" customHeight="1">
      <c r="A467" s="301" t="s">
        <v>4821</v>
      </c>
      <c r="B467" s="302">
        <v>8.0</v>
      </c>
      <c r="C467" s="301" t="s">
        <v>3404</v>
      </c>
      <c r="D467" s="301" t="s">
        <v>310</v>
      </c>
      <c r="E467" s="303" t="b">
        <v>1</v>
      </c>
      <c r="F467" s="301" t="s">
        <v>4822</v>
      </c>
      <c r="G467" s="301" t="s">
        <v>3288</v>
      </c>
      <c r="H467" s="301" t="s">
        <v>4823</v>
      </c>
      <c r="I467" s="301" t="s">
        <v>3481</v>
      </c>
      <c r="J467" s="305" t="s">
        <v>4824</v>
      </c>
      <c r="K467" s="301" t="s">
        <v>4303</v>
      </c>
      <c r="L467" s="301" t="s">
        <v>3388</v>
      </c>
      <c r="P467" s="303" t="b">
        <v>0</v>
      </c>
      <c r="Q467" s="299" t="s">
        <v>2360</v>
      </c>
      <c r="R467" s="300">
        <v>239.0</v>
      </c>
    </row>
    <row r="468" ht="15.0" customHeight="1">
      <c r="A468" s="294" t="s">
        <v>4825</v>
      </c>
      <c r="B468" s="295">
        <v>8.0</v>
      </c>
      <c r="C468" s="294" t="s">
        <v>3267</v>
      </c>
      <c r="D468" s="294" t="s">
        <v>304</v>
      </c>
      <c r="E468" s="296" t="b">
        <v>1</v>
      </c>
      <c r="F468" s="294" t="s">
        <v>4312</v>
      </c>
      <c r="G468" s="294" t="s">
        <v>3288</v>
      </c>
      <c r="H468" s="294" t="s">
        <v>4826</v>
      </c>
      <c r="I468" s="294" t="s">
        <v>3290</v>
      </c>
      <c r="J468" s="298" t="s">
        <v>4827</v>
      </c>
      <c r="K468" s="294" t="s">
        <v>4474</v>
      </c>
      <c r="L468" s="294" t="s">
        <v>3347</v>
      </c>
      <c r="P468" s="296" t="b">
        <v>0</v>
      </c>
      <c r="Q468" s="299" t="s">
        <v>2360</v>
      </c>
      <c r="R468" s="300">
        <v>245.0</v>
      </c>
    </row>
    <row r="469" ht="15.0" customHeight="1">
      <c r="A469" s="301" t="s">
        <v>4828</v>
      </c>
      <c r="B469" s="302">
        <v>8.0</v>
      </c>
      <c r="C469" s="301" t="s">
        <v>3337</v>
      </c>
      <c r="D469" s="301" t="s">
        <v>303</v>
      </c>
      <c r="E469" s="303" t="b">
        <v>0</v>
      </c>
      <c r="F469" s="301" t="s">
        <v>3370</v>
      </c>
      <c r="G469" s="301" t="s">
        <v>3288</v>
      </c>
      <c r="H469" s="301" t="s">
        <v>4829</v>
      </c>
      <c r="I469" s="301" t="s">
        <v>3700</v>
      </c>
      <c r="J469" s="305" t="s">
        <v>4830</v>
      </c>
      <c r="K469" s="301" t="s">
        <v>3813</v>
      </c>
      <c r="L469" s="301" t="s">
        <v>3284</v>
      </c>
      <c r="M469" s="301" t="s">
        <v>3474</v>
      </c>
      <c r="O469" s="307"/>
      <c r="P469" s="303" t="b">
        <v>0</v>
      </c>
      <c r="Q469" s="299" t="s">
        <v>2360</v>
      </c>
      <c r="R469" s="300">
        <v>251.0</v>
      </c>
    </row>
    <row r="470" ht="15.0" customHeight="1">
      <c r="A470" s="294" t="s">
        <v>4831</v>
      </c>
      <c r="B470" s="295">
        <v>8.0</v>
      </c>
      <c r="C470" s="294" t="s">
        <v>3267</v>
      </c>
      <c r="D470" s="294" t="s">
        <v>301</v>
      </c>
      <c r="E470" s="296" t="b">
        <v>0</v>
      </c>
      <c r="F470" s="294" t="s">
        <v>3370</v>
      </c>
      <c r="G470" s="294" t="s">
        <v>3336</v>
      </c>
      <c r="H470" s="297"/>
      <c r="I470" s="294" t="s">
        <v>3337</v>
      </c>
      <c r="J470" s="298" t="s">
        <v>4832</v>
      </c>
      <c r="K470" s="294" t="s">
        <v>3538</v>
      </c>
      <c r="L470" s="294" t="s">
        <v>3284</v>
      </c>
      <c r="M470" s="294" t="s">
        <v>3558</v>
      </c>
      <c r="O470" s="306"/>
      <c r="P470" s="296" t="b">
        <v>0</v>
      </c>
      <c r="Q470" s="299" t="s">
        <v>3296</v>
      </c>
      <c r="R470" s="300">
        <v>157.0</v>
      </c>
    </row>
    <row r="471">
      <c r="A471" s="299" t="s">
        <v>4833</v>
      </c>
      <c r="B471" s="300">
        <v>8.0</v>
      </c>
      <c r="C471" s="299" t="s">
        <v>3267</v>
      </c>
      <c r="D471" s="299" t="s">
        <v>303</v>
      </c>
      <c r="E471" s="308" t="b">
        <v>1</v>
      </c>
      <c r="F471" s="299" t="s">
        <v>3370</v>
      </c>
      <c r="G471" s="299" t="s">
        <v>3269</v>
      </c>
      <c r="H471" s="309"/>
      <c r="I471" s="299" t="s">
        <v>3337</v>
      </c>
      <c r="J471" s="310" t="s">
        <v>4834</v>
      </c>
      <c r="K471" s="299" t="s">
        <v>3332</v>
      </c>
      <c r="L471" s="299" t="s">
        <v>3284</v>
      </c>
      <c r="P471" s="308" t="b">
        <v>0</v>
      </c>
      <c r="Q471" s="299" t="s">
        <v>2360</v>
      </c>
      <c r="R471" s="300">
        <v>253.0</v>
      </c>
    </row>
    <row r="472">
      <c r="A472" s="299" t="s">
        <v>4835</v>
      </c>
      <c r="B472" s="300">
        <v>8.0</v>
      </c>
      <c r="C472" s="299" t="s">
        <v>3267</v>
      </c>
      <c r="D472" s="299" t="s">
        <v>301</v>
      </c>
      <c r="E472" s="308" t="b">
        <v>1</v>
      </c>
      <c r="F472" s="299" t="s">
        <v>3370</v>
      </c>
      <c r="G472" s="299" t="s">
        <v>3269</v>
      </c>
      <c r="H472" s="309"/>
      <c r="I472" s="299" t="s">
        <v>3404</v>
      </c>
      <c r="J472" s="310" t="s">
        <v>4836</v>
      </c>
      <c r="K472" s="299" t="s">
        <v>69</v>
      </c>
      <c r="L472" s="299" t="s">
        <v>3284</v>
      </c>
      <c r="M472" s="299" t="s">
        <v>23</v>
      </c>
      <c r="N472" s="309"/>
      <c r="O472" s="309"/>
      <c r="P472" s="308" t="b">
        <v>0</v>
      </c>
      <c r="Q472" s="299" t="s">
        <v>3296</v>
      </c>
      <c r="R472" s="300">
        <v>160.0</v>
      </c>
    </row>
    <row r="473">
      <c r="A473" s="299" t="s">
        <v>4837</v>
      </c>
      <c r="B473" s="300">
        <v>8.0</v>
      </c>
      <c r="C473" s="299" t="s">
        <v>3267</v>
      </c>
      <c r="D473" s="299" t="s">
        <v>303</v>
      </c>
      <c r="E473" s="308" t="b">
        <v>0</v>
      </c>
      <c r="F473" s="299" t="s">
        <v>3370</v>
      </c>
      <c r="G473" s="299" t="s">
        <v>3308</v>
      </c>
      <c r="H473" s="309"/>
      <c r="I473" s="299" t="s">
        <v>3270</v>
      </c>
      <c r="J473" s="310" t="s">
        <v>4838</v>
      </c>
      <c r="K473" s="299" t="s">
        <v>3332</v>
      </c>
      <c r="L473" s="299" t="s">
        <v>3284</v>
      </c>
      <c r="P473" s="308" t="b">
        <v>0</v>
      </c>
      <c r="Q473" s="299" t="s">
        <v>2360</v>
      </c>
      <c r="R473" s="300">
        <v>258.0</v>
      </c>
    </row>
    <row r="474">
      <c r="A474" s="299" t="s">
        <v>4839</v>
      </c>
      <c r="B474" s="300">
        <v>8.0</v>
      </c>
      <c r="C474" s="299" t="s">
        <v>3267</v>
      </c>
      <c r="D474" s="299" t="s">
        <v>301</v>
      </c>
      <c r="E474" s="308" t="b">
        <v>1</v>
      </c>
      <c r="F474" s="299" t="s">
        <v>3370</v>
      </c>
      <c r="G474" s="299" t="s">
        <v>3288</v>
      </c>
      <c r="H474" s="299" t="s">
        <v>4840</v>
      </c>
      <c r="I474" s="299" t="s">
        <v>3290</v>
      </c>
      <c r="J474" s="310" t="s">
        <v>4841</v>
      </c>
      <c r="K474" s="309"/>
      <c r="L474" s="299" t="s">
        <v>3685</v>
      </c>
      <c r="N474" s="309"/>
      <c r="O474" s="309"/>
      <c r="P474" s="308" t="b">
        <v>0</v>
      </c>
      <c r="Q474" s="299" t="s">
        <v>3296</v>
      </c>
      <c r="R474" s="300">
        <v>161.0</v>
      </c>
    </row>
    <row r="475">
      <c r="A475" s="299" t="s">
        <v>4842</v>
      </c>
      <c r="B475" s="300">
        <v>8.0</v>
      </c>
      <c r="C475" s="299" t="s">
        <v>3267</v>
      </c>
      <c r="D475" s="299" t="s">
        <v>310</v>
      </c>
      <c r="E475" s="308" t="b">
        <v>0</v>
      </c>
      <c r="F475" s="299" t="s">
        <v>3394</v>
      </c>
      <c r="G475" s="299" t="s">
        <v>3308</v>
      </c>
      <c r="H475" s="309"/>
      <c r="I475" s="299" t="s">
        <v>3337</v>
      </c>
      <c r="J475" s="310" t="s">
        <v>4843</v>
      </c>
      <c r="K475" s="299" t="s">
        <v>3808</v>
      </c>
      <c r="M475" s="311"/>
      <c r="N475" s="309"/>
      <c r="O475" s="311"/>
      <c r="P475" s="308" t="b">
        <v>0</v>
      </c>
      <c r="Q475" s="299" t="s">
        <v>2360</v>
      </c>
      <c r="R475" s="300">
        <v>259.0</v>
      </c>
    </row>
    <row r="476">
      <c r="A476" s="299" t="s">
        <v>4844</v>
      </c>
      <c r="B476" s="300">
        <v>8.0</v>
      </c>
      <c r="C476" s="299" t="s">
        <v>3267</v>
      </c>
      <c r="D476" s="299" t="s">
        <v>299</v>
      </c>
      <c r="E476" s="308" t="b">
        <v>1</v>
      </c>
      <c r="F476" s="299" t="s">
        <v>3394</v>
      </c>
      <c r="G476" s="299" t="s">
        <v>3288</v>
      </c>
      <c r="H476" s="299" t="s">
        <v>4845</v>
      </c>
      <c r="I476" s="299" t="s">
        <v>3290</v>
      </c>
      <c r="J476" s="310" t="s">
        <v>4846</v>
      </c>
      <c r="K476" s="299" t="s">
        <v>29</v>
      </c>
      <c r="L476" s="299" t="s">
        <v>3347</v>
      </c>
      <c r="P476" s="308" t="b">
        <v>0</v>
      </c>
      <c r="Q476" s="299" t="s">
        <v>2360</v>
      </c>
      <c r="R476" s="300">
        <v>267.0</v>
      </c>
    </row>
    <row r="477">
      <c r="A477" s="299" t="s">
        <v>4847</v>
      </c>
      <c r="B477" s="300">
        <v>8.0</v>
      </c>
      <c r="C477" s="299" t="s">
        <v>3290</v>
      </c>
      <c r="D477" s="299" t="s">
        <v>301</v>
      </c>
      <c r="E477" s="308" t="b">
        <v>1</v>
      </c>
      <c r="F477" s="299" t="s">
        <v>3930</v>
      </c>
      <c r="G477" s="299" t="s">
        <v>3269</v>
      </c>
      <c r="H477" s="309"/>
      <c r="I477" s="299" t="s">
        <v>4848</v>
      </c>
      <c r="J477" s="310" t="s">
        <v>4849</v>
      </c>
      <c r="K477" s="299" t="s">
        <v>35</v>
      </c>
      <c r="L477" s="309"/>
      <c r="M477" s="309"/>
      <c r="N477" s="309"/>
      <c r="O477" s="309"/>
      <c r="P477" s="308" t="b">
        <v>0</v>
      </c>
      <c r="Q477" s="299" t="s">
        <v>3392</v>
      </c>
      <c r="R477" s="300">
        <v>189.0</v>
      </c>
    </row>
    <row r="478">
      <c r="A478" s="299" t="s">
        <v>4850</v>
      </c>
      <c r="B478" s="300">
        <v>8.0</v>
      </c>
      <c r="C478" s="299" t="s">
        <v>3337</v>
      </c>
      <c r="D478" s="299" t="s">
        <v>308</v>
      </c>
      <c r="E478" s="308" t="b">
        <v>0</v>
      </c>
      <c r="F478" s="299" t="s">
        <v>3408</v>
      </c>
      <c r="G478" s="299" t="s">
        <v>3288</v>
      </c>
      <c r="H478" s="299" t="s">
        <v>4851</v>
      </c>
      <c r="I478" s="299" t="s">
        <v>3270</v>
      </c>
      <c r="J478" s="310" t="s">
        <v>4852</v>
      </c>
      <c r="K478" s="299" t="s">
        <v>69</v>
      </c>
      <c r="L478" s="299" t="s">
        <v>3284</v>
      </c>
      <c r="P478" s="308" t="b">
        <v>0</v>
      </c>
      <c r="Q478" s="299" t="s">
        <v>2360</v>
      </c>
      <c r="R478" s="300">
        <v>279.0</v>
      </c>
    </row>
    <row r="479">
      <c r="A479" s="299" t="s">
        <v>4853</v>
      </c>
      <c r="B479" s="300">
        <v>8.0</v>
      </c>
      <c r="C479" s="299" t="s">
        <v>3267</v>
      </c>
      <c r="D479" s="299" t="s">
        <v>299</v>
      </c>
      <c r="E479" s="308" t="b">
        <v>0</v>
      </c>
      <c r="F479" s="299" t="s">
        <v>3408</v>
      </c>
      <c r="G479" s="299" t="s">
        <v>3269</v>
      </c>
      <c r="H479" s="309"/>
      <c r="I479" s="299" t="s">
        <v>3487</v>
      </c>
      <c r="J479" s="310" t="s">
        <v>4854</v>
      </c>
      <c r="K479" s="299" t="s">
        <v>3525</v>
      </c>
      <c r="L479" s="299" t="s">
        <v>3284</v>
      </c>
      <c r="P479" s="308" t="b">
        <v>0</v>
      </c>
      <c r="Q479" s="299" t="s">
        <v>2360</v>
      </c>
      <c r="R479" s="300">
        <v>281.0</v>
      </c>
    </row>
    <row r="480">
      <c r="A480" s="299" t="s">
        <v>4855</v>
      </c>
      <c r="B480" s="300">
        <v>8.0</v>
      </c>
      <c r="C480" s="299" t="s">
        <v>3267</v>
      </c>
      <c r="D480" s="299" t="s">
        <v>304</v>
      </c>
      <c r="E480" s="308" t="b">
        <v>0</v>
      </c>
      <c r="F480" s="299" t="s">
        <v>4236</v>
      </c>
      <c r="G480" s="299" t="s">
        <v>3288</v>
      </c>
      <c r="H480" s="299" t="s">
        <v>4856</v>
      </c>
      <c r="I480" s="299" t="s">
        <v>3487</v>
      </c>
      <c r="J480" s="310" t="s">
        <v>4857</v>
      </c>
      <c r="K480" s="299" t="s">
        <v>69</v>
      </c>
      <c r="L480" s="299" t="s">
        <v>3284</v>
      </c>
      <c r="P480" s="308" t="b">
        <v>0</v>
      </c>
      <c r="Q480" s="299" t="s">
        <v>2360</v>
      </c>
      <c r="R480" s="300">
        <v>284.0</v>
      </c>
    </row>
    <row r="481">
      <c r="A481" s="299" t="s">
        <v>4858</v>
      </c>
      <c r="B481" s="300">
        <v>9.0</v>
      </c>
      <c r="C481" s="299" t="s">
        <v>3267</v>
      </c>
      <c r="D481" s="299" t="s">
        <v>304</v>
      </c>
      <c r="E481" s="308" t="b">
        <v>0</v>
      </c>
      <c r="F481" s="299" t="s">
        <v>4004</v>
      </c>
      <c r="G481" s="299" t="s">
        <v>3269</v>
      </c>
      <c r="H481" s="309"/>
      <c r="I481" s="299" t="s">
        <v>3270</v>
      </c>
      <c r="J481" s="310" t="s">
        <v>4859</v>
      </c>
      <c r="K481" s="299" t="s">
        <v>3466</v>
      </c>
      <c r="L481" s="299" t="s">
        <v>3284</v>
      </c>
      <c r="P481" s="308" t="b">
        <v>0</v>
      </c>
      <c r="Q481" s="299" t="s">
        <v>2360</v>
      </c>
      <c r="R481" s="300">
        <v>215.0</v>
      </c>
    </row>
    <row r="482">
      <c r="A482" s="299" t="s">
        <v>4860</v>
      </c>
      <c r="B482" s="300">
        <v>9.0</v>
      </c>
      <c r="C482" s="299" t="s">
        <v>3337</v>
      </c>
      <c r="D482" s="299" t="s">
        <v>308</v>
      </c>
      <c r="E482" s="308" t="b">
        <v>0</v>
      </c>
      <c r="F482" s="299" t="s">
        <v>3268</v>
      </c>
      <c r="G482" s="299" t="s">
        <v>3288</v>
      </c>
      <c r="H482" s="299" t="s">
        <v>4861</v>
      </c>
      <c r="I482" s="299" t="s">
        <v>4448</v>
      </c>
      <c r="J482" s="310" t="s">
        <v>4862</v>
      </c>
      <c r="K482" s="299" t="s">
        <v>4863</v>
      </c>
      <c r="L482" s="299" t="s">
        <v>3388</v>
      </c>
      <c r="P482" s="308" t="b">
        <v>0</v>
      </c>
      <c r="Q482" s="299" t="s">
        <v>3286</v>
      </c>
      <c r="R482" s="300">
        <v>106.0</v>
      </c>
    </row>
    <row r="483">
      <c r="A483" s="299" t="s">
        <v>4864</v>
      </c>
      <c r="B483" s="300">
        <v>9.0</v>
      </c>
      <c r="C483" s="299" t="s">
        <v>3267</v>
      </c>
      <c r="D483" s="299" t="s">
        <v>304</v>
      </c>
      <c r="E483" s="308" t="b">
        <v>1</v>
      </c>
      <c r="F483" s="299" t="s">
        <v>4865</v>
      </c>
      <c r="G483" s="299" t="s">
        <v>3288</v>
      </c>
      <c r="H483" s="299" t="s">
        <v>4866</v>
      </c>
      <c r="I483" s="299" t="s">
        <v>3290</v>
      </c>
      <c r="J483" s="310" t="s">
        <v>4867</v>
      </c>
      <c r="K483" s="309"/>
      <c r="L483" s="299" t="s">
        <v>3570</v>
      </c>
      <c r="N483" s="309"/>
      <c r="O483" s="309"/>
      <c r="P483" s="308" t="b">
        <v>0</v>
      </c>
      <c r="Q483" s="299" t="s">
        <v>2360</v>
      </c>
      <c r="R483" s="300">
        <v>244.0</v>
      </c>
    </row>
    <row r="484">
      <c r="A484" s="299" t="s">
        <v>4868</v>
      </c>
      <c r="B484" s="300">
        <v>9.0</v>
      </c>
      <c r="C484" s="299" t="s">
        <v>3267</v>
      </c>
      <c r="D484" s="299" t="s">
        <v>310</v>
      </c>
      <c r="E484" s="308" t="b">
        <v>1</v>
      </c>
      <c r="F484" s="299" t="s">
        <v>3280</v>
      </c>
      <c r="G484" s="299" t="s">
        <v>3288</v>
      </c>
      <c r="H484" s="299" t="s">
        <v>4327</v>
      </c>
      <c r="I484" s="299" t="s">
        <v>3337</v>
      </c>
      <c r="J484" s="310" t="s">
        <v>4869</v>
      </c>
      <c r="K484" s="299" t="s">
        <v>3583</v>
      </c>
      <c r="L484" s="299" t="s">
        <v>3284</v>
      </c>
      <c r="M484" s="299" t="s">
        <v>35</v>
      </c>
      <c r="N484" s="309"/>
      <c r="O484" s="309"/>
      <c r="P484" s="308" t="b">
        <v>0</v>
      </c>
      <c r="Q484" s="299" t="s">
        <v>2360</v>
      </c>
      <c r="R484" s="300">
        <v>244.0</v>
      </c>
    </row>
    <row r="485">
      <c r="A485" s="299" t="s">
        <v>4870</v>
      </c>
      <c r="B485" s="300">
        <v>9.0</v>
      </c>
      <c r="C485" s="299" t="s">
        <v>3267</v>
      </c>
      <c r="D485" s="299" t="s">
        <v>305</v>
      </c>
      <c r="E485" s="308" t="b">
        <v>1</v>
      </c>
      <c r="F485" s="299" t="s">
        <v>3280</v>
      </c>
      <c r="G485" s="299" t="s">
        <v>3269</v>
      </c>
      <c r="H485" s="309"/>
      <c r="I485" s="299" t="s">
        <v>3290</v>
      </c>
      <c r="J485" s="310" t="s">
        <v>4871</v>
      </c>
      <c r="K485" s="299" t="s">
        <v>69</v>
      </c>
      <c r="L485" s="299" t="s">
        <v>3284</v>
      </c>
      <c r="M485" s="299" t="s">
        <v>4407</v>
      </c>
      <c r="O485" s="309"/>
      <c r="P485" s="308" t="b">
        <v>0</v>
      </c>
      <c r="Q485" s="299" t="s">
        <v>2360</v>
      </c>
      <c r="R485" s="300">
        <v>252.0</v>
      </c>
    </row>
    <row r="486">
      <c r="A486" s="299" t="s">
        <v>4872</v>
      </c>
      <c r="B486" s="300">
        <v>9.0</v>
      </c>
      <c r="C486" s="299" t="s">
        <v>3290</v>
      </c>
      <c r="D486" s="299" t="s">
        <v>299</v>
      </c>
      <c r="E486" s="308" t="b">
        <v>0</v>
      </c>
      <c r="F486" s="299" t="s">
        <v>3312</v>
      </c>
      <c r="G486" s="299" t="s">
        <v>3288</v>
      </c>
      <c r="H486" s="299" t="s">
        <v>4873</v>
      </c>
      <c r="I486" s="299" t="s">
        <v>3772</v>
      </c>
      <c r="J486" s="310" t="s">
        <v>4874</v>
      </c>
      <c r="K486" s="299" t="s">
        <v>3538</v>
      </c>
      <c r="L486" s="299" t="s">
        <v>3284</v>
      </c>
      <c r="P486" s="308" t="b">
        <v>0</v>
      </c>
      <c r="Q486" s="299" t="s">
        <v>3296</v>
      </c>
      <c r="R486" s="300">
        <v>160.0</v>
      </c>
    </row>
    <row r="487">
      <c r="A487" s="299" t="s">
        <v>4875</v>
      </c>
      <c r="B487" s="300">
        <v>9.0</v>
      </c>
      <c r="C487" s="299" t="s">
        <v>3267</v>
      </c>
      <c r="D487" s="299" t="s">
        <v>310</v>
      </c>
      <c r="E487" s="308" t="b">
        <v>1</v>
      </c>
      <c r="F487" s="299" t="s">
        <v>3312</v>
      </c>
      <c r="G487" s="299" t="s">
        <v>3288</v>
      </c>
      <c r="H487" s="299" t="s">
        <v>4876</v>
      </c>
      <c r="I487" s="299" t="s">
        <v>3337</v>
      </c>
      <c r="J487" s="310" t="s">
        <v>4877</v>
      </c>
      <c r="K487" s="299" t="s">
        <v>3587</v>
      </c>
      <c r="L487" s="299" t="s">
        <v>3284</v>
      </c>
      <c r="P487" s="308" t="b">
        <v>0</v>
      </c>
      <c r="Q487" s="299" t="s">
        <v>2360</v>
      </c>
      <c r="R487" s="300">
        <v>258.0</v>
      </c>
    </row>
    <row r="488">
      <c r="A488" s="299" t="s">
        <v>4878</v>
      </c>
      <c r="B488" s="300">
        <v>9.0</v>
      </c>
      <c r="C488" s="299" t="s">
        <v>3418</v>
      </c>
      <c r="D488" s="299" t="s">
        <v>301</v>
      </c>
      <c r="E488" s="308" t="b">
        <v>1</v>
      </c>
      <c r="F488" s="299" t="s">
        <v>3370</v>
      </c>
      <c r="G488" s="299" t="s">
        <v>3269</v>
      </c>
      <c r="H488" s="309"/>
      <c r="I488" s="299" t="s">
        <v>3290</v>
      </c>
      <c r="J488" s="310" t="s">
        <v>4879</v>
      </c>
      <c r="K488" s="309"/>
      <c r="L488" s="309"/>
      <c r="M488" s="299" t="s">
        <v>3283</v>
      </c>
      <c r="P488" s="308" t="b">
        <v>0</v>
      </c>
      <c r="Q488" s="299" t="s">
        <v>3296</v>
      </c>
      <c r="R488" s="300">
        <v>160.0</v>
      </c>
    </row>
    <row r="489">
      <c r="A489" s="299" t="s">
        <v>4880</v>
      </c>
      <c r="B489" s="300">
        <v>9.0</v>
      </c>
      <c r="C489" s="299" t="s">
        <v>3267</v>
      </c>
      <c r="D489" s="299" t="s">
        <v>301</v>
      </c>
      <c r="E489" s="308" t="b">
        <v>1</v>
      </c>
      <c r="F489" s="299" t="s">
        <v>3370</v>
      </c>
      <c r="G489" s="299" t="s">
        <v>3288</v>
      </c>
      <c r="H489" s="299" t="s">
        <v>4881</v>
      </c>
      <c r="I489" s="299" t="s">
        <v>3290</v>
      </c>
      <c r="J489" s="310" t="s">
        <v>4882</v>
      </c>
      <c r="K489" s="299" t="s">
        <v>4883</v>
      </c>
      <c r="L489" s="299" t="s">
        <v>3388</v>
      </c>
      <c r="M489" s="299" t="s">
        <v>4407</v>
      </c>
      <c r="O489" s="309"/>
      <c r="P489" s="308" t="b">
        <v>0</v>
      </c>
      <c r="Q489" s="299" t="s">
        <v>2360</v>
      </c>
      <c r="R489" s="300">
        <v>259.0</v>
      </c>
    </row>
    <row r="490">
      <c r="A490" s="299" t="s">
        <v>4884</v>
      </c>
      <c r="B490" s="300">
        <v>9.0</v>
      </c>
      <c r="C490" s="299" t="s">
        <v>3267</v>
      </c>
      <c r="D490" s="299" t="s">
        <v>304</v>
      </c>
      <c r="E490" s="308" t="b">
        <v>0</v>
      </c>
      <c r="F490" s="299" t="s">
        <v>3370</v>
      </c>
      <c r="G490" s="299" t="s">
        <v>3269</v>
      </c>
      <c r="H490" s="309"/>
      <c r="I490" s="299" t="s">
        <v>3270</v>
      </c>
      <c r="J490" s="310" t="s">
        <v>4885</v>
      </c>
      <c r="K490" s="299" t="s">
        <v>29</v>
      </c>
      <c r="L490" s="299" t="s">
        <v>3347</v>
      </c>
      <c r="P490" s="308" t="b">
        <v>0</v>
      </c>
      <c r="Q490" s="299" t="s">
        <v>2360</v>
      </c>
      <c r="R490" s="300">
        <v>266.0</v>
      </c>
    </row>
    <row r="491">
      <c r="A491" s="299" t="s">
        <v>4886</v>
      </c>
      <c r="B491" s="300">
        <v>9.0</v>
      </c>
      <c r="C491" s="299" t="s">
        <v>3267</v>
      </c>
      <c r="D491" s="299" t="s">
        <v>303</v>
      </c>
      <c r="E491" s="308" t="b">
        <v>0</v>
      </c>
      <c r="F491" s="299" t="s">
        <v>3370</v>
      </c>
      <c r="G491" s="299" t="s">
        <v>3308</v>
      </c>
      <c r="H491" s="309"/>
      <c r="I491" s="299" t="s">
        <v>3270</v>
      </c>
      <c r="J491" s="310" t="s">
        <v>4887</v>
      </c>
      <c r="K491" s="299" t="s">
        <v>3332</v>
      </c>
      <c r="L491" s="299" t="s">
        <v>3284</v>
      </c>
      <c r="P491" s="308" t="b">
        <v>0</v>
      </c>
      <c r="Q491" s="299" t="s">
        <v>2360</v>
      </c>
      <c r="R491" s="300">
        <v>266.0</v>
      </c>
    </row>
    <row r="492">
      <c r="A492" s="299" t="s">
        <v>4888</v>
      </c>
      <c r="B492" s="300">
        <v>9.0</v>
      </c>
      <c r="C492" s="299" t="s">
        <v>3267</v>
      </c>
      <c r="D492" s="299" t="s">
        <v>299</v>
      </c>
      <c r="E492" s="308" t="b">
        <v>0</v>
      </c>
      <c r="F492" s="299" t="s">
        <v>3370</v>
      </c>
      <c r="G492" s="299" t="s">
        <v>3269</v>
      </c>
      <c r="H492" s="309"/>
      <c r="I492" s="299" t="s">
        <v>3404</v>
      </c>
      <c r="J492" s="310" t="s">
        <v>4889</v>
      </c>
      <c r="K492" s="299" t="s">
        <v>69</v>
      </c>
      <c r="L492" s="299" t="s">
        <v>3284</v>
      </c>
      <c r="M492" s="299" t="s">
        <v>3474</v>
      </c>
      <c r="O492" s="309"/>
      <c r="P492" s="308" t="b">
        <v>0</v>
      </c>
      <c r="Q492" s="299" t="s">
        <v>2360</v>
      </c>
      <c r="R492" s="300">
        <v>267.0</v>
      </c>
    </row>
    <row r="493">
      <c r="A493" s="299" t="s">
        <v>4890</v>
      </c>
      <c r="B493" s="300">
        <v>9.0</v>
      </c>
      <c r="C493" s="299" t="s">
        <v>3267</v>
      </c>
      <c r="D493" s="299" t="s">
        <v>303</v>
      </c>
      <c r="E493" s="308" t="b">
        <v>0</v>
      </c>
      <c r="F493" s="299" t="s">
        <v>3588</v>
      </c>
      <c r="G493" s="299" t="s">
        <v>3336</v>
      </c>
      <c r="H493" s="309"/>
      <c r="I493" s="299" t="s">
        <v>3270</v>
      </c>
      <c r="J493" s="310" t="s">
        <v>4891</v>
      </c>
      <c r="K493" s="299" t="s">
        <v>3332</v>
      </c>
      <c r="L493" s="299" t="s">
        <v>3284</v>
      </c>
      <c r="P493" s="308" t="b">
        <v>0</v>
      </c>
      <c r="Q493" s="299" t="s">
        <v>3296</v>
      </c>
      <c r="R493" s="300">
        <v>163.0</v>
      </c>
    </row>
    <row r="494">
      <c r="A494" s="299" t="s">
        <v>4892</v>
      </c>
      <c r="B494" s="300">
        <v>9.0</v>
      </c>
      <c r="C494" s="299" t="s">
        <v>3267</v>
      </c>
      <c r="D494" s="299" t="s">
        <v>308</v>
      </c>
      <c r="E494" s="308" t="b">
        <v>0</v>
      </c>
      <c r="F494" s="299" t="s">
        <v>3588</v>
      </c>
      <c r="G494" s="299" t="s">
        <v>3288</v>
      </c>
      <c r="H494" s="299" t="s">
        <v>4893</v>
      </c>
      <c r="I494" s="299" t="s">
        <v>3270</v>
      </c>
      <c r="J494" s="310" t="s">
        <v>4894</v>
      </c>
      <c r="K494" s="309"/>
      <c r="L494" s="299" t="s">
        <v>3685</v>
      </c>
      <c r="N494" s="309"/>
      <c r="O494" s="309"/>
      <c r="P494" s="308" t="b">
        <v>0</v>
      </c>
      <c r="Q494" s="299" t="s">
        <v>3392</v>
      </c>
      <c r="R494" s="300">
        <v>188.0</v>
      </c>
    </row>
    <row r="495">
      <c r="A495" s="299" t="s">
        <v>4895</v>
      </c>
      <c r="B495" s="300">
        <v>9.0</v>
      </c>
      <c r="C495" s="299" t="s">
        <v>3267</v>
      </c>
      <c r="D495" s="299" t="s">
        <v>299</v>
      </c>
      <c r="E495" s="308" t="b">
        <v>1</v>
      </c>
      <c r="F495" s="299" t="s">
        <v>3394</v>
      </c>
      <c r="G495" s="299" t="s">
        <v>3288</v>
      </c>
      <c r="H495" s="299" t="s">
        <v>4896</v>
      </c>
      <c r="I495" s="299" t="s">
        <v>3404</v>
      </c>
      <c r="J495" s="310" t="s">
        <v>4897</v>
      </c>
      <c r="K495" s="299" t="s">
        <v>69</v>
      </c>
      <c r="L495" s="299" t="s">
        <v>3284</v>
      </c>
      <c r="P495" s="308" t="b">
        <v>0</v>
      </c>
      <c r="Q495" s="299" t="s">
        <v>2360</v>
      </c>
      <c r="R495" s="300">
        <v>274.0</v>
      </c>
    </row>
    <row r="496">
      <c r="A496" s="299" t="s">
        <v>4898</v>
      </c>
      <c r="B496" s="300">
        <v>9.0</v>
      </c>
      <c r="C496" s="299" t="s">
        <v>3267</v>
      </c>
      <c r="D496" s="299" t="s">
        <v>310</v>
      </c>
      <c r="E496" s="308" t="b">
        <v>1</v>
      </c>
      <c r="F496" s="299" t="s">
        <v>3394</v>
      </c>
      <c r="G496" s="299" t="s">
        <v>3288</v>
      </c>
      <c r="H496" s="299" t="s">
        <v>4899</v>
      </c>
      <c r="I496" s="299" t="s">
        <v>3337</v>
      </c>
      <c r="J496" s="310" t="s">
        <v>4900</v>
      </c>
      <c r="K496" s="299" t="s">
        <v>3813</v>
      </c>
      <c r="L496" s="299" t="s">
        <v>3284</v>
      </c>
      <c r="M496" s="299" t="s">
        <v>65</v>
      </c>
      <c r="N496" s="309"/>
      <c r="O496" s="309"/>
      <c r="P496" s="308" t="b">
        <v>0</v>
      </c>
      <c r="Q496" s="299" t="s">
        <v>2360</v>
      </c>
      <c r="R496" s="300">
        <v>279.0</v>
      </c>
    </row>
    <row r="497">
      <c r="A497" s="299" t="s">
        <v>4901</v>
      </c>
      <c r="B497" s="300">
        <v>9.0</v>
      </c>
      <c r="C497" s="299" t="s">
        <v>3267</v>
      </c>
      <c r="D497" s="299" t="s">
        <v>310</v>
      </c>
      <c r="E497" s="308" t="b">
        <v>0</v>
      </c>
      <c r="F497" s="299" t="s">
        <v>3394</v>
      </c>
      <c r="G497" s="299" t="s">
        <v>3308</v>
      </c>
      <c r="H497" s="309"/>
      <c r="I497" s="299" t="s">
        <v>3270</v>
      </c>
      <c r="J497" s="310" t="s">
        <v>4902</v>
      </c>
      <c r="K497" s="299" t="s">
        <v>3466</v>
      </c>
      <c r="L497" s="299" t="s">
        <v>3284</v>
      </c>
      <c r="P497" s="308" t="b">
        <v>0</v>
      </c>
      <c r="Q497" s="299" t="s">
        <v>3392</v>
      </c>
      <c r="R497" s="300">
        <v>189.0</v>
      </c>
    </row>
    <row r="498">
      <c r="A498" s="299" t="s">
        <v>4903</v>
      </c>
      <c r="B498" s="300">
        <v>9.0</v>
      </c>
      <c r="C498" s="299" t="s">
        <v>3267</v>
      </c>
      <c r="D498" s="299" t="s">
        <v>301</v>
      </c>
      <c r="E498" s="308" t="b">
        <v>0</v>
      </c>
      <c r="F498" s="299" t="s">
        <v>3394</v>
      </c>
      <c r="G498" s="299" t="s">
        <v>3308</v>
      </c>
      <c r="H498" s="309"/>
      <c r="I498" s="299" t="s">
        <v>3270</v>
      </c>
      <c r="J498" s="310" t="s">
        <v>4904</v>
      </c>
      <c r="K498" s="299" t="s">
        <v>3466</v>
      </c>
      <c r="L498" s="299" t="s">
        <v>4905</v>
      </c>
      <c r="P498" s="308" t="b">
        <v>0</v>
      </c>
      <c r="Q498" s="299" t="s">
        <v>2360</v>
      </c>
      <c r="R498" s="300">
        <v>283.0</v>
      </c>
    </row>
    <row r="499">
      <c r="A499" s="299" t="s">
        <v>4906</v>
      </c>
      <c r="B499" s="300">
        <v>9.0</v>
      </c>
      <c r="C499" s="299" t="s">
        <v>3267</v>
      </c>
      <c r="D499" s="299" t="s">
        <v>301</v>
      </c>
      <c r="E499" s="308" t="b">
        <v>1</v>
      </c>
      <c r="F499" s="299" t="s">
        <v>3930</v>
      </c>
      <c r="G499" s="299" t="s">
        <v>3269</v>
      </c>
      <c r="H499" s="309"/>
      <c r="I499" s="299" t="s">
        <v>3290</v>
      </c>
      <c r="J499" s="310" t="s">
        <v>4907</v>
      </c>
      <c r="K499" s="299" t="s">
        <v>35</v>
      </c>
      <c r="L499" s="309"/>
      <c r="M499" s="309"/>
      <c r="N499" s="309"/>
      <c r="O499" s="309"/>
      <c r="P499" s="308" t="b">
        <v>0</v>
      </c>
      <c r="Q499" s="299" t="s">
        <v>2360</v>
      </c>
      <c r="R499" s="300">
        <v>283.0</v>
      </c>
    </row>
    <row r="500">
      <c r="A500" s="299" t="s">
        <v>4908</v>
      </c>
      <c r="B500" s="300">
        <v>9.0</v>
      </c>
      <c r="C500" s="299" t="s">
        <v>3290</v>
      </c>
      <c r="D500" s="299" t="s">
        <v>302</v>
      </c>
      <c r="E500" s="308" t="b">
        <v>0</v>
      </c>
      <c r="F500" s="299" t="s">
        <v>3408</v>
      </c>
      <c r="G500" s="299" t="s">
        <v>3288</v>
      </c>
      <c r="H500" s="299" t="s">
        <v>4909</v>
      </c>
      <c r="I500" s="299" t="s">
        <v>3481</v>
      </c>
      <c r="J500" s="310" t="s">
        <v>4910</v>
      </c>
      <c r="K500" s="299" t="s">
        <v>4308</v>
      </c>
      <c r="L500" s="299" t="s">
        <v>3284</v>
      </c>
      <c r="M500" s="299" t="s">
        <v>60</v>
      </c>
      <c r="N500" s="309"/>
      <c r="O500" s="309"/>
      <c r="P500" s="308" t="b">
        <v>0</v>
      </c>
      <c r="Q500" s="299" t="s">
        <v>2360</v>
      </c>
      <c r="R500" s="300">
        <v>284.0</v>
      </c>
    </row>
    <row r="501">
      <c r="A501" s="299" t="s">
        <v>4911</v>
      </c>
      <c r="B501" s="300">
        <v>9.0</v>
      </c>
      <c r="C501" s="299" t="s">
        <v>3267</v>
      </c>
      <c r="D501" s="299" t="s">
        <v>304</v>
      </c>
      <c r="E501" s="308" t="b">
        <v>0</v>
      </c>
      <c r="F501" s="299" t="s">
        <v>3408</v>
      </c>
      <c r="G501" s="299" t="s">
        <v>3269</v>
      </c>
      <c r="H501" s="309"/>
      <c r="I501" s="299" t="s">
        <v>3270</v>
      </c>
      <c r="J501" s="310" t="s">
        <v>4912</v>
      </c>
      <c r="K501" s="299" t="s">
        <v>23</v>
      </c>
      <c r="L501" s="309"/>
      <c r="M501" s="299" t="s">
        <v>4913</v>
      </c>
      <c r="O501" s="309"/>
      <c r="P501" s="308" t="b">
        <v>0</v>
      </c>
      <c r="Q501" s="299" t="s">
        <v>2360</v>
      </c>
      <c r="R501" s="300">
        <v>288.0</v>
      </c>
    </row>
    <row r="502">
      <c r="A502" s="299" t="s">
        <v>4914</v>
      </c>
      <c r="B502" s="300">
        <v>9.0</v>
      </c>
      <c r="C502" s="299" t="s">
        <v>3337</v>
      </c>
      <c r="D502" s="299" t="s">
        <v>308</v>
      </c>
      <c r="E502" s="308" t="b">
        <v>0</v>
      </c>
      <c r="F502" s="299" t="s">
        <v>3408</v>
      </c>
      <c r="G502" s="299" t="s">
        <v>3288</v>
      </c>
      <c r="H502" s="299" t="s">
        <v>4915</v>
      </c>
      <c r="I502" s="299" t="s">
        <v>3270</v>
      </c>
      <c r="J502" s="310" t="s">
        <v>4916</v>
      </c>
      <c r="K502" s="299" t="s">
        <v>3512</v>
      </c>
      <c r="L502" s="299" t="s">
        <v>3347</v>
      </c>
      <c r="P502" s="308" t="b">
        <v>0</v>
      </c>
      <c r="Q502" s="299" t="s">
        <v>2360</v>
      </c>
      <c r="R502" s="300">
        <v>288.0</v>
      </c>
    </row>
    <row r="503">
      <c r="L503" s="312"/>
      <c r="M503" s="312"/>
      <c r="N503" s="312"/>
    </row>
    <row r="504">
      <c r="L504" s="312"/>
      <c r="M504" s="312"/>
      <c r="N504" s="312"/>
    </row>
    <row r="505">
      <c r="L505" s="312"/>
      <c r="M505" s="312"/>
      <c r="N505" s="312"/>
    </row>
    <row r="506">
      <c r="L506" s="312"/>
      <c r="M506" s="312"/>
      <c r="N506" s="312"/>
    </row>
    <row r="507">
      <c r="L507" s="312"/>
      <c r="M507" s="312"/>
      <c r="N507" s="312"/>
    </row>
    <row r="508">
      <c r="L508" s="312"/>
      <c r="M508" s="312"/>
      <c r="N508" s="312"/>
    </row>
    <row r="509">
      <c r="L509" s="312"/>
      <c r="M509" s="312"/>
      <c r="N509" s="312"/>
    </row>
    <row r="510">
      <c r="L510" s="312"/>
      <c r="M510" s="312"/>
      <c r="N510" s="312"/>
    </row>
    <row r="511">
      <c r="L511" s="312"/>
      <c r="M511" s="312"/>
      <c r="N511" s="312"/>
    </row>
    <row r="512">
      <c r="L512" s="312"/>
      <c r="M512" s="312"/>
      <c r="N512" s="312"/>
    </row>
    <row r="513">
      <c r="L513" s="312"/>
      <c r="M513" s="312"/>
      <c r="N513" s="312"/>
    </row>
    <row r="514">
      <c r="L514" s="312"/>
      <c r="M514" s="312"/>
      <c r="N514" s="312"/>
    </row>
    <row r="515">
      <c r="L515" s="312"/>
      <c r="M515" s="312"/>
      <c r="N515" s="312"/>
    </row>
    <row r="516">
      <c r="L516" s="312"/>
      <c r="M516" s="312"/>
      <c r="N516" s="312"/>
    </row>
    <row r="517">
      <c r="L517" s="312"/>
      <c r="M517" s="312"/>
      <c r="N517" s="312"/>
    </row>
    <row r="518">
      <c r="L518" s="312"/>
      <c r="M518" s="312"/>
      <c r="N518" s="312"/>
    </row>
    <row r="519">
      <c r="L519" s="312"/>
      <c r="M519" s="312"/>
      <c r="N519" s="312"/>
    </row>
    <row r="520">
      <c r="L520" s="312"/>
      <c r="M520" s="312"/>
      <c r="N520" s="312"/>
    </row>
    <row r="521">
      <c r="L521" s="312"/>
      <c r="M521" s="312"/>
      <c r="N521" s="312"/>
    </row>
    <row r="522">
      <c r="L522" s="312"/>
      <c r="M522" s="312"/>
      <c r="N522" s="312"/>
    </row>
    <row r="523">
      <c r="L523" s="312"/>
      <c r="M523" s="312"/>
      <c r="N523" s="312"/>
    </row>
    <row r="524">
      <c r="L524" s="312"/>
      <c r="M524" s="312"/>
      <c r="N524" s="312"/>
    </row>
    <row r="525">
      <c r="L525" s="312"/>
      <c r="M525" s="312"/>
      <c r="N525" s="312"/>
    </row>
    <row r="526">
      <c r="L526" s="312"/>
      <c r="M526" s="312"/>
      <c r="N526" s="312"/>
    </row>
    <row r="527">
      <c r="L527" s="312"/>
      <c r="M527" s="312"/>
      <c r="N527" s="312"/>
    </row>
    <row r="528">
      <c r="L528" s="312"/>
      <c r="M528" s="312"/>
      <c r="N528" s="312"/>
    </row>
    <row r="529">
      <c r="L529" s="312"/>
      <c r="M529" s="312"/>
      <c r="N529" s="312"/>
    </row>
    <row r="530">
      <c r="L530" s="312"/>
      <c r="M530" s="312"/>
      <c r="N530" s="312"/>
    </row>
    <row r="531">
      <c r="L531" s="312"/>
      <c r="M531" s="312"/>
      <c r="N531" s="312"/>
    </row>
    <row r="532">
      <c r="L532" s="312"/>
      <c r="M532" s="312"/>
      <c r="N532" s="312"/>
    </row>
    <row r="533">
      <c r="L533" s="312"/>
      <c r="M533" s="312"/>
      <c r="N533" s="312"/>
    </row>
    <row r="534">
      <c r="L534" s="312"/>
      <c r="M534" s="312"/>
      <c r="N534" s="312"/>
    </row>
    <row r="535">
      <c r="L535" s="312"/>
      <c r="M535" s="312"/>
      <c r="N535" s="312"/>
    </row>
    <row r="536">
      <c r="L536" s="312"/>
      <c r="M536" s="312"/>
      <c r="N536" s="312"/>
    </row>
    <row r="537">
      <c r="L537" s="312"/>
      <c r="M537" s="312"/>
      <c r="N537" s="312"/>
    </row>
    <row r="538">
      <c r="L538" s="312"/>
      <c r="M538" s="312"/>
      <c r="N538" s="312"/>
    </row>
    <row r="539">
      <c r="L539" s="312"/>
      <c r="M539" s="312"/>
      <c r="N539" s="312"/>
    </row>
    <row r="540">
      <c r="L540" s="312"/>
      <c r="M540" s="312"/>
      <c r="N540" s="312"/>
    </row>
    <row r="541">
      <c r="L541" s="312"/>
      <c r="M541" s="312"/>
      <c r="N541" s="312"/>
    </row>
    <row r="542">
      <c r="L542" s="312"/>
      <c r="M542" s="312"/>
      <c r="N542" s="312"/>
    </row>
    <row r="543">
      <c r="L543" s="312"/>
      <c r="M543" s="312"/>
      <c r="N543" s="312"/>
    </row>
    <row r="544">
      <c r="L544" s="312"/>
      <c r="M544" s="312"/>
      <c r="N544" s="312"/>
    </row>
    <row r="545">
      <c r="L545" s="312"/>
      <c r="M545" s="312"/>
      <c r="N545" s="312"/>
    </row>
    <row r="546">
      <c r="L546" s="312"/>
      <c r="M546" s="312"/>
      <c r="N546" s="312"/>
    </row>
    <row r="547">
      <c r="L547" s="312"/>
      <c r="M547" s="312"/>
      <c r="N547" s="312"/>
    </row>
    <row r="548">
      <c r="L548" s="312"/>
      <c r="M548" s="312"/>
      <c r="N548" s="312"/>
    </row>
    <row r="549">
      <c r="L549" s="312"/>
      <c r="M549" s="312"/>
      <c r="N549" s="312"/>
    </row>
    <row r="550">
      <c r="L550" s="312"/>
      <c r="M550" s="312"/>
      <c r="N550" s="312"/>
    </row>
    <row r="551">
      <c r="L551" s="312"/>
      <c r="M551" s="312"/>
      <c r="N551" s="312"/>
    </row>
    <row r="552">
      <c r="L552" s="312"/>
      <c r="M552" s="312"/>
      <c r="N552" s="312"/>
    </row>
    <row r="553">
      <c r="L553" s="312"/>
      <c r="M553" s="312"/>
      <c r="N553" s="312"/>
    </row>
    <row r="554">
      <c r="L554" s="312"/>
      <c r="M554" s="312"/>
      <c r="N554" s="312"/>
    </row>
    <row r="555">
      <c r="L555" s="312"/>
      <c r="M555" s="312"/>
      <c r="N555" s="312"/>
    </row>
    <row r="556">
      <c r="L556" s="312"/>
      <c r="M556" s="312"/>
      <c r="N556" s="312"/>
    </row>
    <row r="557">
      <c r="L557" s="312"/>
      <c r="M557" s="312"/>
      <c r="N557" s="312"/>
    </row>
    <row r="558">
      <c r="L558" s="312"/>
      <c r="M558" s="312"/>
      <c r="N558" s="312"/>
    </row>
    <row r="559">
      <c r="L559" s="312"/>
      <c r="M559" s="312"/>
      <c r="N559" s="312"/>
    </row>
    <row r="560">
      <c r="L560" s="312"/>
      <c r="M560" s="312"/>
      <c r="N560" s="312"/>
    </row>
    <row r="561">
      <c r="L561" s="312"/>
      <c r="M561" s="312"/>
      <c r="N561" s="312"/>
    </row>
    <row r="562">
      <c r="L562" s="312"/>
      <c r="M562" s="312"/>
      <c r="N562" s="312"/>
    </row>
    <row r="563">
      <c r="L563" s="312"/>
      <c r="M563" s="312"/>
      <c r="N563" s="312"/>
    </row>
    <row r="564">
      <c r="L564" s="312"/>
      <c r="M564" s="312"/>
      <c r="N564" s="312"/>
    </row>
    <row r="565">
      <c r="L565" s="312"/>
      <c r="M565" s="312"/>
      <c r="N565" s="312"/>
    </row>
    <row r="566">
      <c r="L566" s="312"/>
      <c r="M566" s="312"/>
      <c r="N566" s="312"/>
    </row>
    <row r="567">
      <c r="L567" s="312"/>
      <c r="M567" s="312"/>
      <c r="N567" s="312"/>
    </row>
    <row r="568">
      <c r="L568" s="312"/>
      <c r="M568" s="312"/>
      <c r="N568" s="312"/>
    </row>
    <row r="569">
      <c r="L569" s="312"/>
      <c r="M569" s="312"/>
      <c r="N569" s="312"/>
    </row>
    <row r="570">
      <c r="L570" s="312"/>
      <c r="M570" s="312"/>
      <c r="N570" s="312"/>
    </row>
    <row r="571">
      <c r="L571" s="312"/>
      <c r="M571" s="312"/>
      <c r="N571" s="312"/>
    </row>
    <row r="572">
      <c r="L572" s="312"/>
      <c r="M572" s="312"/>
      <c r="N572" s="312"/>
    </row>
    <row r="573">
      <c r="L573" s="312"/>
      <c r="M573" s="312"/>
      <c r="N573" s="312"/>
    </row>
    <row r="574">
      <c r="L574" s="312"/>
      <c r="M574" s="312"/>
      <c r="N574" s="312"/>
    </row>
    <row r="575">
      <c r="L575" s="312"/>
      <c r="M575" s="312"/>
      <c r="N575" s="312"/>
    </row>
    <row r="576">
      <c r="L576" s="312"/>
      <c r="M576" s="312"/>
      <c r="N576" s="312"/>
    </row>
    <row r="577">
      <c r="L577" s="312"/>
      <c r="M577" s="312"/>
      <c r="N577" s="312"/>
    </row>
    <row r="578">
      <c r="L578" s="312"/>
      <c r="M578" s="312"/>
      <c r="N578" s="312"/>
    </row>
    <row r="579">
      <c r="L579" s="312"/>
      <c r="M579" s="312"/>
      <c r="N579" s="312"/>
    </row>
    <row r="580">
      <c r="L580" s="312"/>
      <c r="M580" s="312"/>
      <c r="N580" s="312"/>
    </row>
    <row r="581">
      <c r="L581" s="312"/>
      <c r="M581" s="312"/>
      <c r="N581" s="312"/>
    </row>
    <row r="582">
      <c r="L582" s="312"/>
      <c r="M582" s="312"/>
      <c r="N582" s="312"/>
    </row>
    <row r="583">
      <c r="L583" s="312"/>
      <c r="M583" s="312"/>
      <c r="N583" s="312"/>
    </row>
    <row r="584">
      <c r="L584" s="312"/>
      <c r="M584" s="312"/>
      <c r="N584" s="312"/>
    </row>
    <row r="585">
      <c r="L585" s="312"/>
      <c r="M585" s="312"/>
      <c r="N585" s="312"/>
    </row>
    <row r="586">
      <c r="L586" s="312"/>
      <c r="M586" s="312"/>
      <c r="N586" s="312"/>
    </row>
    <row r="587">
      <c r="L587" s="312"/>
      <c r="M587" s="312"/>
      <c r="N587" s="312"/>
    </row>
    <row r="588">
      <c r="L588" s="312"/>
      <c r="M588" s="312"/>
      <c r="N588" s="312"/>
    </row>
    <row r="589">
      <c r="L589" s="312"/>
      <c r="M589" s="312"/>
      <c r="N589" s="312"/>
    </row>
    <row r="590">
      <c r="L590" s="312"/>
      <c r="M590" s="312"/>
      <c r="N590" s="312"/>
    </row>
    <row r="591">
      <c r="L591" s="312"/>
      <c r="M591" s="312"/>
      <c r="N591" s="312"/>
    </row>
    <row r="592">
      <c r="L592" s="312"/>
      <c r="M592" s="312"/>
      <c r="N592" s="312"/>
    </row>
    <row r="593">
      <c r="L593" s="312"/>
      <c r="M593" s="312"/>
      <c r="N593" s="312"/>
    </row>
    <row r="594">
      <c r="L594" s="312"/>
      <c r="M594" s="312"/>
      <c r="N594" s="312"/>
    </row>
    <row r="595">
      <c r="L595" s="312"/>
      <c r="M595" s="312"/>
      <c r="N595" s="312"/>
    </row>
    <row r="596">
      <c r="L596" s="312"/>
      <c r="M596" s="312"/>
      <c r="N596" s="312"/>
    </row>
    <row r="597">
      <c r="L597" s="312"/>
      <c r="M597" s="312"/>
      <c r="N597" s="312"/>
    </row>
    <row r="598">
      <c r="L598" s="312"/>
      <c r="M598" s="312"/>
      <c r="N598" s="312"/>
    </row>
    <row r="599">
      <c r="L599" s="312"/>
      <c r="M599" s="312"/>
      <c r="N599" s="312"/>
    </row>
    <row r="600">
      <c r="L600" s="312"/>
      <c r="M600" s="312"/>
      <c r="N600" s="312"/>
    </row>
    <row r="601">
      <c r="L601" s="312"/>
      <c r="M601" s="312"/>
      <c r="N601" s="312"/>
    </row>
    <row r="602">
      <c r="L602" s="312"/>
      <c r="M602" s="312"/>
      <c r="N602" s="312"/>
    </row>
    <row r="603">
      <c r="L603" s="312"/>
      <c r="M603" s="312"/>
      <c r="N603" s="312"/>
    </row>
    <row r="604">
      <c r="L604" s="312"/>
      <c r="M604" s="312"/>
      <c r="N604" s="312"/>
    </row>
    <row r="605">
      <c r="L605" s="312"/>
      <c r="M605" s="312"/>
      <c r="N605" s="312"/>
    </row>
    <row r="606">
      <c r="L606" s="312"/>
      <c r="M606" s="312"/>
      <c r="N606" s="312"/>
    </row>
    <row r="607">
      <c r="L607" s="312"/>
      <c r="M607" s="312"/>
      <c r="N607" s="312"/>
    </row>
    <row r="608">
      <c r="L608" s="312"/>
      <c r="M608" s="312"/>
      <c r="N608" s="312"/>
    </row>
    <row r="609">
      <c r="L609" s="312"/>
      <c r="M609" s="312"/>
      <c r="N609" s="312"/>
    </row>
    <row r="610">
      <c r="L610" s="312"/>
      <c r="M610" s="312"/>
      <c r="N610" s="312"/>
    </row>
    <row r="611">
      <c r="L611" s="312"/>
      <c r="M611" s="312"/>
      <c r="N611" s="312"/>
    </row>
    <row r="612">
      <c r="L612" s="312"/>
      <c r="M612" s="312"/>
      <c r="N612" s="312"/>
    </row>
    <row r="613">
      <c r="L613" s="312"/>
      <c r="M613" s="312"/>
      <c r="N613" s="312"/>
    </row>
    <row r="614">
      <c r="L614" s="312"/>
      <c r="M614" s="312"/>
      <c r="N614" s="312"/>
    </row>
    <row r="615">
      <c r="L615" s="312"/>
      <c r="M615" s="312"/>
      <c r="N615" s="312"/>
    </row>
    <row r="616">
      <c r="L616" s="312"/>
      <c r="M616" s="312"/>
      <c r="N616" s="312"/>
    </row>
    <row r="617">
      <c r="L617" s="312"/>
      <c r="M617" s="312"/>
      <c r="N617" s="312"/>
    </row>
    <row r="618">
      <c r="L618" s="312"/>
      <c r="M618" s="312"/>
      <c r="N618" s="312"/>
    </row>
    <row r="619">
      <c r="L619" s="312"/>
      <c r="M619" s="312"/>
      <c r="N619" s="312"/>
    </row>
    <row r="620">
      <c r="L620" s="312"/>
      <c r="M620" s="312"/>
      <c r="N620" s="312"/>
    </row>
    <row r="621">
      <c r="L621" s="312"/>
      <c r="M621" s="312"/>
      <c r="N621" s="312"/>
    </row>
    <row r="622">
      <c r="L622" s="312"/>
      <c r="M622" s="312"/>
      <c r="N622" s="312"/>
    </row>
    <row r="623">
      <c r="L623" s="312"/>
      <c r="M623" s="312"/>
      <c r="N623" s="312"/>
    </row>
    <row r="624">
      <c r="L624" s="312"/>
      <c r="M624" s="312"/>
      <c r="N624" s="312"/>
    </row>
    <row r="625">
      <c r="L625" s="312"/>
      <c r="M625" s="312"/>
      <c r="N625" s="312"/>
    </row>
    <row r="626">
      <c r="L626" s="312"/>
      <c r="M626" s="312"/>
      <c r="N626" s="312"/>
    </row>
    <row r="627">
      <c r="L627" s="312"/>
      <c r="M627" s="312"/>
      <c r="N627" s="312"/>
    </row>
    <row r="628">
      <c r="L628" s="312"/>
      <c r="M628" s="312"/>
      <c r="N628" s="312"/>
    </row>
    <row r="629">
      <c r="L629" s="312"/>
      <c r="M629" s="312"/>
      <c r="N629" s="312"/>
    </row>
    <row r="630">
      <c r="L630" s="312"/>
      <c r="M630" s="312"/>
      <c r="N630" s="312"/>
    </row>
    <row r="631">
      <c r="L631" s="312"/>
      <c r="M631" s="312"/>
      <c r="N631" s="312"/>
    </row>
    <row r="632">
      <c r="L632" s="312"/>
      <c r="M632" s="312"/>
      <c r="N632" s="312"/>
    </row>
    <row r="633">
      <c r="L633" s="312"/>
      <c r="M633" s="312"/>
      <c r="N633" s="312"/>
    </row>
    <row r="634">
      <c r="L634" s="312"/>
      <c r="M634" s="312"/>
      <c r="N634" s="312"/>
    </row>
    <row r="635">
      <c r="L635" s="312"/>
      <c r="M635" s="312"/>
      <c r="N635" s="312"/>
    </row>
    <row r="636">
      <c r="L636" s="312"/>
      <c r="M636" s="312"/>
      <c r="N636" s="312"/>
    </row>
    <row r="637">
      <c r="L637" s="312"/>
      <c r="M637" s="312"/>
      <c r="N637" s="312"/>
    </row>
    <row r="638">
      <c r="L638" s="312"/>
      <c r="M638" s="312"/>
      <c r="N638" s="312"/>
    </row>
    <row r="639">
      <c r="L639" s="312"/>
      <c r="M639" s="312"/>
      <c r="N639" s="312"/>
    </row>
    <row r="640">
      <c r="L640" s="312"/>
      <c r="M640" s="312"/>
      <c r="N640" s="312"/>
    </row>
    <row r="641">
      <c r="L641" s="312"/>
      <c r="M641" s="312"/>
      <c r="N641" s="312"/>
    </row>
    <row r="642">
      <c r="L642" s="312"/>
      <c r="M642" s="312"/>
      <c r="N642" s="312"/>
    </row>
    <row r="643">
      <c r="L643" s="312"/>
      <c r="M643" s="312"/>
      <c r="N643" s="312"/>
    </row>
    <row r="644">
      <c r="L644" s="312"/>
      <c r="M644" s="312"/>
      <c r="N644" s="312"/>
    </row>
    <row r="645">
      <c r="L645" s="312"/>
      <c r="M645" s="312"/>
      <c r="N645" s="312"/>
    </row>
    <row r="646">
      <c r="L646" s="312"/>
      <c r="M646" s="312"/>
      <c r="N646" s="312"/>
    </row>
    <row r="647">
      <c r="L647" s="312"/>
      <c r="M647" s="312"/>
      <c r="N647" s="312"/>
    </row>
    <row r="648">
      <c r="L648" s="312"/>
      <c r="M648" s="312"/>
      <c r="N648" s="312"/>
    </row>
    <row r="649">
      <c r="L649" s="312"/>
      <c r="M649" s="312"/>
      <c r="N649" s="312"/>
    </row>
    <row r="650">
      <c r="L650" s="312"/>
      <c r="M650" s="312"/>
      <c r="N650" s="312"/>
    </row>
    <row r="651">
      <c r="L651" s="312"/>
      <c r="M651" s="312"/>
      <c r="N651" s="312"/>
    </row>
    <row r="652">
      <c r="L652" s="312"/>
      <c r="M652" s="312"/>
      <c r="N652" s="312"/>
    </row>
    <row r="653">
      <c r="L653" s="312"/>
      <c r="M653" s="312"/>
      <c r="N653" s="312"/>
    </row>
    <row r="654">
      <c r="L654" s="312"/>
      <c r="M654" s="312"/>
      <c r="N654" s="312"/>
    </row>
    <row r="655">
      <c r="L655" s="312"/>
      <c r="M655" s="312"/>
      <c r="N655" s="312"/>
    </row>
    <row r="656">
      <c r="L656" s="312"/>
      <c r="M656" s="312"/>
      <c r="N656" s="312"/>
    </row>
    <row r="657">
      <c r="L657" s="312"/>
      <c r="M657" s="312"/>
      <c r="N657" s="312"/>
    </row>
    <row r="658">
      <c r="L658" s="312"/>
      <c r="M658" s="312"/>
      <c r="N658" s="312"/>
    </row>
    <row r="659">
      <c r="L659" s="312"/>
      <c r="M659" s="312"/>
      <c r="N659" s="312"/>
    </row>
    <row r="660">
      <c r="L660" s="312"/>
      <c r="M660" s="312"/>
      <c r="N660" s="312"/>
    </row>
    <row r="661">
      <c r="L661" s="312"/>
      <c r="M661" s="312"/>
      <c r="N661" s="312"/>
    </row>
    <row r="662">
      <c r="L662" s="312"/>
      <c r="M662" s="312"/>
      <c r="N662" s="312"/>
    </row>
    <row r="663">
      <c r="L663" s="312"/>
      <c r="M663" s="312"/>
      <c r="N663" s="312"/>
    </row>
    <row r="664">
      <c r="L664" s="312"/>
      <c r="M664" s="312"/>
      <c r="N664" s="312"/>
    </row>
    <row r="665">
      <c r="L665" s="312"/>
      <c r="M665" s="312"/>
      <c r="N665" s="312"/>
    </row>
    <row r="666">
      <c r="L666" s="312"/>
      <c r="M666" s="312"/>
      <c r="N666" s="312"/>
    </row>
    <row r="667">
      <c r="L667" s="312"/>
      <c r="M667" s="312"/>
      <c r="N667" s="312"/>
    </row>
    <row r="668">
      <c r="L668" s="312"/>
      <c r="M668" s="312"/>
      <c r="N668" s="312"/>
    </row>
    <row r="669">
      <c r="L669" s="312"/>
      <c r="M669" s="312"/>
      <c r="N669" s="312"/>
    </row>
    <row r="670">
      <c r="L670" s="312"/>
      <c r="M670" s="312"/>
      <c r="N670" s="312"/>
    </row>
    <row r="671">
      <c r="L671" s="312"/>
      <c r="M671" s="312"/>
      <c r="N671" s="312"/>
    </row>
    <row r="672">
      <c r="L672" s="312"/>
      <c r="M672" s="312"/>
      <c r="N672" s="312"/>
    </row>
    <row r="673">
      <c r="L673" s="312"/>
      <c r="M673" s="312"/>
      <c r="N673" s="312"/>
    </row>
    <row r="674">
      <c r="L674" s="312"/>
      <c r="M674" s="312"/>
      <c r="N674" s="312"/>
    </row>
    <row r="675">
      <c r="L675" s="312"/>
      <c r="M675" s="312"/>
      <c r="N675" s="312"/>
    </row>
    <row r="676">
      <c r="L676" s="312"/>
      <c r="M676" s="312"/>
      <c r="N676" s="312"/>
    </row>
    <row r="677">
      <c r="L677" s="312"/>
      <c r="M677" s="312"/>
      <c r="N677" s="312"/>
    </row>
    <row r="678">
      <c r="L678" s="312"/>
      <c r="M678" s="312"/>
      <c r="N678" s="312"/>
    </row>
    <row r="679">
      <c r="L679" s="312"/>
      <c r="M679" s="312"/>
      <c r="N679" s="312"/>
    </row>
    <row r="680">
      <c r="L680" s="312"/>
      <c r="M680" s="312"/>
      <c r="N680" s="312"/>
    </row>
    <row r="681">
      <c r="L681" s="312"/>
      <c r="M681" s="312"/>
      <c r="N681" s="312"/>
    </row>
    <row r="682">
      <c r="L682" s="312"/>
      <c r="M682" s="312"/>
      <c r="N682" s="312"/>
    </row>
    <row r="683">
      <c r="L683" s="312"/>
      <c r="M683" s="312"/>
      <c r="N683" s="312"/>
    </row>
    <row r="684">
      <c r="L684" s="312"/>
      <c r="M684" s="312"/>
      <c r="N684" s="312"/>
    </row>
    <row r="685">
      <c r="L685" s="312"/>
      <c r="M685" s="312"/>
      <c r="N685" s="312"/>
    </row>
    <row r="686">
      <c r="L686" s="312"/>
      <c r="M686" s="312"/>
      <c r="N686" s="312"/>
    </row>
    <row r="687">
      <c r="L687" s="312"/>
      <c r="M687" s="312"/>
      <c r="N687" s="312"/>
    </row>
    <row r="688">
      <c r="L688" s="312"/>
      <c r="M688" s="312"/>
      <c r="N688" s="312"/>
    </row>
    <row r="689">
      <c r="L689" s="312"/>
      <c r="M689" s="312"/>
      <c r="N689" s="312"/>
    </row>
    <row r="690">
      <c r="L690" s="312"/>
      <c r="M690" s="312"/>
      <c r="N690" s="312"/>
    </row>
    <row r="691">
      <c r="L691" s="312"/>
      <c r="M691" s="312"/>
      <c r="N691" s="312"/>
    </row>
    <row r="692">
      <c r="L692" s="312"/>
      <c r="M692" s="312"/>
      <c r="N692" s="312"/>
    </row>
    <row r="693">
      <c r="L693" s="312"/>
      <c r="M693" s="312"/>
      <c r="N693" s="312"/>
    </row>
    <row r="694">
      <c r="L694" s="312"/>
      <c r="M694" s="312"/>
      <c r="N694" s="312"/>
    </row>
    <row r="695">
      <c r="L695" s="312"/>
      <c r="M695" s="312"/>
      <c r="N695" s="312"/>
    </row>
    <row r="696">
      <c r="L696" s="312"/>
      <c r="M696" s="312"/>
      <c r="N696" s="312"/>
    </row>
    <row r="697">
      <c r="L697" s="312"/>
      <c r="M697" s="312"/>
      <c r="N697" s="312"/>
    </row>
    <row r="698">
      <c r="L698" s="312"/>
      <c r="M698" s="312"/>
      <c r="N698" s="312"/>
    </row>
    <row r="699">
      <c r="L699" s="312"/>
      <c r="M699" s="312"/>
      <c r="N699" s="312"/>
    </row>
    <row r="700">
      <c r="L700" s="312"/>
      <c r="M700" s="312"/>
      <c r="N700" s="312"/>
    </row>
    <row r="701">
      <c r="L701" s="312"/>
      <c r="M701" s="312"/>
      <c r="N701" s="312"/>
    </row>
    <row r="702">
      <c r="L702" s="312"/>
      <c r="M702" s="312"/>
      <c r="N702" s="312"/>
    </row>
    <row r="703">
      <c r="L703" s="312"/>
      <c r="M703" s="312"/>
      <c r="N703" s="312"/>
    </row>
    <row r="704">
      <c r="L704" s="312"/>
      <c r="M704" s="312"/>
      <c r="N704" s="312"/>
    </row>
    <row r="705">
      <c r="L705" s="312"/>
      <c r="M705" s="312"/>
      <c r="N705" s="312"/>
    </row>
    <row r="706">
      <c r="L706" s="312"/>
      <c r="M706" s="312"/>
      <c r="N706" s="312"/>
    </row>
    <row r="707">
      <c r="L707" s="312"/>
      <c r="M707" s="312"/>
      <c r="N707" s="312"/>
    </row>
    <row r="708">
      <c r="L708" s="312"/>
      <c r="M708" s="312"/>
      <c r="N708" s="312"/>
    </row>
    <row r="709">
      <c r="L709" s="312"/>
      <c r="M709" s="312"/>
      <c r="N709" s="312"/>
    </row>
    <row r="710">
      <c r="L710" s="312"/>
      <c r="M710" s="312"/>
      <c r="N710" s="312"/>
    </row>
    <row r="711">
      <c r="L711" s="312"/>
      <c r="M711" s="312"/>
      <c r="N711" s="312"/>
    </row>
    <row r="712">
      <c r="L712" s="312"/>
      <c r="M712" s="312"/>
      <c r="N712" s="312"/>
    </row>
    <row r="713">
      <c r="L713" s="312"/>
      <c r="M713" s="312"/>
      <c r="N713" s="312"/>
    </row>
    <row r="714">
      <c r="L714" s="312"/>
      <c r="M714" s="312"/>
      <c r="N714" s="312"/>
    </row>
    <row r="715">
      <c r="L715" s="312"/>
      <c r="M715" s="312"/>
      <c r="N715" s="312"/>
    </row>
    <row r="716">
      <c r="L716" s="312"/>
      <c r="M716" s="312"/>
      <c r="N716" s="312"/>
    </row>
    <row r="717">
      <c r="L717" s="312"/>
      <c r="M717" s="312"/>
      <c r="N717" s="312"/>
    </row>
    <row r="718">
      <c r="L718" s="312"/>
      <c r="M718" s="312"/>
      <c r="N718" s="312"/>
    </row>
    <row r="719">
      <c r="L719" s="312"/>
      <c r="M719" s="312"/>
      <c r="N719" s="312"/>
    </row>
    <row r="720">
      <c r="L720" s="312"/>
      <c r="M720" s="312"/>
      <c r="N720" s="312"/>
    </row>
    <row r="721">
      <c r="L721" s="312"/>
      <c r="M721" s="312"/>
      <c r="N721" s="312"/>
    </row>
    <row r="722">
      <c r="L722" s="312"/>
      <c r="M722" s="312"/>
      <c r="N722" s="312"/>
    </row>
    <row r="723">
      <c r="L723" s="312"/>
      <c r="M723" s="312"/>
      <c r="N723" s="312"/>
    </row>
    <row r="724">
      <c r="L724" s="312"/>
      <c r="M724" s="312"/>
      <c r="N724" s="312"/>
    </row>
    <row r="725">
      <c r="L725" s="312"/>
      <c r="M725" s="312"/>
      <c r="N725" s="312"/>
    </row>
    <row r="726">
      <c r="L726" s="312"/>
      <c r="M726" s="312"/>
      <c r="N726" s="312"/>
    </row>
    <row r="727">
      <c r="L727" s="312"/>
      <c r="M727" s="312"/>
      <c r="N727" s="312"/>
    </row>
    <row r="728">
      <c r="L728" s="312"/>
      <c r="M728" s="312"/>
      <c r="N728" s="312"/>
    </row>
    <row r="729">
      <c r="L729" s="312"/>
      <c r="M729" s="312"/>
      <c r="N729" s="312"/>
    </row>
    <row r="730">
      <c r="L730" s="312"/>
      <c r="M730" s="312"/>
      <c r="N730" s="312"/>
    </row>
    <row r="731">
      <c r="L731" s="312"/>
      <c r="M731" s="312"/>
      <c r="N731" s="312"/>
    </row>
    <row r="732">
      <c r="L732" s="312"/>
      <c r="M732" s="312"/>
      <c r="N732" s="312"/>
    </row>
    <row r="733">
      <c r="L733" s="312"/>
      <c r="M733" s="312"/>
      <c r="N733" s="312"/>
    </row>
    <row r="734">
      <c r="L734" s="312"/>
      <c r="M734" s="312"/>
      <c r="N734" s="312"/>
    </row>
    <row r="735">
      <c r="L735" s="312"/>
      <c r="M735" s="312"/>
      <c r="N735" s="312"/>
    </row>
    <row r="736">
      <c r="L736" s="312"/>
      <c r="M736" s="312"/>
      <c r="N736" s="312"/>
    </row>
    <row r="737">
      <c r="L737" s="312"/>
      <c r="M737" s="312"/>
      <c r="N737" s="312"/>
    </row>
    <row r="738">
      <c r="L738" s="312"/>
      <c r="M738" s="312"/>
      <c r="N738" s="312"/>
    </row>
    <row r="739">
      <c r="L739" s="312"/>
      <c r="M739" s="312"/>
      <c r="N739" s="312"/>
    </row>
    <row r="740">
      <c r="L740" s="312"/>
      <c r="M740" s="312"/>
      <c r="N740" s="312"/>
    </row>
    <row r="741">
      <c r="L741" s="312"/>
      <c r="M741" s="312"/>
      <c r="N741" s="312"/>
    </row>
    <row r="742">
      <c r="L742" s="312"/>
      <c r="M742" s="312"/>
      <c r="N742" s="312"/>
    </row>
    <row r="743">
      <c r="L743" s="312"/>
      <c r="M743" s="312"/>
      <c r="N743" s="312"/>
    </row>
    <row r="744">
      <c r="L744" s="312"/>
      <c r="M744" s="312"/>
      <c r="N744" s="312"/>
    </row>
    <row r="745">
      <c r="L745" s="312"/>
      <c r="M745" s="312"/>
      <c r="N745" s="312"/>
    </row>
    <row r="746">
      <c r="L746" s="312"/>
      <c r="M746" s="312"/>
      <c r="N746" s="312"/>
    </row>
    <row r="747">
      <c r="L747" s="312"/>
      <c r="M747" s="312"/>
      <c r="N747" s="312"/>
    </row>
    <row r="748">
      <c r="L748" s="312"/>
      <c r="M748" s="312"/>
      <c r="N748" s="312"/>
    </row>
    <row r="749">
      <c r="L749" s="312"/>
      <c r="M749" s="312"/>
      <c r="N749" s="312"/>
    </row>
    <row r="750">
      <c r="L750" s="312"/>
      <c r="M750" s="312"/>
      <c r="N750" s="312"/>
    </row>
    <row r="751">
      <c r="L751" s="312"/>
      <c r="M751" s="312"/>
      <c r="N751" s="312"/>
    </row>
    <row r="752">
      <c r="L752" s="312"/>
      <c r="M752" s="312"/>
      <c r="N752" s="312"/>
    </row>
    <row r="753">
      <c r="L753" s="312"/>
      <c r="M753" s="312"/>
      <c r="N753" s="312"/>
    </row>
    <row r="754">
      <c r="L754" s="312"/>
      <c r="M754" s="312"/>
      <c r="N754" s="312"/>
    </row>
    <row r="755">
      <c r="L755" s="312"/>
      <c r="M755" s="312"/>
      <c r="N755" s="312"/>
    </row>
    <row r="756">
      <c r="L756" s="312"/>
      <c r="M756" s="312"/>
      <c r="N756" s="312"/>
    </row>
    <row r="757">
      <c r="L757" s="312"/>
      <c r="M757" s="312"/>
      <c r="N757" s="312"/>
    </row>
    <row r="758">
      <c r="L758" s="312"/>
      <c r="M758" s="312"/>
      <c r="N758" s="312"/>
    </row>
    <row r="759">
      <c r="L759" s="312"/>
      <c r="M759" s="312"/>
      <c r="N759" s="312"/>
    </row>
    <row r="760">
      <c r="L760" s="312"/>
      <c r="M760" s="312"/>
      <c r="N760" s="312"/>
    </row>
    <row r="761">
      <c r="L761" s="312"/>
      <c r="M761" s="312"/>
      <c r="N761" s="312"/>
    </row>
    <row r="762">
      <c r="L762" s="312"/>
      <c r="M762" s="312"/>
      <c r="N762" s="312"/>
    </row>
    <row r="763">
      <c r="L763" s="312"/>
      <c r="M763" s="312"/>
      <c r="N763" s="312"/>
    </row>
    <row r="764">
      <c r="L764" s="312"/>
      <c r="M764" s="312"/>
      <c r="N764" s="312"/>
    </row>
    <row r="765">
      <c r="L765" s="312"/>
      <c r="M765" s="312"/>
      <c r="N765" s="312"/>
    </row>
    <row r="766">
      <c r="L766" s="312"/>
      <c r="M766" s="312"/>
      <c r="N766" s="312"/>
    </row>
    <row r="767">
      <c r="L767" s="312"/>
      <c r="M767" s="312"/>
      <c r="N767" s="312"/>
    </row>
    <row r="768">
      <c r="L768" s="312"/>
      <c r="M768" s="312"/>
      <c r="N768" s="312"/>
    </row>
    <row r="769">
      <c r="L769" s="312"/>
      <c r="M769" s="312"/>
      <c r="N769" s="312"/>
    </row>
    <row r="770">
      <c r="L770" s="312"/>
      <c r="M770" s="312"/>
      <c r="N770" s="312"/>
    </row>
    <row r="771">
      <c r="L771" s="312"/>
      <c r="M771" s="312"/>
      <c r="N771" s="312"/>
    </row>
    <row r="772">
      <c r="L772" s="312"/>
      <c r="M772" s="312"/>
      <c r="N772" s="312"/>
    </row>
    <row r="773">
      <c r="L773" s="312"/>
      <c r="M773" s="312"/>
      <c r="N773" s="312"/>
    </row>
    <row r="774">
      <c r="L774" s="312"/>
      <c r="M774" s="312"/>
      <c r="N774" s="312"/>
    </row>
    <row r="775">
      <c r="L775" s="312"/>
      <c r="M775" s="312"/>
      <c r="N775" s="312"/>
    </row>
    <row r="776">
      <c r="L776" s="312"/>
      <c r="M776" s="312"/>
      <c r="N776" s="312"/>
    </row>
    <row r="777">
      <c r="L777" s="312"/>
      <c r="M777" s="312"/>
      <c r="N777" s="312"/>
    </row>
    <row r="778">
      <c r="L778" s="312"/>
      <c r="M778" s="312"/>
      <c r="N778" s="312"/>
    </row>
    <row r="779">
      <c r="L779" s="312"/>
      <c r="M779" s="312"/>
      <c r="N779" s="312"/>
    </row>
    <row r="780">
      <c r="L780" s="312"/>
      <c r="M780" s="312"/>
      <c r="N780" s="312"/>
    </row>
    <row r="781">
      <c r="L781" s="312"/>
      <c r="M781" s="312"/>
      <c r="N781" s="312"/>
    </row>
    <row r="782">
      <c r="L782" s="312"/>
      <c r="M782" s="312"/>
      <c r="N782" s="312"/>
    </row>
    <row r="783">
      <c r="L783" s="312"/>
      <c r="M783" s="312"/>
      <c r="N783" s="312"/>
    </row>
    <row r="784">
      <c r="L784" s="312"/>
      <c r="M784" s="312"/>
      <c r="N784" s="312"/>
    </row>
    <row r="785">
      <c r="L785" s="312"/>
      <c r="M785" s="312"/>
      <c r="N785" s="312"/>
    </row>
    <row r="786">
      <c r="L786" s="312"/>
      <c r="M786" s="312"/>
      <c r="N786" s="312"/>
    </row>
    <row r="787">
      <c r="L787" s="312"/>
      <c r="M787" s="312"/>
      <c r="N787" s="312"/>
    </row>
    <row r="788">
      <c r="L788" s="312"/>
      <c r="M788" s="312"/>
      <c r="N788" s="312"/>
    </row>
    <row r="789">
      <c r="L789" s="312"/>
      <c r="M789" s="312"/>
      <c r="N789" s="312"/>
    </row>
    <row r="790">
      <c r="L790" s="312"/>
      <c r="M790" s="312"/>
      <c r="N790" s="312"/>
    </row>
    <row r="791">
      <c r="L791" s="312"/>
      <c r="M791" s="312"/>
      <c r="N791" s="312"/>
    </row>
    <row r="792">
      <c r="L792" s="312"/>
      <c r="M792" s="312"/>
      <c r="N792" s="312"/>
    </row>
    <row r="793">
      <c r="L793" s="312"/>
      <c r="M793" s="312"/>
      <c r="N793" s="312"/>
    </row>
    <row r="794">
      <c r="L794" s="312"/>
      <c r="M794" s="312"/>
      <c r="N794" s="312"/>
    </row>
    <row r="795">
      <c r="L795" s="312"/>
      <c r="M795" s="312"/>
      <c r="N795" s="312"/>
    </row>
    <row r="796">
      <c r="L796" s="312"/>
      <c r="M796" s="312"/>
      <c r="N796" s="312"/>
    </row>
    <row r="797">
      <c r="L797" s="312"/>
      <c r="M797" s="312"/>
      <c r="N797" s="312"/>
    </row>
    <row r="798">
      <c r="L798" s="312"/>
      <c r="M798" s="312"/>
      <c r="N798" s="312"/>
    </row>
    <row r="799">
      <c r="L799" s="312"/>
      <c r="M799" s="312"/>
      <c r="N799" s="312"/>
    </row>
    <row r="800">
      <c r="L800" s="312"/>
      <c r="M800" s="312"/>
      <c r="N800" s="312"/>
    </row>
    <row r="801">
      <c r="L801" s="312"/>
      <c r="M801" s="312"/>
      <c r="N801" s="312"/>
    </row>
    <row r="802">
      <c r="L802" s="312"/>
      <c r="M802" s="312"/>
      <c r="N802" s="312"/>
    </row>
    <row r="803">
      <c r="L803" s="312"/>
      <c r="M803" s="312"/>
      <c r="N803" s="312"/>
    </row>
    <row r="804">
      <c r="L804" s="312"/>
      <c r="M804" s="312"/>
      <c r="N804" s="312"/>
    </row>
    <row r="805">
      <c r="L805" s="312"/>
      <c r="M805" s="312"/>
      <c r="N805" s="312"/>
    </row>
    <row r="806">
      <c r="L806" s="312"/>
      <c r="M806" s="312"/>
      <c r="N806" s="312"/>
    </row>
    <row r="807">
      <c r="L807" s="312"/>
      <c r="M807" s="312"/>
      <c r="N807" s="312"/>
    </row>
    <row r="808">
      <c r="L808" s="312"/>
      <c r="M808" s="312"/>
      <c r="N808" s="312"/>
    </row>
    <row r="809">
      <c r="L809" s="312"/>
      <c r="M809" s="312"/>
      <c r="N809" s="312"/>
    </row>
    <row r="810">
      <c r="L810" s="312"/>
      <c r="M810" s="312"/>
      <c r="N810" s="312"/>
    </row>
    <row r="811">
      <c r="L811" s="312"/>
      <c r="M811" s="312"/>
      <c r="N811" s="312"/>
    </row>
    <row r="812">
      <c r="L812" s="312"/>
      <c r="M812" s="312"/>
      <c r="N812" s="312"/>
    </row>
    <row r="813">
      <c r="L813" s="312"/>
      <c r="M813" s="312"/>
      <c r="N813" s="312"/>
    </row>
    <row r="814">
      <c r="L814" s="312"/>
      <c r="M814" s="312"/>
      <c r="N814" s="312"/>
    </row>
    <row r="815">
      <c r="L815" s="312"/>
      <c r="M815" s="312"/>
      <c r="N815" s="312"/>
    </row>
    <row r="816">
      <c r="L816" s="312"/>
      <c r="M816" s="312"/>
      <c r="N816" s="312"/>
    </row>
    <row r="817">
      <c r="L817" s="312"/>
      <c r="M817" s="312"/>
      <c r="N817" s="312"/>
    </row>
    <row r="818">
      <c r="L818" s="312"/>
      <c r="M818" s="312"/>
      <c r="N818" s="312"/>
    </row>
    <row r="819">
      <c r="L819" s="312"/>
      <c r="M819" s="312"/>
      <c r="N819" s="312"/>
    </row>
    <row r="820">
      <c r="L820" s="312"/>
      <c r="M820" s="312"/>
      <c r="N820" s="312"/>
    </row>
    <row r="821">
      <c r="L821" s="312"/>
      <c r="M821" s="312"/>
      <c r="N821" s="312"/>
    </row>
    <row r="822">
      <c r="L822" s="312"/>
      <c r="M822" s="312"/>
      <c r="N822" s="312"/>
    </row>
    <row r="823">
      <c r="L823" s="312"/>
      <c r="M823" s="312"/>
      <c r="N823" s="312"/>
    </row>
    <row r="824">
      <c r="L824" s="312"/>
      <c r="M824" s="312"/>
      <c r="N824" s="312"/>
    </row>
    <row r="825">
      <c r="L825" s="312"/>
      <c r="M825" s="312"/>
      <c r="N825" s="312"/>
    </row>
    <row r="826">
      <c r="L826" s="312"/>
      <c r="M826" s="312"/>
      <c r="N826" s="312"/>
    </row>
    <row r="827">
      <c r="L827" s="312"/>
      <c r="M827" s="312"/>
      <c r="N827" s="312"/>
    </row>
    <row r="828">
      <c r="L828" s="312"/>
      <c r="M828" s="312"/>
      <c r="N828" s="312"/>
    </row>
    <row r="829">
      <c r="L829" s="312"/>
      <c r="M829" s="312"/>
      <c r="N829" s="312"/>
    </row>
    <row r="830">
      <c r="L830" s="312"/>
      <c r="M830" s="312"/>
      <c r="N830" s="312"/>
    </row>
    <row r="831">
      <c r="L831" s="312"/>
      <c r="M831" s="312"/>
      <c r="N831" s="312"/>
    </row>
    <row r="832">
      <c r="L832" s="312"/>
      <c r="M832" s="312"/>
      <c r="N832" s="312"/>
    </row>
    <row r="833">
      <c r="L833" s="312"/>
      <c r="M833" s="312"/>
      <c r="N833" s="312"/>
    </row>
    <row r="834">
      <c r="L834" s="312"/>
      <c r="M834" s="312"/>
      <c r="N834" s="312"/>
    </row>
    <row r="835">
      <c r="L835" s="312"/>
      <c r="M835" s="312"/>
      <c r="N835" s="312"/>
    </row>
    <row r="836">
      <c r="L836" s="312"/>
      <c r="M836" s="312"/>
      <c r="N836" s="312"/>
    </row>
    <row r="837">
      <c r="L837" s="312"/>
      <c r="M837" s="312"/>
      <c r="N837" s="312"/>
    </row>
    <row r="838">
      <c r="L838" s="312"/>
      <c r="M838" s="312"/>
      <c r="N838" s="312"/>
    </row>
    <row r="839">
      <c r="L839" s="312"/>
      <c r="M839" s="312"/>
      <c r="N839" s="312"/>
    </row>
    <row r="840">
      <c r="L840" s="312"/>
      <c r="M840" s="312"/>
      <c r="N840" s="312"/>
    </row>
    <row r="841">
      <c r="L841" s="312"/>
      <c r="M841" s="312"/>
      <c r="N841" s="312"/>
    </row>
    <row r="842">
      <c r="L842" s="312"/>
      <c r="M842" s="312"/>
      <c r="N842" s="312"/>
    </row>
    <row r="843">
      <c r="L843" s="312"/>
      <c r="M843" s="312"/>
      <c r="N843" s="312"/>
    </row>
    <row r="844">
      <c r="L844" s="312"/>
      <c r="M844" s="312"/>
      <c r="N844" s="312"/>
    </row>
    <row r="845">
      <c r="L845" s="312"/>
      <c r="M845" s="312"/>
      <c r="N845" s="312"/>
    </row>
    <row r="846">
      <c r="L846" s="312"/>
      <c r="M846" s="312"/>
      <c r="N846" s="312"/>
    </row>
    <row r="847">
      <c r="L847" s="312"/>
      <c r="M847" s="312"/>
      <c r="N847" s="312"/>
    </row>
    <row r="848">
      <c r="L848" s="312"/>
      <c r="M848" s="312"/>
      <c r="N848" s="312"/>
    </row>
    <row r="849">
      <c r="L849" s="312"/>
      <c r="M849" s="312"/>
      <c r="N849" s="312"/>
    </row>
    <row r="850">
      <c r="L850" s="312"/>
      <c r="M850" s="312"/>
      <c r="N850" s="312"/>
    </row>
    <row r="851">
      <c r="L851" s="312"/>
      <c r="M851" s="312"/>
      <c r="N851" s="312"/>
    </row>
    <row r="852">
      <c r="L852" s="312"/>
      <c r="M852" s="312"/>
      <c r="N852" s="312"/>
    </row>
    <row r="853">
      <c r="L853" s="312"/>
      <c r="M853" s="312"/>
      <c r="N853" s="312"/>
    </row>
    <row r="854">
      <c r="L854" s="312"/>
      <c r="M854" s="312"/>
      <c r="N854" s="312"/>
    </row>
    <row r="855">
      <c r="L855" s="312"/>
      <c r="M855" s="312"/>
      <c r="N855" s="312"/>
    </row>
    <row r="856">
      <c r="L856" s="312"/>
      <c r="M856" s="312"/>
      <c r="N856" s="312"/>
    </row>
    <row r="857">
      <c r="L857" s="312"/>
      <c r="M857" s="312"/>
      <c r="N857" s="312"/>
    </row>
    <row r="858">
      <c r="L858" s="312"/>
      <c r="M858" s="312"/>
      <c r="N858" s="312"/>
    </row>
    <row r="859">
      <c r="L859" s="312"/>
      <c r="M859" s="312"/>
      <c r="N859" s="312"/>
    </row>
    <row r="860">
      <c r="L860" s="312"/>
      <c r="M860" s="312"/>
      <c r="N860" s="312"/>
    </row>
    <row r="861">
      <c r="L861" s="312"/>
      <c r="M861" s="312"/>
      <c r="N861" s="312"/>
    </row>
    <row r="862">
      <c r="L862" s="312"/>
      <c r="M862" s="312"/>
      <c r="N862" s="312"/>
    </row>
    <row r="863">
      <c r="L863" s="312"/>
      <c r="M863" s="312"/>
      <c r="N863" s="312"/>
    </row>
    <row r="864">
      <c r="L864" s="312"/>
      <c r="M864" s="312"/>
      <c r="N864" s="312"/>
    </row>
    <row r="865">
      <c r="L865" s="312"/>
      <c r="M865" s="312"/>
      <c r="N865" s="312"/>
    </row>
    <row r="866">
      <c r="L866" s="312"/>
      <c r="M866" s="312"/>
      <c r="N866" s="312"/>
    </row>
    <row r="867">
      <c r="L867" s="312"/>
      <c r="M867" s="312"/>
      <c r="N867" s="312"/>
    </row>
    <row r="868">
      <c r="L868" s="312"/>
      <c r="M868" s="312"/>
      <c r="N868" s="312"/>
    </row>
    <row r="869">
      <c r="L869" s="312"/>
      <c r="M869" s="312"/>
      <c r="N869" s="312"/>
    </row>
    <row r="870">
      <c r="L870" s="312"/>
      <c r="M870" s="312"/>
      <c r="N870" s="312"/>
    </row>
    <row r="871">
      <c r="L871" s="312"/>
      <c r="M871" s="312"/>
      <c r="N871" s="312"/>
    </row>
    <row r="872">
      <c r="L872" s="312"/>
      <c r="M872" s="312"/>
      <c r="N872" s="312"/>
    </row>
    <row r="873">
      <c r="L873" s="312"/>
      <c r="M873" s="312"/>
      <c r="N873" s="312"/>
    </row>
    <row r="874">
      <c r="L874" s="312"/>
      <c r="M874" s="312"/>
      <c r="N874" s="312"/>
    </row>
    <row r="875">
      <c r="L875" s="312"/>
      <c r="M875" s="312"/>
      <c r="N875" s="312"/>
    </row>
    <row r="876">
      <c r="L876" s="312"/>
      <c r="M876" s="312"/>
      <c r="N876" s="312"/>
    </row>
    <row r="877">
      <c r="L877" s="312"/>
      <c r="M877" s="312"/>
      <c r="N877" s="312"/>
    </row>
    <row r="878">
      <c r="L878" s="312"/>
      <c r="M878" s="312"/>
      <c r="N878" s="312"/>
    </row>
    <row r="879">
      <c r="L879" s="312"/>
      <c r="M879" s="312"/>
      <c r="N879" s="312"/>
    </row>
    <row r="880">
      <c r="L880" s="312"/>
      <c r="M880" s="312"/>
      <c r="N880" s="312"/>
    </row>
    <row r="881">
      <c r="L881" s="312"/>
      <c r="M881" s="312"/>
      <c r="N881" s="312"/>
    </row>
    <row r="882">
      <c r="L882" s="312"/>
      <c r="M882" s="312"/>
      <c r="N882" s="312"/>
    </row>
    <row r="883">
      <c r="L883" s="312"/>
      <c r="M883" s="312"/>
      <c r="N883" s="312"/>
    </row>
    <row r="884">
      <c r="L884" s="312"/>
      <c r="M884" s="312"/>
      <c r="N884" s="312"/>
    </row>
    <row r="885">
      <c r="L885" s="312"/>
      <c r="M885" s="312"/>
      <c r="N885" s="312"/>
    </row>
    <row r="886">
      <c r="L886" s="312"/>
      <c r="M886" s="312"/>
      <c r="N886" s="312"/>
    </row>
    <row r="887">
      <c r="L887" s="312"/>
      <c r="M887" s="312"/>
      <c r="N887" s="312"/>
    </row>
    <row r="888">
      <c r="L888" s="312"/>
      <c r="M888" s="312"/>
      <c r="N888" s="312"/>
    </row>
    <row r="889">
      <c r="L889" s="312"/>
      <c r="M889" s="312"/>
      <c r="N889" s="312"/>
    </row>
    <row r="890">
      <c r="L890" s="312"/>
      <c r="M890" s="312"/>
      <c r="N890" s="312"/>
    </row>
    <row r="891">
      <c r="L891" s="312"/>
      <c r="M891" s="312"/>
      <c r="N891" s="312"/>
    </row>
    <row r="892">
      <c r="L892" s="312"/>
      <c r="M892" s="312"/>
      <c r="N892" s="312"/>
    </row>
    <row r="893">
      <c r="L893" s="312"/>
      <c r="M893" s="312"/>
      <c r="N893" s="312"/>
    </row>
    <row r="894">
      <c r="L894" s="312"/>
      <c r="M894" s="312"/>
      <c r="N894" s="312"/>
    </row>
    <row r="895">
      <c r="L895" s="312"/>
      <c r="M895" s="312"/>
      <c r="N895" s="312"/>
    </row>
    <row r="896">
      <c r="L896" s="312"/>
      <c r="M896" s="312"/>
      <c r="N896" s="312"/>
    </row>
    <row r="897">
      <c r="L897" s="312"/>
      <c r="M897" s="312"/>
      <c r="N897" s="312"/>
    </row>
    <row r="898">
      <c r="L898" s="312"/>
      <c r="M898" s="312"/>
      <c r="N898" s="312"/>
    </row>
    <row r="899">
      <c r="L899" s="312"/>
      <c r="M899" s="312"/>
      <c r="N899" s="312"/>
    </row>
    <row r="900">
      <c r="L900" s="312"/>
      <c r="M900" s="312"/>
      <c r="N900" s="312"/>
    </row>
    <row r="901">
      <c r="L901" s="312"/>
      <c r="M901" s="312"/>
      <c r="N901" s="312"/>
    </row>
    <row r="902">
      <c r="L902" s="312"/>
      <c r="M902" s="312"/>
      <c r="N902" s="312"/>
    </row>
    <row r="903">
      <c r="L903" s="312"/>
      <c r="M903" s="312"/>
      <c r="N903" s="312"/>
    </row>
    <row r="904">
      <c r="L904" s="312"/>
      <c r="M904" s="312"/>
      <c r="N904" s="312"/>
    </row>
    <row r="905">
      <c r="L905" s="312"/>
      <c r="M905" s="312"/>
      <c r="N905" s="312"/>
    </row>
    <row r="906">
      <c r="L906" s="312"/>
      <c r="M906" s="312"/>
      <c r="N906" s="312"/>
    </row>
    <row r="907">
      <c r="L907" s="312"/>
      <c r="M907" s="312"/>
      <c r="N907" s="312"/>
    </row>
    <row r="908">
      <c r="L908" s="312"/>
      <c r="M908" s="312"/>
      <c r="N908" s="312"/>
    </row>
    <row r="909">
      <c r="L909" s="312"/>
      <c r="M909" s="312"/>
      <c r="N909" s="312"/>
    </row>
    <row r="910">
      <c r="L910" s="312"/>
      <c r="M910" s="312"/>
      <c r="N910" s="312"/>
    </row>
    <row r="911">
      <c r="L911" s="312"/>
      <c r="M911" s="312"/>
      <c r="N911" s="312"/>
    </row>
    <row r="912">
      <c r="L912" s="312"/>
      <c r="M912" s="312"/>
      <c r="N912" s="312"/>
    </row>
    <row r="913">
      <c r="L913" s="312"/>
      <c r="M913" s="312"/>
      <c r="N913" s="312"/>
    </row>
    <row r="914">
      <c r="L914" s="312"/>
      <c r="M914" s="312"/>
      <c r="N914" s="312"/>
    </row>
    <row r="915">
      <c r="L915" s="312"/>
      <c r="M915" s="312"/>
      <c r="N915" s="312"/>
    </row>
    <row r="916">
      <c r="L916" s="312"/>
      <c r="M916" s="312"/>
      <c r="N916" s="312"/>
    </row>
    <row r="917">
      <c r="L917" s="312"/>
      <c r="M917" s="312"/>
      <c r="N917" s="312"/>
    </row>
    <row r="918">
      <c r="L918" s="312"/>
      <c r="M918" s="312"/>
      <c r="N918" s="312"/>
    </row>
    <row r="919">
      <c r="L919" s="312"/>
      <c r="M919" s="312"/>
      <c r="N919" s="312"/>
    </row>
    <row r="920">
      <c r="L920" s="312"/>
      <c r="M920" s="312"/>
      <c r="N920" s="312"/>
    </row>
    <row r="921">
      <c r="L921" s="312"/>
      <c r="M921" s="312"/>
      <c r="N921" s="312"/>
    </row>
    <row r="922">
      <c r="L922" s="312"/>
      <c r="M922" s="312"/>
      <c r="N922" s="312"/>
    </row>
    <row r="923">
      <c r="L923" s="312"/>
      <c r="M923" s="312"/>
      <c r="N923" s="312"/>
    </row>
    <row r="924">
      <c r="L924" s="312"/>
      <c r="M924" s="312"/>
      <c r="N924" s="312"/>
    </row>
    <row r="925">
      <c r="L925" s="312"/>
      <c r="M925" s="312"/>
      <c r="N925" s="312"/>
    </row>
    <row r="926">
      <c r="L926" s="312"/>
      <c r="M926" s="312"/>
      <c r="N926" s="312"/>
    </row>
    <row r="927">
      <c r="L927" s="312"/>
      <c r="M927" s="312"/>
      <c r="N927" s="312"/>
    </row>
    <row r="928">
      <c r="L928" s="312"/>
      <c r="M928" s="312"/>
      <c r="N928" s="312"/>
    </row>
    <row r="929">
      <c r="L929" s="312"/>
      <c r="M929" s="312"/>
      <c r="N929" s="312"/>
    </row>
    <row r="930">
      <c r="L930" s="312"/>
      <c r="M930" s="312"/>
      <c r="N930" s="312"/>
    </row>
    <row r="931">
      <c r="L931" s="312"/>
      <c r="M931" s="312"/>
      <c r="N931" s="312"/>
    </row>
    <row r="932">
      <c r="L932" s="312"/>
      <c r="M932" s="312"/>
      <c r="N932" s="312"/>
    </row>
    <row r="933">
      <c r="L933" s="312"/>
      <c r="M933" s="312"/>
      <c r="N933" s="312"/>
    </row>
    <row r="934">
      <c r="L934" s="312"/>
      <c r="M934" s="312"/>
      <c r="N934" s="312"/>
    </row>
    <row r="935">
      <c r="L935" s="312"/>
      <c r="M935" s="312"/>
      <c r="N935" s="312"/>
    </row>
    <row r="936">
      <c r="L936" s="312"/>
      <c r="M936" s="312"/>
      <c r="N936" s="312"/>
    </row>
    <row r="937">
      <c r="L937" s="312"/>
      <c r="M937" s="312"/>
      <c r="N937" s="312"/>
    </row>
    <row r="938">
      <c r="L938" s="312"/>
      <c r="M938" s="312"/>
      <c r="N938" s="312"/>
    </row>
    <row r="939">
      <c r="L939" s="312"/>
      <c r="M939" s="312"/>
      <c r="N939" s="312"/>
    </row>
    <row r="940">
      <c r="L940" s="312"/>
      <c r="M940" s="312"/>
      <c r="N940" s="312"/>
    </row>
    <row r="941">
      <c r="L941" s="312"/>
      <c r="M941" s="312"/>
      <c r="N941" s="312"/>
    </row>
    <row r="942">
      <c r="L942" s="312"/>
      <c r="M942" s="312"/>
      <c r="N942" s="312"/>
    </row>
    <row r="943">
      <c r="L943" s="312"/>
      <c r="M943" s="312"/>
      <c r="N943" s="312"/>
    </row>
    <row r="944">
      <c r="L944" s="312"/>
      <c r="M944" s="312"/>
      <c r="N944" s="312"/>
    </row>
    <row r="945">
      <c r="L945" s="312"/>
      <c r="M945" s="312"/>
      <c r="N945" s="312"/>
    </row>
    <row r="946">
      <c r="L946" s="312"/>
      <c r="M946" s="312"/>
      <c r="N946" s="312"/>
    </row>
    <row r="947">
      <c r="L947" s="312"/>
      <c r="M947" s="312"/>
      <c r="N947" s="312"/>
    </row>
    <row r="948">
      <c r="L948" s="312"/>
      <c r="M948" s="312"/>
      <c r="N948" s="312"/>
    </row>
    <row r="949">
      <c r="L949" s="312"/>
      <c r="M949" s="312"/>
      <c r="N949" s="312"/>
    </row>
    <row r="950">
      <c r="L950" s="312"/>
      <c r="M950" s="312"/>
      <c r="N950" s="312"/>
    </row>
    <row r="951">
      <c r="L951" s="312"/>
      <c r="M951" s="312"/>
      <c r="N951" s="312"/>
    </row>
    <row r="952">
      <c r="L952" s="312"/>
      <c r="M952" s="312"/>
      <c r="N952" s="312"/>
    </row>
    <row r="953">
      <c r="L953" s="312"/>
      <c r="M953" s="312"/>
      <c r="N953" s="312"/>
    </row>
    <row r="954">
      <c r="L954" s="312"/>
      <c r="M954" s="312"/>
      <c r="N954" s="312"/>
    </row>
    <row r="955">
      <c r="L955" s="312"/>
      <c r="M955" s="312"/>
      <c r="N955" s="312"/>
    </row>
    <row r="956">
      <c r="L956" s="312"/>
      <c r="M956" s="312"/>
      <c r="N956" s="312"/>
    </row>
    <row r="957">
      <c r="L957" s="312"/>
      <c r="M957" s="312"/>
      <c r="N957" s="312"/>
    </row>
    <row r="958">
      <c r="L958" s="312"/>
      <c r="M958" s="312"/>
      <c r="N958" s="312"/>
    </row>
    <row r="959">
      <c r="L959" s="312"/>
      <c r="M959" s="312"/>
      <c r="N959" s="312"/>
    </row>
    <row r="960">
      <c r="L960" s="312"/>
      <c r="M960" s="312"/>
      <c r="N960" s="312"/>
    </row>
    <row r="961">
      <c r="L961" s="312"/>
      <c r="M961" s="312"/>
      <c r="N961" s="312"/>
    </row>
    <row r="962">
      <c r="L962" s="312"/>
      <c r="M962" s="312"/>
      <c r="N962" s="312"/>
    </row>
    <row r="963">
      <c r="L963" s="312"/>
      <c r="M963" s="312"/>
      <c r="N963" s="312"/>
    </row>
    <row r="964">
      <c r="L964" s="312"/>
      <c r="M964" s="312"/>
      <c r="N964" s="312"/>
    </row>
    <row r="965">
      <c r="L965" s="312"/>
      <c r="M965" s="312"/>
      <c r="N965" s="312"/>
    </row>
    <row r="966">
      <c r="L966" s="312"/>
      <c r="M966" s="312"/>
      <c r="N966" s="312"/>
    </row>
    <row r="967">
      <c r="L967" s="312"/>
      <c r="M967" s="312"/>
      <c r="N967" s="312"/>
    </row>
    <row r="968">
      <c r="L968" s="312"/>
      <c r="M968" s="312"/>
      <c r="N968" s="312"/>
    </row>
    <row r="969">
      <c r="L969" s="312"/>
      <c r="M969" s="312"/>
      <c r="N969" s="312"/>
    </row>
    <row r="970">
      <c r="L970" s="312"/>
      <c r="M970" s="312"/>
      <c r="N970" s="312"/>
    </row>
    <row r="971">
      <c r="L971" s="312"/>
      <c r="M971" s="312"/>
      <c r="N971" s="312"/>
    </row>
    <row r="972">
      <c r="L972" s="312"/>
      <c r="M972" s="312"/>
      <c r="N972" s="312"/>
    </row>
    <row r="973">
      <c r="L973" s="312"/>
      <c r="M973" s="312"/>
      <c r="N973" s="312"/>
    </row>
    <row r="974">
      <c r="L974" s="312"/>
      <c r="M974" s="312"/>
      <c r="N974" s="312"/>
    </row>
    <row r="975">
      <c r="L975" s="312"/>
      <c r="M975" s="312"/>
      <c r="N975" s="312"/>
    </row>
    <row r="976">
      <c r="L976" s="312"/>
      <c r="M976" s="312"/>
      <c r="N976" s="312"/>
    </row>
    <row r="977">
      <c r="L977" s="312"/>
      <c r="M977" s="312"/>
      <c r="N977" s="312"/>
    </row>
    <row r="978">
      <c r="L978" s="312"/>
      <c r="M978" s="312"/>
      <c r="N978" s="312"/>
    </row>
    <row r="979">
      <c r="L979" s="312"/>
      <c r="M979" s="312"/>
      <c r="N979" s="312"/>
    </row>
    <row r="980">
      <c r="L980" s="312"/>
      <c r="M980" s="312"/>
      <c r="N980" s="312"/>
    </row>
    <row r="981">
      <c r="L981" s="312"/>
      <c r="M981" s="312"/>
      <c r="N981" s="312"/>
    </row>
    <row r="982">
      <c r="L982" s="312"/>
      <c r="M982" s="312"/>
      <c r="N982" s="312"/>
    </row>
    <row r="983">
      <c r="L983" s="312"/>
      <c r="M983" s="312"/>
      <c r="N983" s="312"/>
    </row>
    <row r="984">
      <c r="L984" s="312"/>
      <c r="M984" s="312"/>
      <c r="N984" s="312"/>
    </row>
    <row r="985">
      <c r="L985" s="312"/>
      <c r="M985" s="312"/>
      <c r="N985" s="312"/>
    </row>
    <row r="986">
      <c r="L986" s="312"/>
      <c r="M986" s="312"/>
      <c r="N986" s="312"/>
    </row>
    <row r="987">
      <c r="L987" s="312"/>
      <c r="M987" s="312"/>
      <c r="N987" s="312"/>
    </row>
    <row r="988">
      <c r="L988" s="312"/>
      <c r="M988" s="312"/>
      <c r="N988" s="312"/>
    </row>
    <row r="989">
      <c r="L989" s="312"/>
      <c r="M989" s="312"/>
      <c r="N989" s="312"/>
    </row>
    <row r="990">
      <c r="L990" s="312"/>
      <c r="M990" s="312"/>
      <c r="N990" s="312"/>
    </row>
    <row r="991">
      <c r="L991" s="312"/>
      <c r="M991" s="312"/>
      <c r="N991" s="312"/>
    </row>
    <row r="992">
      <c r="L992" s="312"/>
      <c r="M992" s="312"/>
      <c r="N992" s="312"/>
    </row>
    <row r="993">
      <c r="L993" s="312"/>
      <c r="M993" s="312"/>
      <c r="N993" s="312"/>
    </row>
    <row r="994">
      <c r="L994" s="312"/>
      <c r="M994" s="312"/>
      <c r="N994" s="312"/>
    </row>
    <row r="995">
      <c r="L995" s="312"/>
      <c r="M995" s="312"/>
      <c r="N995" s="312"/>
    </row>
    <row r="996">
      <c r="L996" s="312"/>
      <c r="M996" s="312"/>
      <c r="N996" s="312"/>
    </row>
    <row r="997">
      <c r="L997" s="312"/>
      <c r="M997" s="312"/>
      <c r="N997" s="312"/>
    </row>
    <row r="998">
      <c r="L998" s="312"/>
      <c r="M998" s="312"/>
      <c r="N998" s="312"/>
    </row>
  </sheetData>
  <autoFilter ref="$A$1:$P$502">
    <sortState ref="A1:P502">
      <sortCondition ref="B1:B502"/>
      <sortCondition ref="F1:F502"/>
    </sortState>
  </autoFilter>
  <mergeCells count="494">
    <mergeCell ref="L245:O245"/>
    <mergeCell ref="L246:M246"/>
    <mergeCell ref="L247:O247"/>
    <mergeCell ref="M248:O248"/>
    <mergeCell ref="M249:N249"/>
    <mergeCell ref="M250:N250"/>
    <mergeCell ref="L254:M254"/>
    <mergeCell ref="N254:O254"/>
    <mergeCell ref="L256:O256"/>
    <mergeCell ref="M257:O257"/>
    <mergeCell ref="M258:N258"/>
    <mergeCell ref="L259:N259"/>
    <mergeCell ref="L261:O261"/>
    <mergeCell ref="L262:O262"/>
    <mergeCell ref="L263:O263"/>
    <mergeCell ref="L264:N264"/>
    <mergeCell ref="L265:M265"/>
    <mergeCell ref="M266:N266"/>
    <mergeCell ref="L267:M267"/>
    <mergeCell ref="L268:M268"/>
    <mergeCell ref="N268:O268"/>
    <mergeCell ref="L269:O269"/>
    <mergeCell ref="M270:O270"/>
    <mergeCell ref="N272:O272"/>
    <mergeCell ref="L273:M273"/>
    <mergeCell ref="N273:O273"/>
    <mergeCell ref="L274:M274"/>
    <mergeCell ref="N274:O274"/>
    <mergeCell ref="L275:M275"/>
    <mergeCell ref="L276:M276"/>
    <mergeCell ref="N276:O276"/>
    <mergeCell ref="M277:N277"/>
    <mergeCell ref="L278:O278"/>
    <mergeCell ref="L279:N279"/>
    <mergeCell ref="L280:O280"/>
    <mergeCell ref="L281:O281"/>
    <mergeCell ref="L282:M282"/>
    <mergeCell ref="N284:O284"/>
    <mergeCell ref="L285:N285"/>
    <mergeCell ref="L286:O286"/>
    <mergeCell ref="L287:N287"/>
    <mergeCell ref="L289:N289"/>
    <mergeCell ref="M309:O309"/>
    <mergeCell ref="L310:O310"/>
    <mergeCell ref="M312:O312"/>
    <mergeCell ref="L301:N301"/>
    <mergeCell ref="L302:O302"/>
    <mergeCell ref="L303:M303"/>
    <mergeCell ref="L304:M304"/>
    <mergeCell ref="L305:O305"/>
    <mergeCell ref="L306:O306"/>
    <mergeCell ref="M307:N307"/>
    <mergeCell ref="L337:O337"/>
    <mergeCell ref="L338:M338"/>
    <mergeCell ref="L339:N339"/>
    <mergeCell ref="L341:O341"/>
    <mergeCell ref="M342:N342"/>
    <mergeCell ref="L343:O343"/>
    <mergeCell ref="L344:O344"/>
    <mergeCell ref="L345:O345"/>
    <mergeCell ref="L346:N346"/>
    <mergeCell ref="M347:N347"/>
    <mergeCell ref="L348:O348"/>
    <mergeCell ref="M349:N349"/>
    <mergeCell ref="L350:N350"/>
    <mergeCell ref="L351:O351"/>
    <mergeCell ref="L291:M291"/>
    <mergeCell ref="N291:O291"/>
    <mergeCell ref="L292:M292"/>
    <mergeCell ref="N292:O292"/>
    <mergeCell ref="L293:N293"/>
    <mergeCell ref="L294:M294"/>
    <mergeCell ref="N294:O294"/>
    <mergeCell ref="L295:M295"/>
    <mergeCell ref="N295:O295"/>
    <mergeCell ref="L296:O296"/>
    <mergeCell ref="L297:M297"/>
    <mergeCell ref="N297:O297"/>
    <mergeCell ref="L298:O298"/>
    <mergeCell ref="K299:L299"/>
    <mergeCell ref="K313:L313"/>
    <mergeCell ref="L314:M314"/>
    <mergeCell ref="N314:O314"/>
    <mergeCell ref="L316:O316"/>
    <mergeCell ref="L318:M318"/>
    <mergeCell ref="L319:M319"/>
    <mergeCell ref="N319:O319"/>
    <mergeCell ref="N324:O324"/>
    <mergeCell ref="N326:O326"/>
    <mergeCell ref="L320:M320"/>
    <mergeCell ref="L321:M321"/>
    <mergeCell ref="N321:O321"/>
    <mergeCell ref="L322:N322"/>
    <mergeCell ref="L323:M323"/>
    <mergeCell ref="N323:O323"/>
    <mergeCell ref="L325:N325"/>
    <mergeCell ref="L327:N327"/>
    <mergeCell ref="L329:O329"/>
    <mergeCell ref="L330:M330"/>
    <mergeCell ref="L331:O331"/>
    <mergeCell ref="L332:O332"/>
    <mergeCell ref="L334:O334"/>
    <mergeCell ref="K335:L335"/>
    <mergeCell ref="L353:N353"/>
    <mergeCell ref="L354:O354"/>
    <mergeCell ref="L355:O355"/>
    <mergeCell ref="M356:N356"/>
    <mergeCell ref="L357:O357"/>
    <mergeCell ref="L358:M358"/>
    <mergeCell ref="L359:O359"/>
    <mergeCell ref="L361:O361"/>
    <mergeCell ref="M362:N362"/>
    <mergeCell ref="L363:O363"/>
    <mergeCell ref="L364:O364"/>
    <mergeCell ref="L365:M365"/>
    <mergeCell ref="L367:O367"/>
    <mergeCell ref="L368:O368"/>
    <mergeCell ref="L369:M369"/>
    <mergeCell ref="N369:O369"/>
    <mergeCell ref="N370:O370"/>
    <mergeCell ref="L371:O371"/>
    <mergeCell ref="L372:N372"/>
    <mergeCell ref="L373:M373"/>
    <mergeCell ref="N373:O373"/>
    <mergeCell ref="K374:L374"/>
    <mergeCell ref="L375:O375"/>
    <mergeCell ref="N376:O376"/>
    <mergeCell ref="L377:M377"/>
    <mergeCell ref="N377:O377"/>
    <mergeCell ref="L378:O378"/>
    <mergeCell ref="L379:O379"/>
    <mergeCell ref="L383:O383"/>
    <mergeCell ref="L384:O384"/>
    <mergeCell ref="L386:M386"/>
    <mergeCell ref="L388:O388"/>
    <mergeCell ref="L389:O389"/>
    <mergeCell ref="L390:O390"/>
    <mergeCell ref="L392:O392"/>
    <mergeCell ref="L393:O393"/>
    <mergeCell ref="M394:N394"/>
    <mergeCell ref="L395:O395"/>
    <mergeCell ref="L399:O399"/>
    <mergeCell ref="L400:O400"/>
    <mergeCell ref="L401:O401"/>
    <mergeCell ref="M402:O402"/>
    <mergeCell ref="L403:O403"/>
    <mergeCell ref="L404:O404"/>
    <mergeCell ref="L405:O405"/>
    <mergeCell ref="L407:O407"/>
    <mergeCell ref="L408:O408"/>
    <mergeCell ref="L410:O410"/>
    <mergeCell ref="K411:L411"/>
    <mergeCell ref="M412:N412"/>
    <mergeCell ref="L413:O413"/>
    <mergeCell ref="L414:O414"/>
    <mergeCell ref="L415:O415"/>
    <mergeCell ref="L416:O416"/>
    <mergeCell ref="L417:O417"/>
    <mergeCell ref="L418:O418"/>
    <mergeCell ref="L481:O481"/>
    <mergeCell ref="L482:O482"/>
    <mergeCell ref="L483:M483"/>
    <mergeCell ref="M485:N485"/>
    <mergeCell ref="L486:O486"/>
    <mergeCell ref="L487:O487"/>
    <mergeCell ref="M488:O488"/>
    <mergeCell ref="L497:O497"/>
    <mergeCell ref="L498:O498"/>
    <mergeCell ref="M501:N501"/>
    <mergeCell ref="L502:O502"/>
    <mergeCell ref="M489:N489"/>
    <mergeCell ref="L490:O490"/>
    <mergeCell ref="L491:O491"/>
    <mergeCell ref="M492:N492"/>
    <mergeCell ref="L493:O493"/>
    <mergeCell ref="L494:M494"/>
    <mergeCell ref="L495:O495"/>
    <mergeCell ref="L419:O419"/>
    <mergeCell ref="M422:O422"/>
    <mergeCell ref="L425:O425"/>
    <mergeCell ref="L427:O427"/>
    <mergeCell ref="L428:O428"/>
    <mergeCell ref="L429:O429"/>
    <mergeCell ref="L430:O430"/>
    <mergeCell ref="L431:O431"/>
    <mergeCell ref="L432:O432"/>
    <mergeCell ref="L433:O433"/>
    <mergeCell ref="L434:O434"/>
    <mergeCell ref="L435:O435"/>
    <mergeCell ref="M436:O436"/>
    <mergeCell ref="L437:O437"/>
    <mergeCell ref="L438:O438"/>
    <mergeCell ref="L439:O439"/>
    <mergeCell ref="L441:O441"/>
    <mergeCell ref="L442:O442"/>
    <mergeCell ref="M444:N444"/>
    <mergeCell ref="L445:N445"/>
    <mergeCell ref="L446:O446"/>
    <mergeCell ref="L447:O447"/>
    <mergeCell ref="L448:O448"/>
    <mergeCell ref="L449:O449"/>
    <mergeCell ref="L451:O451"/>
    <mergeCell ref="L452:O452"/>
    <mergeCell ref="L453:O453"/>
    <mergeCell ref="L454:O454"/>
    <mergeCell ref="L455:O455"/>
    <mergeCell ref="M456:N456"/>
    <mergeCell ref="L457:O457"/>
    <mergeCell ref="L458:O458"/>
    <mergeCell ref="L459:O459"/>
    <mergeCell ref="L461:M461"/>
    <mergeCell ref="L462:O462"/>
    <mergeCell ref="M463:N463"/>
    <mergeCell ref="L464:O464"/>
    <mergeCell ref="L467:O467"/>
    <mergeCell ref="L468:O468"/>
    <mergeCell ref="M469:N469"/>
    <mergeCell ref="M470:N470"/>
    <mergeCell ref="L471:O471"/>
    <mergeCell ref="L473:O473"/>
    <mergeCell ref="L474:M474"/>
    <mergeCell ref="K475:L475"/>
    <mergeCell ref="L476:O476"/>
    <mergeCell ref="L478:O478"/>
    <mergeCell ref="L479:O479"/>
    <mergeCell ref="L480:O480"/>
    <mergeCell ref="L2:M2"/>
    <mergeCell ref="N2:O2"/>
    <mergeCell ref="L3:M3"/>
    <mergeCell ref="N3:O3"/>
    <mergeCell ref="L4:M4"/>
    <mergeCell ref="N4:O4"/>
    <mergeCell ref="L5:M5"/>
    <mergeCell ref="L7:M7"/>
    <mergeCell ref="L8:M8"/>
    <mergeCell ref="M9:O9"/>
    <mergeCell ref="L10:M10"/>
    <mergeCell ref="L11:M11"/>
    <mergeCell ref="N11:O11"/>
    <mergeCell ref="L12:O12"/>
    <mergeCell ref="L13:M13"/>
    <mergeCell ref="L14:M14"/>
    <mergeCell ref="N14:O14"/>
    <mergeCell ref="L15:O15"/>
    <mergeCell ref="L16:N16"/>
    <mergeCell ref="L17:M17"/>
    <mergeCell ref="N17:O17"/>
    <mergeCell ref="L18:M18"/>
    <mergeCell ref="N18:O18"/>
    <mergeCell ref="L20:M20"/>
    <mergeCell ref="N20:O20"/>
    <mergeCell ref="M21:O21"/>
    <mergeCell ref="M22:O22"/>
    <mergeCell ref="M23:O23"/>
    <mergeCell ref="L24:O24"/>
    <mergeCell ref="L25:O25"/>
    <mergeCell ref="L27:O27"/>
    <mergeCell ref="L28:O28"/>
    <mergeCell ref="L29:O29"/>
    <mergeCell ref="M30:O30"/>
    <mergeCell ref="N31:O31"/>
    <mergeCell ref="L31:M31"/>
    <mergeCell ref="L32:N32"/>
    <mergeCell ref="L33:O33"/>
    <mergeCell ref="L35:O35"/>
    <mergeCell ref="L36:M36"/>
    <mergeCell ref="L39:N39"/>
    <mergeCell ref="N40:O40"/>
    <mergeCell ref="L40:M40"/>
    <mergeCell ref="L42:M42"/>
    <mergeCell ref="N42:O42"/>
    <mergeCell ref="L43:O43"/>
    <mergeCell ref="L44:M44"/>
    <mergeCell ref="L45:N45"/>
    <mergeCell ref="L46:M46"/>
    <mergeCell ref="L47:N47"/>
    <mergeCell ref="L48:O48"/>
    <mergeCell ref="L50:M50"/>
    <mergeCell ref="N50:O50"/>
    <mergeCell ref="L52:M52"/>
    <mergeCell ref="N52:O52"/>
    <mergeCell ref="L53:N53"/>
    <mergeCell ref="L54:O54"/>
    <mergeCell ref="L55:M55"/>
    <mergeCell ref="N55:O55"/>
    <mergeCell ref="L56:M56"/>
    <mergeCell ref="M57:N57"/>
    <mergeCell ref="L60:M60"/>
    <mergeCell ref="N60:O60"/>
    <mergeCell ref="L62:O62"/>
    <mergeCell ref="L63:O63"/>
    <mergeCell ref="L64:M64"/>
    <mergeCell ref="L65:M65"/>
    <mergeCell ref="L66:M66"/>
    <mergeCell ref="L67:O67"/>
    <mergeCell ref="M68:N68"/>
    <mergeCell ref="L69:M69"/>
    <mergeCell ref="N69:O69"/>
    <mergeCell ref="L70:M70"/>
    <mergeCell ref="N70:O70"/>
    <mergeCell ref="L71:O71"/>
    <mergeCell ref="L72:O72"/>
    <mergeCell ref="M73:N73"/>
    <mergeCell ref="L79:M79"/>
    <mergeCell ref="L80:M80"/>
    <mergeCell ref="M74:N74"/>
    <mergeCell ref="L75:N75"/>
    <mergeCell ref="L76:M76"/>
    <mergeCell ref="N76:O76"/>
    <mergeCell ref="N77:O77"/>
    <mergeCell ref="M78:N78"/>
    <mergeCell ref="N79:O79"/>
    <mergeCell ref="L81:O81"/>
    <mergeCell ref="L82:M82"/>
    <mergeCell ref="L83:M83"/>
    <mergeCell ref="L84:M84"/>
    <mergeCell ref="N84:O84"/>
    <mergeCell ref="L85:M85"/>
    <mergeCell ref="N85:O85"/>
    <mergeCell ref="N122:O122"/>
    <mergeCell ref="M123:O123"/>
    <mergeCell ref="L124:O124"/>
    <mergeCell ref="L125:M125"/>
    <mergeCell ref="L126:M126"/>
    <mergeCell ref="N126:O126"/>
    <mergeCell ref="L127:O127"/>
    <mergeCell ref="L128:N128"/>
    <mergeCell ref="L129:M129"/>
    <mergeCell ref="N129:O129"/>
    <mergeCell ref="L130:N130"/>
    <mergeCell ref="L131:O131"/>
    <mergeCell ref="K133:L133"/>
    <mergeCell ref="L134:O134"/>
    <mergeCell ref="L86:M86"/>
    <mergeCell ref="L87:O87"/>
    <mergeCell ref="M88:N88"/>
    <mergeCell ref="N89:O89"/>
    <mergeCell ref="L90:M90"/>
    <mergeCell ref="N90:O90"/>
    <mergeCell ref="L91:M91"/>
    <mergeCell ref="L92:O92"/>
    <mergeCell ref="L93:M93"/>
    <mergeCell ref="N93:O93"/>
    <mergeCell ref="L94:M94"/>
    <mergeCell ref="N94:O94"/>
    <mergeCell ref="L95:M95"/>
    <mergeCell ref="N95:O95"/>
    <mergeCell ref="L96:M96"/>
    <mergeCell ref="N96:O96"/>
    <mergeCell ref="L97:M97"/>
    <mergeCell ref="L98:M98"/>
    <mergeCell ref="L99:M99"/>
    <mergeCell ref="L101:M101"/>
    <mergeCell ref="L102:O102"/>
    <mergeCell ref="N104:O104"/>
    <mergeCell ref="L105:M105"/>
    <mergeCell ref="N105:O105"/>
    <mergeCell ref="L106:M106"/>
    <mergeCell ref="L107:M107"/>
    <mergeCell ref="K110:L110"/>
    <mergeCell ref="L112:M112"/>
    <mergeCell ref="N112:O112"/>
    <mergeCell ref="L113:O113"/>
    <mergeCell ref="L114:M114"/>
    <mergeCell ref="K115:L115"/>
    <mergeCell ref="N115:O115"/>
    <mergeCell ref="L116:N116"/>
    <mergeCell ref="N117:O117"/>
    <mergeCell ref="L117:M117"/>
    <mergeCell ref="L118:M118"/>
    <mergeCell ref="L119:O119"/>
    <mergeCell ref="L120:M120"/>
    <mergeCell ref="L121:M121"/>
    <mergeCell ref="N121:O121"/>
    <mergeCell ref="L122:M122"/>
    <mergeCell ref="L137:M137"/>
    <mergeCell ref="N137:O137"/>
    <mergeCell ref="L138:O138"/>
    <mergeCell ref="N139:O139"/>
    <mergeCell ref="L140:M140"/>
    <mergeCell ref="N140:O140"/>
    <mergeCell ref="L141:O141"/>
    <mergeCell ref="L181:M181"/>
    <mergeCell ref="N181:O181"/>
    <mergeCell ref="L182:O182"/>
    <mergeCell ref="L183:O183"/>
    <mergeCell ref="L184:N184"/>
    <mergeCell ref="L185:O185"/>
    <mergeCell ref="L186:M186"/>
    <mergeCell ref="L187:M187"/>
    <mergeCell ref="L188:M188"/>
    <mergeCell ref="N189:O189"/>
    <mergeCell ref="L190:O190"/>
    <mergeCell ref="L191:O191"/>
    <mergeCell ref="M192:N192"/>
    <mergeCell ref="M193:N193"/>
    <mergeCell ref="L143:M143"/>
    <mergeCell ref="L144:O144"/>
    <mergeCell ref="L145:M145"/>
    <mergeCell ref="N145:O145"/>
    <mergeCell ref="L146:O146"/>
    <mergeCell ref="L147:M147"/>
    <mergeCell ref="M148:N148"/>
    <mergeCell ref="L149:N149"/>
    <mergeCell ref="N150:O150"/>
    <mergeCell ref="K151:L151"/>
    <mergeCell ref="L152:N152"/>
    <mergeCell ref="L153:N153"/>
    <mergeCell ref="L154:O154"/>
    <mergeCell ref="N155:O155"/>
    <mergeCell ref="L156:M156"/>
    <mergeCell ref="N156:O156"/>
    <mergeCell ref="L158:O158"/>
    <mergeCell ref="L159:O159"/>
    <mergeCell ref="L160:N160"/>
    <mergeCell ref="L161:N161"/>
    <mergeCell ref="L162:O162"/>
    <mergeCell ref="L163:M163"/>
    <mergeCell ref="N163:O163"/>
    <mergeCell ref="L164:M164"/>
    <mergeCell ref="L165:O165"/>
    <mergeCell ref="L166:O166"/>
    <mergeCell ref="M167:N167"/>
    <mergeCell ref="M168:N168"/>
    <mergeCell ref="L169:M169"/>
    <mergeCell ref="M170:O170"/>
    <mergeCell ref="L171:O171"/>
    <mergeCell ref="N172:O172"/>
    <mergeCell ref="L173:M173"/>
    <mergeCell ref="N174:O174"/>
    <mergeCell ref="L175:O175"/>
    <mergeCell ref="N176:O176"/>
    <mergeCell ref="L177:M177"/>
    <mergeCell ref="N177:O177"/>
    <mergeCell ref="N178:O178"/>
    <mergeCell ref="L179:M179"/>
    <mergeCell ref="N179:O179"/>
    <mergeCell ref="L180:M180"/>
    <mergeCell ref="L194:M194"/>
    <mergeCell ref="L195:M195"/>
    <mergeCell ref="N195:O195"/>
    <mergeCell ref="L196:M196"/>
    <mergeCell ref="N196:O196"/>
    <mergeCell ref="N197:O197"/>
    <mergeCell ref="L198:O198"/>
    <mergeCell ref="L199:N199"/>
    <mergeCell ref="L200:N200"/>
    <mergeCell ref="L201:M201"/>
    <mergeCell ref="L203:M203"/>
    <mergeCell ref="L205:M205"/>
    <mergeCell ref="N205:O205"/>
    <mergeCell ref="L206:M206"/>
    <mergeCell ref="N206:O206"/>
    <mergeCell ref="M207:N207"/>
    <mergeCell ref="L208:O208"/>
    <mergeCell ref="L209:N209"/>
    <mergeCell ref="L210:O210"/>
    <mergeCell ref="L211:O211"/>
    <mergeCell ref="L212:O212"/>
    <mergeCell ref="L213:O213"/>
    <mergeCell ref="L214:M214"/>
    <mergeCell ref="N214:O214"/>
    <mergeCell ref="M215:N215"/>
    <mergeCell ref="L216:O216"/>
    <mergeCell ref="L217:M217"/>
    <mergeCell ref="L219:O219"/>
    <mergeCell ref="L220:M220"/>
    <mergeCell ref="L221:N221"/>
    <mergeCell ref="L222:M222"/>
    <mergeCell ref="N222:O222"/>
    <mergeCell ref="N223:O223"/>
    <mergeCell ref="L224:M224"/>
    <mergeCell ref="L225:O225"/>
    <mergeCell ref="L226:M226"/>
    <mergeCell ref="N226:O226"/>
    <mergeCell ref="L227:M227"/>
    <mergeCell ref="L228:O228"/>
    <mergeCell ref="L229:N229"/>
    <mergeCell ref="L230:N230"/>
    <mergeCell ref="L231:O231"/>
    <mergeCell ref="M232:O232"/>
    <mergeCell ref="M233:N233"/>
    <mergeCell ref="L234:M234"/>
    <mergeCell ref="N234:O234"/>
    <mergeCell ref="L235:N235"/>
    <mergeCell ref="K236:L236"/>
    <mergeCell ref="L237:N237"/>
    <mergeCell ref="L238:O238"/>
    <mergeCell ref="L239:M239"/>
    <mergeCell ref="L240:M240"/>
    <mergeCell ref="L241:M241"/>
    <mergeCell ref="L242:M242"/>
    <mergeCell ref="N243:O243"/>
    <mergeCell ref="L244:O244"/>
  </mergeCells>
  <conditionalFormatting sqref="B2:B500">
    <cfRule type="colorScale" priority="1">
      <colorScale>
        <cfvo type="min"/>
        <cfvo type="max"/>
        <color rgb="FFD9EAD3"/>
        <color rgb="FF38761D"/>
      </colorScale>
    </cfRule>
  </conditionalFormatting>
  <conditionalFormatting sqref="A2:P500">
    <cfRule type="expression" dxfId="5" priority="2">
      <formula>ISEVEN(COLUMN())</formula>
    </cfRule>
  </conditionalFormatting>
  <conditionalFormatting sqref="A2:P500">
    <cfRule type="expression" dxfId="6" priority="3">
      <formula>ISODD(COLUMN())</formula>
    </cfRule>
  </conditionalFormatting>
  <drawing r:id="rId1"/>
</worksheet>
</file>